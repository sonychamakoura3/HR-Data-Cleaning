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queryTables/queryTable13.xml" ContentType="application/vnd.openxmlformats-officedocument.spreadsheetml.queryTable+xml"/>
  <Override PartName="/xl/tables/table15.xml" ContentType="application/vnd.openxmlformats-officedocument.spreadsheetml.table+xml"/>
  <Override PartName="/xl/queryTables/queryTable14.xml" ContentType="application/vnd.openxmlformats-officedocument.spreadsheetml.queryTable+xml"/>
  <Override PartName="/xl/tables/table16.xml" ContentType="application/vnd.openxmlformats-officedocument.spreadsheetml.table+xml"/>
  <Override PartName="/xl/queryTables/queryTable15.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7.xml" ContentType="application/vnd.openxmlformats-officedocument.spreadsheetml.table+xml"/>
  <Override PartName="/xl/queryTables/queryTable16.xml" ContentType="application/vnd.openxmlformats-officedocument.spreadsheetml.queryTable+xml"/>
  <Override PartName="/xl/tables/table18.xml" ContentType="application/vnd.openxmlformats-officedocument.spreadsheetml.table+xml"/>
  <Override PartName="/xl/queryTables/queryTable17.xml" ContentType="application/vnd.openxmlformats-officedocument.spreadsheetml.queryTable+xml"/>
  <Override PartName="/xl/tables/table19.xml" ContentType="application/vnd.openxmlformats-officedocument.spreadsheetml.table+xml"/>
  <Override PartName="/xl/queryTables/queryTable18.xml" ContentType="application/vnd.openxmlformats-officedocument.spreadsheetml.queryTable+xml"/>
  <Override PartName="/xl/tables/table20.xml" ContentType="application/vnd.openxmlformats-officedocument.spreadsheetml.table+xml"/>
  <Override PartName="/xl/queryTables/queryTable19.xml" ContentType="application/vnd.openxmlformats-officedocument.spreadsheetml.query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SONY\OneDrive\Pictures\"/>
    </mc:Choice>
  </mc:AlternateContent>
  <xr:revisionPtr revIDLastSave="0" documentId="13_ncr:1_{52974440-BCDD-425E-844E-09AC40A4B7E6}" xr6:coauthVersionLast="47" xr6:coauthVersionMax="47" xr10:uidLastSave="{00000000-0000-0000-0000-000000000000}"/>
  <bookViews>
    <workbookView xWindow="4008" yWindow="3720" windowWidth="17280" windowHeight="9960" activeTab="2" xr2:uid="{AE3666B0-1931-4D4E-A49A-0B1A7988D2EF}"/>
  </bookViews>
  <sheets>
    <sheet name="data" sheetId="2" r:id="rId1"/>
    <sheet name="medals" sheetId="3" r:id="rId2"/>
    <sheet name="Staff" sheetId="4" r:id="rId3"/>
    <sheet name="Formulas" sheetId="1" r:id="rId4"/>
    <sheet name="Sheet2" sheetId="5" r:id="rId5"/>
    <sheet name="Sheet3" sheetId="6" r:id="rId6"/>
    <sheet name="Sheet6" sheetId="13" r:id="rId7"/>
    <sheet name="Sheet9" sheetId="16" r:id="rId8"/>
    <sheet name="Sheet10" sheetId="17" r:id="rId9"/>
    <sheet name="Sheet11" sheetId="18" r:id="rId10"/>
    <sheet name="Detail1" sheetId="21" r:id="rId11"/>
    <sheet name="Sheet21" sheetId="32" r:id="rId12"/>
    <sheet name="Sheet22" sheetId="33" r:id="rId13"/>
    <sheet name="Sheet1" sheetId="41" r:id="rId14"/>
    <sheet name="Sheet4" sheetId="42" r:id="rId15"/>
    <sheet name="Sheet5" sheetId="43" r:id="rId16"/>
    <sheet name="Sheet7" sheetId="44" r:id="rId17"/>
    <sheet name="Sheet13" sheetId="49" r:id="rId18"/>
    <sheet name="Sheet14" sheetId="50" r:id="rId19"/>
    <sheet name="Sheet15" sheetId="51" r:id="rId20"/>
    <sheet name="Sheet16" sheetId="52" r:id="rId21"/>
    <sheet name="Sheet17" sheetId="53" r:id="rId22"/>
    <sheet name="Sheet18" sheetId="54" r:id="rId23"/>
    <sheet name="Pivots" sheetId="48" r:id="rId24"/>
    <sheet name="Data (2)" sheetId="12" r:id="rId25"/>
    <sheet name="Assets" sheetId="11" r:id="rId26"/>
    <sheet name="customers" sheetId="10" r:id="rId27"/>
    <sheet name="calls" sheetId="9" r:id="rId28"/>
    <sheet name="Sheet8" sheetId="47" r:id="rId29"/>
  </sheets>
  <definedNames>
    <definedName name="_xlcn.WorksheetConnection_4hrsxl.xlsxData__2" hidden="1">Data__2[]</definedName>
    <definedName name="_xlcn.WorksheetConnection_introductionxl.xlsxcustomers" hidden="1">customers[]</definedName>
    <definedName name="ExternalData_1" localSheetId="27" hidden="1">'calls'!$A$1:$K$1001</definedName>
    <definedName name="ExternalData_1" localSheetId="0" hidden="1">data!$A$1:$I$58</definedName>
    <definedName name="ExternalData_1" localSheetId="1" hidden="1">medals!$A$1:$G$95</definedName>
    <definedName name="ExternalData_1" localSheetId="13" hidden="1">Sheet1!$A$3:$U$30</definedName>
    <definedName name="ExternalData_1" localSheetId="17" hidden="1">Sheet13!$A$3:$S$210</definedName>
    <definedName name="ExternalData_1" localSheetId="18" hidden="1">Sheet14!$A$3:$U$16</definedName>
    <definedName name="ExternalData_1" localSheetId="19" hidden="1">Sheet15!$A$3:$U$25</definedName>
    <definedName name="ExternalData_1" localSheetId="20" hidden="1">Sheet16!$A$3:$U$26</definedName>
    <definedName name="ExternalData_1" localSheetId="21" hidden="1">Sheet17!$A$3:$U$392</definedName>
    <definedName name="ExternalData_1" localSheetId="22" hidden="1">Sheet18!$A$3:$U$135</definedName>
    <definedName name="ExternalData_1" localSheetId="11" hidden="1">Sheet21!$A$3:$S$192</definedName>
    <definedName name="ExternalData_1" localSheetId="12" hidden="1">Sheet22!$A$3:$S$189</definedName>
    <definedName name="ExternalData_1" localSheetId="14" hidden="1">Sheet4!$A$3:$U$47</definedName>
    <definedName name="ExternalData_1" localSheetId="15" hidden="1">Sheet5!$A$3:$U$6</definedName>
    <definedName name="ExternalData_1" localSheetId="16" hidden="1">Sheet7!$A$3:$U$31</definedName>
    <definedName name="ExternalData_1" localSheetId="2" hidden="1">Staff!$A$1:$N$261</definedName>
    <definedName name="ExternalData_2" localSheetId="26" hidden="1">'customers'!$A$1:$D$16</definedName>
    <definedName name="ExternalData_3" localSheetId="25" hidden="1">Assets!$A$1:$B$6</definedName>
    <definedName name="ExternalData_4" localSheetId="24" hidden="1">'Data (2)'!$A$1:$S$1001</definedName>
    <definedName name="Slicer_Representative">#N/A</definedName>
    <definedName name="Slicer_Representative1">#N/A</definedName>
    <definedName name="Slicer_Representative2">#N/A</definedName>
  </definedNames>
  <calcPr calcId="191029"/>
  <pivotCaches>
    <pivotCache cacheId="0" r:id="rId30"/>
    <pivotCache cacheId="1" r:id="rId31"/>
    <pivotCache cacheId="2" r:id="rId32"/>
    <pivotCache cacheId="3" r:id="rId33"/>
    <pivotCache cacheId="4" r:id="rId34"/>
    <pivotCache cacheId="5" r:id="rId35"/>
    <pivotCache cacheId="6" r:id="rId36"/>
    <pivotCache cacheId="7" r:id="rId37"/>
    <pivotCache cacheId="8" r:id="rId38"/>
    <pivotCache cacheId="9" r:id="rId39"/>
  </pivotCaches>
  <extLst>
    <ext xmlns:x14="http://schemas.microsoft.com/office/spreadsheetml/2009/9/main" uri="{876F7934-8845-4945-9796-88D515C7AA90}">
      <x14:pivotCaches>
        <pivotCache cacheId="10" r:id="rId40"/>
      </x14:pivotCaches>
    </ext>
    <ext xmlns:x14="http://schemas.microsoft.com/office/spreadsheetml/2009/9/main" uri="{BBE1A952-AA13-448e-AADC-164F8A28A991}">
      <x14:slicerCaches>
        <x14:slicerCache r:id="rId41"/>
        <x14:slicerCache r:id="rId42"/>
        <x14:slicerCache r:id="rId4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introduction xl.xlsx!customers"/>
          <x15:modelTable id="Data__2" name="Data__2" connection="WorksheetConnection_4 hr s xl.xlsx!Data__2"/>
        </x15:modelTables>
        <x15:modelRelationships>
          <x15:modelRelationship fromTable="Data__2" fromColumn="Customer ID" toTable="customers" toColumn="Customer ID"/>
        </x15:modelRelationships>
        <x15:extLst>
          <ext xmlns:x16="http://schemas.microsoft.com/office/spreadsheetml/2014/11/main" uri="{9835A34E-60A6-4A7C-AAB8-D5F71C897F49}">
            <x16:modelTimeGroupings>
              <x16:modelTimeGrouping tableName="Data__2"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8" i="48" l="1"/>
  <c r="N18" i="47" a="1"/>
  <c r="N18" i="47" s="1"/>
  <c r="N17" i="47" a="1"/>
  <c r="N17" i="47" s="1"/>
  <c r="O45" i="48"/>
  <c r="F48" i="48" a="1"/>
  <c r="F48" i="48" s="1"/>
  <c r="S1002" i="12"/>
  <c r="I8" i="6"/>
  <c r="H8" i="6"/>
  <c r="H8" i="6" a="1"/>
  <c r="G8" i="6"/>
  <c r="G8" i="6" a="1"/>
  <c r="F8" i="6"/>
  <c r="F8" i="6" a="1"/>
  <c r="E8" i="6"/>
  <c r="E8" i="6" a="1"/>
  <c r="D8" i="6"/>
  <c r="D8" i="6" a="1"/>
  <c r="C8" i="6"/>
  <c r="C8" i="6" a="1"/>
  <c r="F5" i="6"/>
  <c r="E5" i="6"/>
  <c r="D5" i="6"/>
  <c r="B83" i="5" a="1"/>
  <c r="B83" i="5" s="1"/>
  <c r="B68" i="5" a="1"/>
  <c r="B68" i="5" s="1"/>
  <c r="B60" i="5" a="1"/>
  <c r="B60" i="5" s="1"/>
  <c r="C52" i="5"/>
  <c r="C52" i="5" a="1"/>
  <c r="C47" i="5"/>
  <c r="B40" i="5" a="1"/>
  <c r="B40" i="5" s="1"/>
  <c r="E25" i="5"/>
  <c r="C25" i="5"/>
  <c r="E24" i="5"/>
  <c r="C24" i="5"/>
  <c r="E23" i="5"/>
  <c r="C23" i="5"/>
  <c r="I22" i="5" a="1"/>
  <c r="I22" i="5" s="1"/>
  <c r="I21" i="5" a="1"/>
  <c r="I21" i="5" s="1"/>
  <c r="C21" i="5"/>
  <c r="C16" i="5"/>
  <c r="C15" i="5"/>
  <c r="C14" i="5"/>
  <c r="C13" i="5"/>
  <c r="I11" i="5"/>
  <c r="C11" i="5"/>
  <c r="I10" i="5"/>
  <c r="C10" i="5"/>
  <c r="I9" i="5"/>
  <c r="C9" i="5"/>
  <c r="I8" i="5"/>
  <c r="C8" i="5"/>
  <c r="E69" i="1"/>
  <c r="C69" i="1"/>
  <c r="C69" i="1" a="1"/>
  <c r="F58" i="1"/>
  <c r="F58" i="1" a="1"/>
  <c r="E58" i="1" a="1"/>
  <c r="E58" i="1" s="1"/>
  <c r="D58" i="1"/>
  <c r="D58" i="1" a="1"/>
  <c r="F51" i="1" a="1"/>
  <c r="F51" i="1" s="1"/>
  <c r="E51" i="1" a="1"/>
  <c r="E51" i="1" s="1"/>
  <c r="D51" i="1"/>
  <c r="F50" i="1" a="1"/>
  <c r="F50" i="1" s="1"/>
  <c r="E50" i="1" a="1"/>
  <c r="E50" i="1" s="1"/>
  <c r="D50" i="1"/>
  <c r="F49" i="1" a="1"/>
  <c r="F49" i="1" s="1"/>
  <c r="E49" i="1" a="1"/>
  <c r="E49" i="1" s="1"/>
  <c r="D49" i="1"/>
  <c r="F48" i="1" a="1"/>
  <c r="F48" i="1" s="1"/>
  <c r="E48" i="1" a="1"/>
  <c r="E48" i="1" s="1"/>
  <c r="D48" i="1"/>
  <c r="F47" i="1" a="1"/>
  <c r="F47" i="1" s="1"/>
  <c r="E47" i="1" a="1"/>
  <c r="E47" i="1" s="1"/>
  <c r="D47" i="1"/>
  <c r="F46" i="1"/>
  <c r="E46" i="1" a="1"/>
  <c r="E46" i="1" s="1"/>
  <c r="D46" i="1"/>
  <c r="F45" i="1"/>
  <c r="E45" i="1"/>
  <c r="D45" i="1"/>
  <c r="C21" i="1" a="1"/>
  <c r="C21" i="1" s="1"/>
  <c r="J5" i="1"/>
  <c r="J5" i="1" a="1"/>
  <c r="I5" i="1"/>
  <c r="I5" i="1" a="1"/>
  <c r="H5" i="1"/>
  <c r="H5" i="1" a="1"/>
  <c r="F5" i="1"/>
  <c r="F5" i="1" a="1"/>
  <c r="E5" i="1"/>
  <c r="E5" i="1" a="1"/>
  <c r="D5" i="1"/>
  <c r="D5" i="1" a="1"/>
  <c r="C5" i="1"/>
  <c r="C5" i="1" a="1"/>
  <c r="E1048576" i="2"/>
  <c r="G59" i="2"/>
  <c r="E59" i="2"/>
  <c r="J52" i="48" l="1"/>
  <c r="I48" i="48"/>
  <c r="I49" i="48"/>
  <c r="I50" i="48"/>
  <c r="I51" i="48"/>
  <c r="I52" i="48"/>
  <c r="J48" i="48"/>
  <c r="J49" i="48"/>
  <c r="J50" i="48"/>
  <c r="J51" i="4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3717AF-2746-4832-8DB4-D1548800BEC3}" keepAlive="1" name="ModelConnection_ExternalData_1" description="Data Model" type="5" refreshedVersion="8" minRefreshableVersion="5" saveData="1">
    <dbPr connection="Data Model Connection" command="DRILLTHROUGH MAXROWS 1000 SELECT FROM [Model] WHERE ([Data__2].[Representative].&amp;[R01],[Measures].[Calls_Count])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 commandType="4"/>
    <extLst>
      <ext xmlns:x15="http://schemas.microsoft.com/office/spreadsheetml/2010/11/main" uri="{DE250136-89BD-433C-8126-D09CA5730AF9}">
        <x15:connection id="" model="1"/>
      </ext>
    </extLst>
  </connection>
  <connection id="2" xr16:uid="{27F800A0-E6F3-4C7F-B781-3C71B2B26D46}" keepAlive="1" name="ModelConnection_ExternalData_11" description="Data Model" type="5" refreshedVersion="8" minRefreshableVersion="5" saveData="1">
    <dbPr connection="Data Model Connection" command="DRILLTHROUGH MAXROWS 1000 SELECT FROM [Model] WHERE ([Data__2].[Representative].&amp;[R04],[Measures].[Calls_Count])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 commandType="4"/>
    <extLst>
      <ext xmlns:x15="http://schemas.microsoft.com/office/spreadsheetml/2010/11/main" uri="{DE250136-89BD-433C-8126-D09CA5730AF9}">
        <x15:connection id="" model="1"/>
      </ext>
    </extLst>
  </connection>
  <connection id="3" xr16:uid="{8FF73613-DAE9-464E-AB14-21E7387540F1}" keepAlive="1" name="ModelConnection_ExternalData_110" description="Data Model" type="5" refreshedVersion="8" minRefreshableVersion="5" saveData="1">
    <dbPr connection="Data Model Connection" command="DRILLTHROUGH MAXROWS 1000 SELECT FROM [Model] WHERE (([Measures].[call count],[customers].[City].&amp;[Cleveland]))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Data__2].[Date of Call (Month)],[$Data__2].[Date of Call (Month Index)]" commandType="4"/>
    <extLst>
      <ext xmlns:x15="http://schemas.microsoft.com/office/spreadsheetml/2010/11/main" uri="{DE250136-89BD-433C-8126-D09CA5730AF9}">
        <x15:connection id="" model="1"/>
      </ext>
    </extLst>
  </connection>
  <connection id="4" xr16:uid="{47A3A5CA-DD19-4B91-80C4-1A27549DA17E}" keepAlive="1" name="ModelConnection_ExternalData_111" description="Data Model" type="5" refreshedVersion="8" minRefreshableVersion="5" saveData="1">
    <dbPr connection="Data Model Connection" command="DRILLTHROUGH MAXROWS 1000 SELECT FROM [Model] WHERE ((([Measures].[call count],[customers].[City].&amp;[Cincinnati]),[customers].[Gedner].&amp;[Male]))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Data__2].[Date of Call (Month)],[$Data__2].[Date of Call (Month Index)]" commandType="4"/>
    <extLst>
      <ext xmlns:x15="http://schemas.microsoft.com/office/spreadsheetml/2010/11/main" uri="{DE250136-89BD-433C-8126-D09CA5730AF9}">
        <x15:connection id="" model="1"/>
      </ext>
    </extLst>
  </connection>
  <connection id="5" xr16:uid="{C75937E3-9818-4F2C-8465-C7A889852933}" keepAlive="1" name="ModelConnection_ExternalData_12" description="Data Model" type="5" refreshedVersion="8" minRefreshableVersion="5" saveData="1">
    <dbPr connection="Data Model Connection" command="DRILLTHROUGH MAXROWS 1000 SELECT FROM [Model] WHERE (([Data__2].[Representative].&amp;[R05],[Measures].[Calls_Count],[Data__2].[Day of week].&amp;[Tuesday]))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Data__2].[Date of Call (Month)],[$Data__2].[Date of Call (Month Index)]" commandType="4"/>
    <extLst>
      <ext xmlns:x15="http://schemas.microsoft.com/office/spreadsheetml/2010/11/main" uri="{DE250136-89BD-433C-8126-D09CA5730AF9}">
        <x15:connection id="" model="1"/>
      </ext>
    </extLst>
  </connection>
  <connection id="6" xr16:uid="{B7660254-3A91-4A3C-98FB-7B8DBB34C8A6}" keepAlive="1" name="ModelConnection_ExternalData_13" description="Data Model" type="5" refreshedVersion="8" minRefreshableVersion="5" saveData="1">
    <dbPr connection="Data Model Connection" command="DRILLTHROUGH MAXROWS 1000 SELECT FROM [Model] WHERE (([Data__2].[Representative].&amp;[R05],[Measures].[Calls_Count],[Data__2].[Rating rounded].&amp;[3]))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Data__2].[Date of Call (Month)],[$Data__2].[Date of Call (Month Index)]" commandType="4"/>
    <extLst>
      <ext xmlns:x15="http://schemas.microsoft.com/office/spreadsheetml/2010/11/main" uri="{DE250136-89BD-433C-8126-D09CA5730AF9}">
        <x15:connection id="" model="1"/>
      </ext>
    </extLst>
  </connection>
  <connection id="7" xr16:uid="{46BC1DE7-719D-42C8-8DBD-5F93D055A8F9}" keepAlive="1" name="ModelConnection_ExternalData_14" description="Data Model" type="5" refreshedVersion="8" minRefreshableVersion="5" saveData="1">
    <dbPr connection="Data Model Connection" command="DRILLTHROUGH MAXROWS 1000 SELECT FROM [Model] WHERE (([Data__2].[Representative].&amp;[R04],[Measures].[Calls_Count],[Data__2].[Rating rounded].&amp;[1]))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Data__2].[Date of Call (Month)],[$Data__2].[Date of Call (Month Index)]" commandType="4"/>
    <extLst>
      <ext xmlns:x15="http://schemas.microsoft.com/office/spreadsheetml/2010/11/main" uri="{DE250136-89BD-433C-8126-D09CA5730AF9}">
        <x15:connection id="" model="1"/>
      </ext>
    </extLst>
  </connection>
  <connection id="8" xr16:uid="{45E607B7-54E6-4F36-9577-E95E3E348613}" keepAlive="1" name="ModelConnection_ExternalData_15" description="Data Model" type="5" refreshedVersion="8" minRefreshableVersion="5" saveData="1">
    <dbPr connection="Data Model Connection" command="DRILLTHROUGH MAXROWS 1000 SELECT FROM [Model] WHERE (([Data__2].[Representative].&amp;[R04],[Measures].[Calls_Count],[Data__2].[Day of week].&amp;[Tuesday]))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Data__2].[Date of Call (Month)],[$Data__2].[Date of Call (Month Index)]" commandType="4"/>
    <extLst>
      <ext xmlns:x15="http://schemas.microsoft.com/office/spreadsheetml/2010/11/main" uri="{DE250136-89BD-433C-8126-D09CA5730AF9}">
        <x15:connection id="" model="1"/>
      </ext>
    </extLst>
  </connection>
  <connection id="9" xr16:uid="{400F22E5-9577-437B-98BA-6A474A138EB7}" keepAlive="1" name="ModelConnection_ExternalData_16" description="Data Model" type="5" refreshedVersion="8" minRefreshableVersion="5" saveData="1">
    <dbPr connection="Data Model Connection" command="DRILLTHROUGH MAXROWS 1000 SELECT FROM [Model] WHERE ([Data__2].[Representative].&amp;[R03],[Measures].[Total Amount])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 commandType="4"/>
    <extLst>
      <ext xmlns:x15="http://schemas.microsoft.com/office/spreadsheetml/2010/11/main" uri="{DE250136-89BD-433C-8126-D09CA5730AF9}">
        <x15:connection id="" model="1"/>
      </ext>
    </extLst>
  </connection>
  <connection id="10" xr16:uid="{FB2F8B28-36DF-4B23-AA0A-852CA0AFA7D2}" keepAlive="1" name="ModelConnection_ExternalData_17" description="Data Model" type="5" refreshedVersion="8" minRefreshableVersion="5" saveData="1">
    <dbPr connection="Data Model Connection" command="DRILLTHROUGH MAXROWS 1000 SELECT FROM [Model] WHERE (([Data__2].[Representative].&amp;[R04],[Measures].[call count],[Data__2].[Date of Call (Month)].&amp;[Sep]))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Data__2].[Date of Call (Month)],[$Data__2].[Date of Call (Month Index)]" commandType="4"/>
    <extLst>
      <ext xmlns:x15="http://schemas.microsoft.com/office/spreadsheetml/2010/11/main" uri="{DE250136-89BD-433C-8126-D09CA5730AF9}">
        <x15:connection id="" model="1"/>
      </ext>
    </extLst>
  </connection>
  <connection id="11" xr16:uid="{9CF8C018-574C-4EBE-99D1-EAA1E505F83B}" keepAlive="1" name="ModelConnection_ExternalData_18" description="Data Model" type="5" refreshedVersion="8" minRefreshableVersion="5" saveData="1">
    <dbPr connection="Data Model Connection" command="DRILLTHROUGH MAXROWS 1000 SELECT FROM [Model] WHERE (([Data__2].[Representative].&amp;[R04],[Measures].[call count],[Data__2].[Date of Call (Month)].&amp;[May]))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Data__2].[Date of Call (Month)],[$Data__2].[Date of Call (Month Index)]" commandType="4"/>
    <extLst>
      <ext xmlns:x15="http://schemas.microsoft.com/office/spreadsheetml/2010/11/main" uri="{DE250136-89BD-433C-8126-D09CA5730AF9}">
        <x15:connection id="" model="1"/>
      </ext>
    </extLst>
  </connection>
  <connection id="12" xr16:uid="{E9E90E39-FE90-4A6B-B730-7CE58F77FF57}" keepAlive="1" name="ModelConnection_ExternalData_19" description="Data Model" type="5" refreshedVersion="8" minRefreshableVersion="5" saveData="1">
    <dbPr connection="Data Model Connection" command="DRILLTHROUGH MAXROWS 1000 SELECT FROM [Model] WHERE (([Data__2].[Representative].&amp;[R03],[Measures].[call count],[Data__2].[Date of Call (Month)].&amp;[May])) RETURN [$Data__2].[Call number],[$Data__2].[Customer ID],[$Data__2].[Duration],[$Data__2].[Representative],[$Data__2].[Date of Call],[$Data__2].[Purchase Amount],[$Data__2].[Satisfaction Rating],[$Data__2].[FY],[$Data__2].[Day of week],[$Data__2].[Duration Bucket],[$Data__2].[Rating rounded],[$Data__2].[employee tpe],[$Data__2].[Column2],[$Data__2].[Column3],[$Data__2].[Column4],[$Data__2].[Customer ID2],[$Data__2].[Gedner],[$Data__2].[Age],[$Data__2].[City],[$Data__2].[Date of Call (Month)],[$Data__2].[Date of Call (Month Index)]" commandType="4"/>
    <extLst>
      <ext xmlns:x15="http://schemas.microsoft.com/office/spreadsheetml/2010/11/main" uri="{DE250136-89BD-433C-8126-D09CA5730AF9}">
        <x15:connection id="" model="1"/>
      </ext>
    </extLst>
  </connection>
  <connection id="13" xr16:uid="{352C6548-9CDE-4E3E-B801-FA4E0A8931EE}" keepAlive="1" name="Query - Assets" description="Connection to the 'Assets' query in the workbook." type="5" refreshedVersion="8" background="1" saveData="1">
    <dbPr connection="Provider=Microsoft.Mashup.OleDb.1;Data Source=$Workbook$;Location=Assets;Extended Properties=&quot;&quot;" command="SELECT * FROM [Assets]"/>
  </connection>
  <connection id="14" xr16:uid="{A7AFDD73-5057-481D-9B92-80C469A5B619}" keepAlive="1" name="Query - calls" description="Connection to the 'calls' query in the workbook." type="5" refreshedVersion="8" background="1" saveData="1">
    <dbPr connection="Provider=Microsoft.Mashup.OleDb.1;Data Source=$Workbook$;Location=calls;Extended Properties=&quot;&quot;" command="SELECT * FROM [calls]"/>
  </connection>
  <connection id="15" xr16:uid="{5FA34E58-3135-4252-8F28-2B7FEB54EDC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16" xr16:uid="{ABB17205-627C-44D5-8556-DB473E366B2E}"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17" xr16:uid="{A0BFE8FB-D983-4D4A-82F3-85F9811DE817}" keepAlive="1" name="Query - Data (2)" description="Connection to the 'Data (2)' query in the workbook." type="5" refreshedVersion="8" background="1" saveData="1">
    <dbPr connection="Provider=Microsoft.Mashup.OleDb.1;Data Source=$Workbook$;Location=&quot;Data (2)&quot;;Extended Properties=&quot;&quot;" command="SELECT * FROM [Data (2)]"/>
  </connection>
  <connection id="18" xr16:uid="{E1971382-C81B-4BAF-B35C-AD5D834B6FD0}" keepAlive="1" name="Query - medals" description="Connection to the 'medals' query in the workbook." type="5" refreshedVersion="8" background="1" saveData="1">
    <dbPr connection="Provider=Microsoft.Mashup.OleDb.1;Data Source=$Workbook$;Location=medals;Extended Properties=&quot;&quot;" command="SELECT * FROM [medals]"/>
  </connection>
  <connection id="19" xr16:uid="{FDFDD913-3DD2-4EA5-8F5E-4A8471F75865}"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 id="20" xr16:uid="{4A9E8D61-4935-466D-854B-830109ACCA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1" xr16:uid="{098FF658-4F24-405A-B2A3-453ECE0CA198}" name="WorksheetConnection_4 hr s xl.xlsx!Data__2" type="102" refreshedVersion="8" minRefreshableVersion="5">
    <extLst>
      <ext xmlns:x15="http://schemas.microsoft.com/office/spreadsheetml/2010/11/main" uri="{DE250136-89BD-433C-8126-D09CA5730AF9}">
        <x15:connection id="Data__2" autoDelete="1">
          <x15:rangePr sourceName="_xlcn.WorksheetConnection_4hrsxl.xlsxData__2"/>
        </x15:connection>
      </ext>
    </extLst>
  </connection>
  <connection id="22" xr16:uid="{FEB9A58D-2148-479F-8462-934DAF348847}" name="WorksheetConnection_introduction xl.xlsx!customers" type="102" refreshedVersion="8" minRefreshableVersion="5">
    <extLst>
      <ext xmlns:x15="http://schemas.microsoft.com/office/spreadsheetml/2010/11/main" uri="{DE250136-89BD-433C-8126-D09CA5730AF9}">
        <x15:connection id="customers">
          <x15:rangePr sourceName="_xlcn.WorksheetConnection_introductionxl.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<sst xmlns="http://schemas.openxmlformats.org/spreadsheetml/2006/main" count="20902" uniqueCount="2135">
  <si>
    <t>Emp ID</t>
  </si>
  <si>
    <t>Name</t>
  </si>
  <si>
    <t>Gender</t>
  </si>
  <si>
    <t>Department</t>
  </si>
  <si>
    <t>Salary</t>
  </si>
  <si>
    <t>Start Date</t>
  </si>
  <si>
    <t>FTE</t>
  </si>
  <si>
    <t>Employee type</t>
  </si>
  <si>
    <t>Work location</t>
  </si>
  <si>
    <t>PR00007</t>
  </si>
  <si>
    <t>Torrance  Collier</t>
  </si>
  <si>
    <t>Female</t>
  </si>
  <si>
    <t>Training</t>
  </si>
  <si>
    <t>Permanent</t>
  </si>
  <si>
    <t>Wellington, New Zealand</t>
  </si>
  <si>
    <t>PR00095</t>
  </si>
  <si>
    <t>Devrat Damarsingh</t>
  </si>
  <si>
    <t>Business Development</t>
  </si>
  <si>
    <t>Hyderabad, India</t>
  </si>
  <si>
    <t>PR00113</t>
  </si>
  <si>
    <t>Van Tuxwell</t>
  </si>
  <si>
    <t>Columbus, USA</t>
  </si>
  <si>
    <t>PR00147</t>
  </si>
  <si>
    <t>Minerva Ricardot</t>
  </si>
  <si>
    <t>Male</t>
  </si>
  <si>
    <t>???</t>
  </si>
  <si>
    <t>Remote</t>
  </si>
  <si>
    <t>PR00246</t>
  </si>
  <si>
    <t>Husein Augar</t>
  </si>
  <si>
    <t>Marketing</t>
  </si>
  <si>
    <t>PR00419</t>
  </si>
  <si>
    <t>Billi Fellgate</t>
  </si>
  <si>
    <t>PR00576</t>
  </si>
  <si>
    <t>Lalitchandra Vadali</t>
  </si>
  <si>
    <t>Legal</t>
  </si>
  <si>
    <t>PR00746</t>
  </si>
  <si>
    <t>Hogan Iles</t>
  </si>
  <si>
    <t>Accounting</t>
  </si>
  <si>
    <t>PR00770</t>
  </si>
  <si>
    <t>Beryl Burnsyde</t>
  </si>
  <si>
    <t>PR00882</t>
  </si>
  <si>
    <t xml:space="preserve"> Jill Shipsey</t>
  </si>
  <si>
    <t>PR00893</t>
  </si>
  <si>
    <t>Vasavi Veeravasarapu</t>
  </si>
  <si>
    <t>Human Resources</t>
  </si>
  <si>
    <t>PR00916</t>
  </si>
  <si>
    <t>Inger Chapelhow</t>
  </si>
  <si>
    <t>Research and Development</t>
  </si>
  <si>
    <t>PR01055</t>
  </si>
  <si>
    <t>Devasree Fullara Saurin</t>
  </si>
  <si>
    <t>Chennai, India</t>
  </si>
  <si>
    <t>PR01159</t>
  </si>
  <si>
    <t>Mollie  Hanway</t>
  </si>
  <si>
    <t>Seattle, USA</t>
  </si>
  <si>
    <t>PR01211</t>
  </si>
  <si>
    <t>Enoch Dowrey</t>
  </si>
  <si>
    <t>Auckland, New Zealand</t>
  </si>
  <si>
    <t>PR01269</t>
  </si>
  <si>
    <t>Eleonore Airdrie</t>
  </si>
  <si>
    <t>Engineering</t>
  </si>
  <si>
    <t>PR01306</t>
  </si>
  <si>
    <t>Patti Dradey</t>
  </si>
  <si>
    <t>Services</t>
  </si>
  <si>
    <t>PR01346</t>
  </si>
  <si>
    <t>Adolph McNalley</t>
  </si>
  <si>
    <t>PR01383</t>
  </si>
  <si>
    <t>Addi Studdeard</t>
  </si>
  <si>
    <t>Product Management</t>
  </si>
  <si>
    <t>PR01476</t>
  </si>
  <si>
    <t>Jaishree Atasi Yavatkar</t>
  </si>
  <si>
    <t>PR01662</t>
  </si>
  <si>
    <t>Genevra Friday</t>
  </si>
  <si>
    <t>PR01943</t>
  </si>
  <si>
    <t>Rameshwari Chikodi</t>
  </si>
  <si>
    <t>PR01956</t>
  </si>
  <si>
    <t xml:space="preserve"> Jamesy O'Ferris</t>
  </si>
  <si>
    <t>PR02010</t>
  </si>
  <si>
    <t>Prerana Nishita</t>
  </si>
  <si>
    <t>PR02016</t>
  </si>
  <si>
    <t>Iris  Wagg</t>
  </si>
  <si>
    <t>PR02113</t>
  </si>
  <si>
    <t>Beverie Moffet</t>
  </si>
  <si>
    <t>Support</t>
  </si>
  <si>
    <t>PR02140</t>
  </si>
  <si>
    <t>Anjushri Chandiramani</t>
  </si>
  <si>
    <t>PR02208</t>
  </si>
  <si>
    <t>Gowri Sankar Chakrala</t>
  </si>
  <si>
    <t>PR02275</t>
  </si>
  <si>
    <t>Louise Lamming</t>
  </si>
  <si>
    <t>Sales</t>
  </si>
  <si>
    <t>PR02288</t>
  </si>
  <si>
    <t>Althea  Bronger</t>
  </si>
  <si>
    <t>PR02321</t>
  </si>
  <si>
    <t>Evanne  Sheryn</t>
  </si>
  <si>
    <t>PR02436</t>
  </si>
  <si>
    <t>Marmaduke Worssam</t>
  </si>
  <si>
    <t>PR02603</t>
  </si>
  <si>
    <t>Dinanath Simhambhatla</t>
  </si>
  <si>
    <t>PR02782</t>
  </si>
  <si>
    <t>Isaak Rawne</t>
  </si>
  <si>
    <t>PR02957</t>
  </si>
  <si>
    <t>Vaughn Carvill</t>
  </si>
  <si>
    <t>PR03034</t>
  </si>
  <si>
    <t>Sreenivasa Naik Gudiwada</t>
  </si>
  <si>
    <t>PR03137</t>
  </si>
  <si>
    <t>Jagajeet Viraj</t>
  </si>
  <si>
    <t>PR03158</t>
  </si>
  <si>
    <t>Danica Nayshe</t>
  </si>
  <si>
    <t>PR03271</t>
  </si>
  <si>
    <t>Stan  Tolliday</t>
  </si>
  <si>
    <t>PR03445</t>
  </si>
  <si>
    <t>Myrle Prandoni</t>
  </si>
  <si>
    <t>PR03532</t>
  </si>
  <si>
    <t>Crawford Scad</t>
  </si>
  <si>
    <t>PR03804</t>
  </si>
  <si>
    <t>Pratigya Rema</t>
  </si>
  <si>
    <t>Sartaj Probal</t>
  </si>
  <si>
    <t>PR03844</t>
  </si>
  <si>
    <t>Brose MacCorkell</t>
  </si>
  <si>
    <t>PR03886</t>
  </si>
  <si>
    <t>Edd  MacKnockiter</t>
  </si>
  <si>
    <t>PR03980</t>
  </si>
  <si>
    <t xml:space="preserve"> Kath Bletsoe</t>
  </si>
  <si>
    <t>PR04366</t>
  </si>
  <si>
    <t>Carry Loblie</t>
  </si>
  <si>
    <t>PR04380</t>
  </si>
  <si>
    <t>PR04446</t>
  </si>
  <si>
    <t>Sameer Shashank Sapra</t>
  </si>
  <si>
    <t>PR04473</t>
  </si>
  <si>
    <t xml:space="preserve"> Wyn Treadger</t>
  </si>
  <si>
    <t>PR04601</t>
  </si>
  <si>
    <t>Yedukondalu Panditula</t>
  </si>
  <si>
    <t>PR04686</t>
  </si>
  <si>
    <t>Oona Donan</t>
  </si>
  <si>
    <t>PR04851</t>
  </si>
  <si>
    <t>Rodina Drinan</t>
  </si>
  <si>
    <t>SQ00022</t>
  </si>
  <si>
    <t>Carlin Demke</t>
  </si>
  <si>
    <t>SQ00070</t>
  </si>
  <si>
    <t>Larissa Ingledow</t>
  </si>
  <si>
    <t>Rank</t>
  </si>
  <si>
    <t>NOC</t>
  </si>
  <si>
    <t>Gold</t>
  </si>
  <si>
    <t>Silver</t>
  </si>
  <si>
    <t>Bronze</t>
  </si>
  <si>
    <t>Total</t>
  </si>
  <si>
    <t>Division</t>
  </si>
  <si>
    <t>1</t>
  </si>
  <si>
    <t>United States</t>
  </si>
  <si>
    <t>2</t>
  </si>
  <si>
    <t>China</t>
  </si>
  <si>
    <t>3</t>
  </si>
  <si>
    <t>Japan</t>
  </si>
  <si>
    <t>4</t>
  </si>
  <si>
    <t>Great Britain</t>
  </si>
  <si>
    <t>5</t>
  </si>
  <si>
    <t>ROC</t>
  </si>
  <si>
    <t>6</t>
  </si>
  <si>
    <t>Australia</t>
  </si>
  <si>
    <t>7</t>
  </si>
  <si>
    <t>Netherlands</t>
  </si>
  <si>
    <t>8</t>
  </si>
  <si>
    <t>France</t>
  </si>
  <si>
    <t>9</t>
  </si>
  <si>
    <t>Germany</t>
  </si>
  <si>
    <t>10</t>
  </si>
  <si>
    <t>Italy</t>
  </si>
  <si>
    <t>11</t>
  </si>
  <si>
    <t>Canada</t>
  </si>
  <si>
    <t>12</t>
  </si>
  <si>
    <t>Brazil</t>
  </si>
  <si>
    <t>13</t>
  </si>
  <si>
    <t>New Zealand</t>
  </si>
  <si>
    <t>14</t>
  </si>
  <si>
    <t>Cuba</t>
  </si>
  <si>
    <t>15</t>
  </si>
  <si>
    <t>Hungary</t>
  </si>
  <si>
    <t>16</t>
  </si>
  <si>
    <t>South Korea</t>
  </si>
  <si>
    <t>17</t>
  </si>
  <si>
    <t>Poland</t>
  </si>
  <si>
    <t>18</t>
  </si>
  <si>
    <t>Czech Republic</t>
  </si>
  <si>
    <t>19</t>
  </si>
  <si>
    <t>Kenya</t>
  </si>
  <si>
    <t>20</t>
  </si>
  <si>
    <t>Norway</t>
  </si>
  <si>
    <t>21</t>
  </si>
  <si>
    <t>Jamaica</t>
  </si>
  <si>
    <t>22</t>
  </si>
  <si>
    <t>Spain</t>
  </si>
  <si>
    <t>23</t>
  </si>
  <si>
    <t>Sweden</t>
  </si>
  <si>
    <t>24</t>
  </si>
  <si>
    <t>Switzerland</t>
  </si>
  <si>
    <t>25</t>
  </si>
  <si>
    <t>Denmark</t>
  </si>
  <si>
    <t>26</t>
  </si>
  <si>
    <t>Croatia</t>
  </si>
  <si>
    <t>27</t>
  </si>
  <si>
    <t>Iran</t>
  </si>
  <si>
    <t>28</t>
  </si>
  <si>
    <t>Serbia</t>
  </si>
  <si>
    <t>29</t>
  </si>
  <si>
    <t>Belgium</t>
  </si>
  <si>
    <t>30</t>
  </si>
  <si>
    <t>Bulgaria</t>
  </si>
  <si>
    <t>31</t>
  </si>
  <si>
    <t>Slovenia</t>
  </si>
  <si>
    <t>32</t>
  </si>
  <si>
    <t>Uzbekistan</t>
  </si>
  <si>
    <t>33</t>
  </si>
  <si>
    <t>Georgia</t>
  </si>
  <si>
    <t>34</t>
  </si>
  <si>
    <t>Chinese Taipei</t>
  </si>
  <si>
    <t>35</t>
  </si>
  <si>
    <t>Turkey</t>
  </si>
  <si>
    <t>36</t>
  </si>
  <si>
    <t>Greece</t>
  </si>
  <si>
    <t>Uganda</t>
  </si>
  <si>
    <t>38</t>
  </si>
  <si>
    <t>Ecuador</t>
  </si>
  <si>
    <t>39</t>
  </si>
  <si>
    <t>Ireland</t>
  </si>
  <si>
    <t>Israel</t>
  </si>
  <si>
    <t>41</t>
  </si>
  <si>
    <t>Qatar</t>
  </si>
  <si>
    <t>42</t>
  </si>
  <si>
    <t>Bahamas</t>
  </si>
  <si>
    <t>Kosovo</t>
  </si>
  <si>
    <t>44</t>
  </si>
  <si>
    <t>Ukraine</t>
  </si>
  <si>
    <t>45</t>
  </si>
  <si>
    <t>Belarus</t>
  </si>
  <si>
    <t>46</t>
  </si>
  <si>
    <t>Romania</t>
  </si>
  <si>
    <t>Venezuela</t>
  </si>
  <si>
    <t>48</t>
  </si>
  <si>
    <t>India</t>
  </si>
  <si>
    <t>49</t>
  </si>
  <si>
    <t>Hong Kong</t>
  </si>
  <si>
    <t>50</t>
  </si>
  <si>
    <t>Philippines</t>
  </si>
  <si>
    <t>Slovakia</t>
  </si>
  <si>
    <t>52</t>
  </si>
  <si>
    <t>South Africa</t>
  </si>
  <si>
    <t>53</t>
  </si>
  <si>
    <t>Austria</t>
  </si>
  <si>
    <t>54</t>
  </si>
  <si>
    <t>Egypt</t>
  </si>
  <si>
    <t>55</t>
  </si>
  <si>
    <t>Indonesia</t>
  </si>
  <si>
    <t>56</t>
  </si>
  <si>
    <t>Ethiopia</t>
  </si>
  <si>
    <t>Portugal</t>
  </si>
  <si>
    <t>58</t>
  </si>
  <si>
    <t>Tunisia</t>
  </si>
  <si>
    <t>59</t>
  </si>
  <si>
    <t>Estonia</t>
  </si>
  <si>
    <t>Fiji</t>
  </si>
  <si>
    <t>Latvia</t>
  </si>
  <si>
    <t>Thailand</t>
  </si>
  <si>
    <t>63</t>
  </si>
  <si>
    <t>Bermuda</t>
  </si>
  <si>
    <t>Morocco</t>
  </si>
  <si>
    <t>Puerto Rico</t>
  </si>
  <si>
    <t>66</t>
  </si>
  <si>
    <t>Colombia</t>
  </si>
  <si>
    <t>67</t>
  </si>
  <si>
    <t>Azerbaijan</t>
  </si>
  <si>
    <t>68</t>
  </si>
  <si>
    <t>Dominican Republic</t>
  </si>
  <si>
    <t>69</t>
  </si>
  <si>
    <t>Armenia</t>
  </si>
  <si>
    <t>70</t>
  </si>
  <si>
    <t>Kyrgyzstan</t>
  </si>
  <si>
    <t>71</t>
  </si>
  <si>
    <t>Mongolia</t>
  </si>
  <si>
    <t>72</t>
  </si>
  <si>
    <t>Argentina</t>
  </si>
  <si>
    <t>San Marino</t>
  </si>
  <si>
    <t>74</t>
  </si>
  <si>
    <t>Jordan</t>
  </si>
  <si>
    <t>Malaysia</t>
  </si>
  <si>
    <t>Nigeria</t>
  </si>
  <si>
    <t>77</t>
  </si>
  <si>
    <t>Bahrain</t>
  </si>
  <si>
    <t>Lithuania</t>
  </si>
  <si>
    <t>Namibia</t>
  </si>
  <si>
    <t>North Macedonia</t>
  </si>
  <si>
    <t>Saudi Arabia</t>
  </si>
  <si>
    <t>Turkmenistan</t>
  </si>
  <si>
    <t>83</t>
  </si>
  <si>
    <t>Kazakhstan</t>
  </si>
  <si>
    <t>84</t>
  </si>
  <si>
    <t>Mexico</t>
  </si>
  <si>
    <t>85</t>
  </si>
  <si>
    <t>Finland</t>
  </si>
  <si>
    <t>86</t>
  </si>
  <si>
    <t>Botswana</t>
  </si>
  <si>
    <t>Burkina Faso</t>
  </si>
  <si>
    <t>Ghana</t>
  </si>
  <si>
    <t>Grenada</t>
  </si>
  <si>
    <t>Ivory Coast</t>
  </si>
  <si>
    <t>Kuwait</t>
  </si>
  <si>
    <t>Moldova</t>
  </si>
  <si>
    <t>Syria</t>
  </si>
  <si>
    <t>Totals (93 entries)</t>
  </si>
  <si>
    <t>First Name</t>
  </si>
  <si>
    <t>Sencond Name</t>
  </si>
  <si>
    <t>Salary Bucket</t>
  </si>
  <si>
    <t>work type.</t>
  </si>
  <si>
    <t>Age</t>
  </si>
  <si>
    <t>Total Years</t>
  </si>
  <si>
    <t>Minerva</t>
  </si>
  <si>
    <t>Ricardot</t>
  </si>
  <si>
    <t>Doctor</t>
  </si>
  <si>
    <t>good</t>
  </si>
  <si>
    <t>Full Time</t>
  </si>
  <si>
    <t>Oona</t>
  </si>
  <si>
    <t>Donan</t>
  </si>
  <si>
    <t>Average</t>
  </si>
  <si>
    <t>Part Time</t>
  </si>
  <si>
    <t>SQ04612</t>
  </si>
  <si>
    <t>Mick</t>
  </si>
  <si>
    <t>Spraberry</t>
  </si>
  <si>
    <t>VT01803</t>
  </si>
  <si>
    <t>Freddy</t>
  </si>
  <si>
    <t>Linford</t>
  </si>
  <si>
    <t>Fixed Term</t>
  </si>
  <si>
    <t>TN02749</t>
  </si>
  <si>
    <t>Parasuramudu</t>
  </si>
  <si>
    <t>Jamakayala</t>
  </si>
  <si>
    <t>SQ00144</t>
  </si>
  <si>
    <t>Collen</t>
  </si>
  <si>
    <t>Dunbleton</t>
  </si>
  <si>
    <t>Yedukondalu</t>
  </si>
  <si>
    <t>Panditula</t>
  </si>
  <si>
    <t>SQ01854</t>
  </si>
  <si>
    <t>Jessica</t>
  </si>
  <si>
    <t>Callcott</t>
  </si>
  <si>
    <t>SQ00612</t>
  </si>
  <si>
    <t>Leena</t>
  </si>
  <si>
    <t>Bruckshaw</t>
  </si>
  <si>
    <t>Billi</t>
  </si>
  <si>
    <t>Fellgate</t>
  </si>
  <si>
    <t>VT00578</t>
  </si>
  <si>
    <t>Magnum</t>
  </si>
  <si>
    <t>Locksley</t>
  </si>
  <si>
    <t>Under</t>
  </si>
  <si>
    <t>TN01281</t>
  </si>
  <si>
    <t>Cletus</t>
  </si>
  <si>
    <t>McGarahan</t>
  </si>
  <si>
    <t>Wyn</t>
  </si>
  <si>
    <t>Treadger</t>
  </si>
  <si>
    <t>VT02417</t>
  </si>
  <si>
    <t>Evangelina</t>
  </si>
  <si>
    <t>Lergan</t>
  </si>
  <si>
    <t>Temporary</t>
  </si>
  <si>
    <t>SQ00691</t>
  </si>
  <si>
    <t>Verla</t>
  </si>
  <si>
    <t>Timmis</t>
  </si>
  <si>
    <t>TN00214</t>
  </si>
  <si>
    <t>Devsena</t>
  </si>
  <si>
    <t>Veluvalapalli</t>
  </si>
  <si>
    <t>VT02539</t>
  </si>
  <si>
    <t>Devinne</t>
  </si>
  <si>
    <t>Tuny</t>
  </si>
  <si>
    <t>SQ04598</t>
  </si>
  <si>
    <t>Pearla</t>
  </si>
  <si>
    <t>Beteriss</t>
  </si>
  <si>
    <t>TN00464</t>
  </si>
  <si>
    <t>Gopal</t>
  </si>
  <si>
    <t>Venkata</t>
  </si>
  <si>
    <t>Vasavi</t>
  </si>
  <si>
    <t>Veeravasarapu</t>
  </si>
  <si>
    <t>Jill</t>
  </si>
  <si>
    <t>Shipsey</t>
  </si>
  <si>
    <t>Myrle</t>
  </si>
  <si>
    <t>Prandoni</t>
  </si>
  <si>
    <t>TN03416</t>
  </si>
  <si>
    <t>Seward</t>
  </si>
  <si>
    <t>Kubera</t>
  </si>
  <si>
    <t>TN00890</t>
  </si>
  <si>
    <t>Mayur</t>
  </si>
  <si>
    <t>Kousika</t>
  </si>
  <si>
    <t>VT04137</t>
  </si>
  <si>
    <t>Marissa</t>
  </si>
  <si>
    <t>Infante</t>
  </si>
  <si>
    <t>Dinanath</t>
  </si>
  <si>
    <t>Simhambhatla</t>
  </si>
  <si>
    <t>Danica</t>
  </si>
  <si>
    <t>Nayshe</t>
  </si>
  <si>
    <t>Althea</t>
  </si>
  <si>
    <t>Bronger</t>
  </si>
  <si>
    <t>VT03849</t>
  </si>
  <si>
    <t>Leonidas</t>
  </si>
  <si>
    <t>Cavaney</t>
  </si>
  <si>
    <t>SQ01395</t>
  </si>
  <si>
    <t>Dennison</t>
  </si>
  <si>
    <t>Crosswaite</t>
  </si>
  <si>
    <t>SQ02559</t>
  </si>
  <si>
    <t>Aldrich</t>
  </si>
  <si>
    <t>Glenny</t>
  </si>
  <si>
    <t>VT04627</t>
  </si>
  <si>
    <t>Yvette</t>
  </si>
  <si>
    <t>Bett</t>
  </si>
  <si>
    <t>VT03537</t>
  </si>
  <si>
    <t>Renaldo</t>
  </si>
  <si>
    <t>Thomassin</t>
  </si>
  <si>
    <t>Genevra</t>
  </si>
  <si>
    <t>Friday</t>
  </si>
  <si>
    <t>VT02313</t>
  </si>
  <si>
    <t>Thekla</t>
  </si>
  <si>
    <t>Lynnett</t>
  </si>
  <si>
    <t>SQ01620</t>
  </si>
  <si>
    <t>Westbrook</t>
  </si>
  <si>
    <t>Brandino</t>
  </si>
  <si>
    <t>VT04681</t>
  </si>
  <si>
    <t>Nickolai</t>
  </si>
  <si>
    <t>Artin</t>
  </si>
  <si>
    <t>TN04246</t>
  </si>
  <si>
    <t>Shaylyn</t>
  </si>
  <si>
    <t>Ransbury</t>
  </si>
  <si>
    <t>TN02570</t>
  </si>
  <si>
    <t>Grady</t>
  </si>
  <si>
    <t>Rochelle</t>
  </si>
  <si>
    <t>VT02801</t>
  </si>
  <si>
    <t>Shellysheldon</t>
  </si>
  <si>
    <t>Mahady</t>
  </si>
  <si>
    <t>SQ01177</t>
  </si>
  <si>
    <t>Nazeer</t>
  </si>
  <si>
    <t>Basha Mustafa</t>
  </si>
  <si>
    <t>VT01740</t>
  </si>
  <si>
    <t>Ginger</t>
  </si>
  <si>
    <t>Myott</t>
  </si>
  <si>
    <t>TN01876</t>
  </si>
  <si>
    <t>Aileen</t>
  </si>
  <si>
    <t>McCritchie</t>
  </si>
  <si>
    <t>VT03988</t>
  </si>
  <si>
    <t>Venkat</t>
  </si>
  <si>
    <t>Kodi</t>
  </si>
  <si>
    <t>TN00227</t>
  </si>
  <si>
    <t>Raghuveer</t>
  </si>
  <si>
    <t>Yettugunna</t>
  </si>
  <si>
    <t>VT01092</t>
  </si>
  <si>
    <t>Tabby</t>
  </si>
  <si>
    <t>Astall</t>
  </si>
  <si>
    <t>TN03169</t>
  </si>
  <si>
    <t>Doe</t>
  </si>
  <si>
    <t>Clubley</t>
  </si>
  <si>
    <t>SQ01402</t>
  </si>
  <si>
    <t>Sahaj</t>
  </si>
  <si>
    <t>Jonnalagadda</t>
  </si>
  <si>
    <t>SQ00360</t>
  </si>
  <si>
    <t>Orlando</t>
  </si>
  <si>
    <t>Gorstidge</t>
  </si>
  <si>
    <t>Gowri</t>
  </si>
  <si>
    <t>Sankar Chakrala</t>
  </si>
  <si>
    <t>SQ01637</t>
  </si>
  <si>
    <t>Joaquin</t>
  </si>
  <si>
    <t>McVitty</t>
  </si>
  <si>
    <t>TN03210</t>
  </si>
  <si>
    <t>Suman</t>
  </si>
  <si>
    <t>Katte</t>
  </si>
  <si>
    <t>Brose</t>
  </si>
  <si>
    <t>MacCorkell</t>
  </si>
  <si>
    <t>VT04093</t>
  </si>
  <si>
    <t>Prasanna</t>
  </si>
  <si>
    <t>Lakshmi Payasam</t>
  </si>
  <si>
    <t>SQ02246</t>
  </si>
  <si>
    <t>Matias</t>
  </si>
  <si>
    <t>Cormack</t>
  </si>
  <si>
    <t>TN03032</t>
  </si>
  <si>
    <t>Jaipal</t>
  </si>
  <si>
    <t>Potanapudi</t>
  </si>
  <si>
    <t>SQ00914</t>
  </si>
  <si>
    <t>Duran</t>
  </si>
  <si>
    <t>Appala</t>
  </si>
  <si>
    <t>SQ02525</t>
  </si>
  <si>
    <t>Mickie</t>
  </si>
  <si>
    <t>Dagwell</t>
  </si>
  <si>
    <t>Isaak</t>
  </si>
  <si>
    <t>Rawne</t>
  </si>
  <si>
    <t>TN03331</t>
  </si>
  <si>
    <t>Crawford</t>
  </si>
  <si>
    <t>Scad</t>
  </si>
  <si>
    <t>VT01249</t>
  </si>
  <si>
    <t>Brendan</t>
  </si>
  <si>
    <t>Edgeller</t>
  </si>
  <si>
    <t>Lalitchandra</t>
  </si>
  <si>
    <t>Vadali</t>
  </si>
  <si>
    <t>VT02260</t>
  </si>
  <si>
    <t>Rhiamon</t>
  </si>
  <si>
    <t>Mollison</t>
  </si>
  <si>
    <t>TN02883</t>
  </si>
  <si>
    <t>John</t>
  </si>
  <si>
    <t>Joseph</t>
  </si>
  <si>
    <t>SQ03024</t>
  </si>
  <si>
    <t>Inge</t>
  </si>
  <si>
    <t>Creer</t>
  </si>
  <si>
    <t>TN04428</t>
  </si>
  <si>
    <t>Tadio</t>
  </si>
  <si>
    <t>Audritt</t>
  </si>
  <si>
    <t>SQ03350</t>
  </si>
  <si>
    <t>Felice</t>
  </si>
  <si>
    <t>McMurty</t>
  </si>
  <si>
    <t>VT03421</t>
  </si>
  <si>
    <t>Alic</t>
  </si>
  <si>
    <t>Bagg</t>
  </si>
  <si>
    <t>Adolph</t>
  </si>
  <si>
    <t>McNalley</t>
  </si>
  <si>
    <t>VT02118</t>
  </si>
  <si>
    <t>Oorjit</t>
  </si>
  <si>
    <t>Nandanavanam</t>
  </si>
  <si>
    <t>TN02496</t>
  </si>
  <si>
    <t>Ponnan</t>
  </si>
  <si>
    <t>Delhi</t>
  </si>
  <si>
    <t>VT02491</t>
  </si>
  <si>
    <t>Alexis</t>
  </si>
  <si>
    <t>Gotfrey</t>
  </si>
  <si>
    <t>Kath</t>
  </si>
  <si>
    <t>Bletsoe</t>
  </si>
  <si>
    <t>VT03307</t>
  </si>
  <si>
    <t>Tallie</t>
  </si>
  <si>
    <t>Chaikovski</t>
  </si>
  <si>
    <t>TN04058</t>
  </si>
  <si>
    <t>Subbarao</t>
  </si>
  <si>
    <t>Malladi</t>
  </si>
  <si>
    <t>VT03993</t>
  </si>
  <si>
    <t>Dulce</t>
  </si>
  <si>
    <t>Colbeck</t>
  </si>
  <si>
    <t>VT02663</t>
  </si>
  <si>
    <t>Sravanthi</t>
  </si>
  <si>
    <t>Chalaki</t>
  </si>
  <si>
    <t>Sreenivasa</t>
  </si>
  <si>
    <t>Naik Gudiwada</t>
  </si>
  <si>
    <t>Mollie</t>
  </si>
  <si>
    <t>Hanway</t>
  </si>
  <si>
    <t>SQ03476</t>
  </si>
  <si>
    <t>Ramalingam</t>
  </si>
  <si>
    <t>Kothapeta</t>
  </si>
  <si>
    <t>Van</t>
  </si>
  <si>
    <t>Tuxwell</t>
  </si>
  <si>
    <t>TN00182</t>
  </si>
  <si>
    <t>Camilla</t>
  </si>
  <si>
    <t>Castle</t>
  </si>
  <si>
    <t>VT01523</t>
  </si>
  <si>
    <t>Charmane</t>
  </si>
  <si>
    <t>Heistermann</t>
  </si>
  <si>
    <t>Inger</t>
  </si>
  <si>
    <t>Chapelhow</t>
  </si>
  <si>
    <t>Enoch</t>
  </si>
  <si>
    <t>Dowrey</t>
  </si>
  <si>
    <t>VT01684</t>
  </si>
  <si>
    <t>Audry</t>
  </si>
  <si>
    <t>Yu</t>
  </si>
  <si>
    <t>TN04740</t>
  </si>
  <si>
    <t>Tristam</t>
  </si>
  <si>
    <t>Cuming</t>
  </si>
  <si>
    <t>TN03575</t>
  </si>
  <si>
    <t>Janina</t>
  </si>
  <si>
    <t>Wolverson</t>
  </si>
  <si>
    <t>VT04984</t>
  </si>
  <si>
    <t>Dell</t>
  </si>
  <si>
    <t>Molloy</t>
  </si>
  <si>
    <t>Devrat</t>
  </si>
  <si>
    <t>Damarsingh</t>
  </si>
  <si>
    <t>SQ03546</t>
  </si>
  <si>
    <t>Amlankusum</t>
  </si>
  <si>
    <t>Rajabhushan</t>
  </si>
  <si>
    <t>VT02374</t>
  </si>
  <si>
    <t>Delphine</t>
  </si>
  <si>
    <t>Jewis</t>
  </si>
  <si>
    <t>SQ00450</t>
  </si>
  <si>
    <t>Louise</t>
  </si>
  <si>
    <t>Lamming</t>
  </si>
  <si>
    <t>Pratigya</t>
  </si>
  <si>
    <t>Rema</t>
  </si>
  <si>
    <t>SQ04488</t>
  </si>
  <si>
    <t>Ramnath</t>
  </si>
  <si>
    <t>Ravuri</t>
  </si>
  <si>
    <t>TN00735</t>
  </si>
  <si>
    <t>Caresa</t>
  </si>
  <si>
    <t>Christer</t>
  </si>
  <si>
    <t>VT01893</t>
  </si>
  <si>
    <t>Lindy</t>
  </si>
  <si>
    <t>Guillet</t>
  </si>
  <si>
    <t>SQ02223</t>
  </si>
  <si>
    <t>Pippy</t>
  </si>
  <si>
    <t>Shepperd</t>
  </si>
  <si>
    <t>Prerana</t>
  </si>
  <si>
    <t>Nishita</t>
  </si>
  <si>
    <t>SQ00498</t>
  </si>
  <si>
    <t>Amery</t>
  </si>
  <si>
    <t>Ofer</t>
  </si>
  <si>
    <t>Beverie</t>
  </si>
  <si>
    <t>Moffet</t>
  </si>
  <si>
    <t>TN00727</t>
  </si>
  <si>
    <t>Dulsea</t>
  </si>
  <si>
    <t>Folkes</t>
  </si>
  <si>
    <t>SQ01697</t>
  </si>
  <si>
    <t>Makshi</t>
  </si>
  <si>
    <t>Vinutha</t>
  </si>
  <si>
    <t>SQ01519</t>
  </si>
  <si>
    <t>Caron</t>
  </si>
  <si>
    <t>Kolakovic</t>
  </si>
  <si>
    <t>VT03500</t>
  </si>
  <si>
    <t>Shiuli</t>
  </si>
  <si>
    <t>Sapna</t>
  </si>
  <si>
    <t>TN01210</t>
  </si>
  <si>
    <t>Alyosha</t>
  </si>
  <si>
    <t>Riquet</t>
  </si>
  <si>
    <t>SQ03321</t>
  </si>
  <si>
    <t>Gradey</t>
  </si>
  <si>
    <t>Litton</t>
  </si>
  <si>
    <t>Vasu</t>
  </si>
  <si>
    <t>Nandin</t>
  </si>
  <si>
    <t>SQ00841</t>
  </si>
  <si>
    <t>Bhuvan</t>
  </si>
  <si>
    <t>Pals</t>
  </si>
  <si>
    <t>SQ04603</t>
  </si>
  <si>
    <t>Natalee</t>
  </si>
  <si>
    <t>Craiker</t>
  </si>
  <si>
    <t>TN01028</t>
  </si>
  <si>
    <t>Alicea</t>
  </si>
  <si>
    <t>Pudsall</t>
  </si>
  <si>
    <t>VT04028</t>
  </si>
  <si>
    <t>Michale</t>
  </si>
  <si>
    <t>Rolf</t>
  </si>
  <si>
    <t>TN03068</t>
  </si>
  <si>
    <t>Gumwant</t>
  </si>
  <si>
    <t>Veera</t>
  </si>
  <si>
    <t>VT03701</t>
  </si>
  <si>
    <t>Narois</t>
  </si>
  <si>
    <t>Motiwala</t>
  </si>
  <si>
    <t>TN04101</t>
  </si>
  <si>
    <t>Marline</t>
  </si>
  <si>
    <t>Wahncke</t>
  </si>
  <si>
    <t>TN01632</t>
  </si>
  <si>
    <t>Katya</t>
  </si>
  <si>
    <t>Hundy</t>
  </si>
  <si>
    <t>Jamesy</t>
  </si>
  <si>
    <t>O'Ferris</t>
  </si>
  <si>
    <t>Anjushri</t>
  </si>
  <si>
    <t>Chandiramani</t>
  </si>
  <si>
    <t>SQ03626</t>
  </si>
  <si>
    <t>Krishnakanta</t>
  </si>
  <si>
    <t>Vellanki</t>
  </si>
  <si>
    <t>VT01610</t>
  </si>
  <si>
    <t>Dhruv</t>
  </si>
  <si>
    <t>Manjunath</t>
  </si>
  <si>
    <t>TN01340</t>
  </si>
  <si>
    <t>Granny</t>
  </si>
  <si>
    <t>Spencelayh</t>
  </si>
  <si>
    <t>TN00698</t>
  </si>
  <si>
    <t>Barbara-anne</t>
  </si>
  <si>
    <t>Kenchington</t>
  </si>
  <si>
    <t>SQ00960</t>
  </si>
  <si>
    <t>Calvin</t>
  </si>
  <si>
    <t>O'Carroll</t>
  </si>
  <si>
    <t>SQ01998</t>
  </si>
  <si>
    <t>Vanmala</t>
  </si>
  <si>
    <t>Shriharsha</t>
  </si>
  <si>
    <t>Sameer</t>
  </si>
  <si>
    <t>Shashank Sapra</t>
  </si>
  <si>
    <t>SQ01283</t>
  </si>
  <si>
    <t>Barr</t>
  </si>
  <si>
    <t>Faughny</t>
  </si>
  <si>
    <t>SQ01026</t>
  </si>
  <si>
    <t>Anumati</t>
  </si>
  <si>
    <t>Shyamari Meherhomji</t>
  </si>
  <si>
    <t>TN01912</t>
  </si>
  <si>
    <t>Fred</t>
  </si>
  <si>
    <t>Dudeney</t>
  </si>
  <si>
    <t>VT02319</t>
  </si>
  <si>
    <t>Tarala</t>
  </si>
  <si>
    <t>Vishaal</t>
  </si>
  <si>
    <t>SQ04960</t>
  </si>
  <si>
    <t>Shubhra</t>
  </si>
  <si>
    <t>Potla</t>
  </si>
  <si>
    <t>SQ01829</t>
  </si>
  <si>
    <t>Mabel</t>
  </si>
  <si>
    <t>Orrow</t>
  </si>
  <si>
    <t>Carlin</t>
  </si>
  <si>
    <t>Demke</t>
  </si>
  <si>
    <t>Hemavati</t>
  </si>
  <si>
    <t>Muthiah</t>
  </si>
  <si>
    <t>TN02798</t>
  </si>
  <si>
    <t>Krittika</t>
  </si>
  <si>
    <t>Gaekwad</t>
  </si>
  <si>
    <t>VT02532</t>
  </si>
  <si>
    <t>Adey</t>
  </si>
  <si>
    <t>Ryal</t>
  </si>
  <si>
    <t>Evanne</t>
  </si>
  <si>
    <t>Sheryn</t>
  </si>
  <si>
    <t>SQ03116</t>
  </si>
  <si>
    <t>Syd</t>
  </si>
  <si>
    <t>Fearn</t>
  </si>
  <si>
    <t>SQ02638</t>
  </si>
  <si>
    <t>Cara</t>
  </si>
  <si>
    <t>Havers</t>
  </si>
  <si>
    <t>VT03704</t>
  </si>
  <si>
    <t>Egor</t>
  </si>
  <si>
    <t>Minto</t>
  </si>
  <si>
    <t>VT04552</t>
  </si>
  <si>
    <t>Theresita</t>
  </si>
  <si>
    <t>Chasmer</t>
  </si>
  <si>
    <t>SQ04665</t>
  </si>
  <si>
    <t>Collin</t>
  </si>
  <si>
    <t>Jagson</t>
  </si>
  <si>
    <t>VT00336</t>
  </si>
  <si>
    <t>Shevantilal</t>
  </si>
  <si>
    <t>Muppala</t>
  </si>
  <si>
    <t>TN01256</t>
  </si>
  <si>
    <t>Shattesh</t>
  </si>
  <si>
    <t>Utpat</t>
  </si>
  <si>
    <t>Stan</t>
  </si>
  <si>
    <t>Tolliday</t>
  </si>
  <si>
    <t>VT01101</t>
  </si>
  <si>
    <t>Adela</t>
  </si>
  <si>
    <t>Dowsett</t>
  </si>
  <si>
    <t>TN04660</t>
  </si>
  <si>
    <t>Thedrick</t>
  </si>
  <si>
    <t>Bothwell</t>
  </si>
  <si>
    <t>VT00596</t>
  </si>
  <si>
    <t>Letisha</t>
  </si>
  <si>
    <t>Carrett</t>
  </si>
  <si>
    <t>VT03552</t>
  </si>
  <si>
    <t>Kamalakshi</t>
  </si>
  <si>
    <t>Mukundan</t>
  </si>
  <si>
    <t>TN00083</t>
  </si>
  <si>
    <t>Chandana</t>
  </si>
  <si>
    <t>Sannidhi Surnilla</t>
  </si>
  <si>
    <t>SQ02643</t>
  </si>
  <si>
    <t>Indu</t>
  </si>
  <si>
    <t>Varada Sumedh</t>
  </si>
  <si>
    <t>Karuna</t>
  </si>
  <si>
    <t>Pashupathy</t>
  </si>
  <si>
    <t>TN02674</t>
  </si>
  <si>
    <t>Antonetta</t>
  </si>
  <si>
    <t>Coggeshall</t>
  </si>
  <si>
    <t>TN02727</t>
  </si>
  <si>
    <t>Wald</t>
  </si>
  <si>
    <t>Bountiff</t>
  </si>
  <si>
    <t>VT01323</t>
  </si>
  <si>
    <t>Mardav</t>
  </si>
  <si>
    <t>Ramaswami</t>
  </si>
  <si>
    <t>Edd</t>
  </si>
  <si>
    <t>MacKnockiter</t>
  </si>
  <si>
    <t>Hogan</t>
  </si>
  <si>
    <t>Iles</t>
  </si>
  <si>
    <t>SQ03387</t>
  </si>
  <si>
    <t>Robinia</t>
  </si>
  <si>
    <t>Scholling</t>
  </si>
  <si>
    <t>SQ00105</t>
  </si>
  <si>
    <t>Sarayu</t>
  </si>
  <si>
    <t>Ragunathan</t>
  </si>
  <si>
    <t>SQ02424</t>
  </si>
  <si>
    <t>Kevalkumar</t>
  </si>
  <si>
    <t>Solanki</t>
  </si>
  <si>
    <t>VT01703</t>
  </si>
  <si>
    <t>Upendra</t>
  </si>
  <si>
    <t>Swati</t>
  </si>
  <si>
    <t>SQ02703</t>
  </si>
  <si>
    <t>Deepit</t>
  </si>
  <si>
    <t>Ranjana</t>
  </si>
  <si>
    <t>VT04373</t>
  </si>
  <si>
    <t>Edi</t>
  </si>
  <si>
    <t>Hofton</t>
  </si>
  <si>
    <t>SQ03733</t>
  </si>
  <si>
    <t>Revkah</t>
  </si>
  <si>
    <t>Antonacci</t>
  </si>
  <si>
    <t>VT04467</t>
  </si>
  <si>
    <t>Amal</t>
  </si>
  <si>
    <t>Nimesh</t>
  </si>
  <si>
    <t>Kunja</t>
  </si>
  <si>
    <t>Prashanta Vibha</t>
  </si>
  <si>
    <t>Iris</t>
  </si>
  <si>
    <t>Wagg</t>
  </si>
  <si>
    <t>VT04415</t>
  </si>
  <si>
    <t>Malory</t>
  </si>
  <si>
    <t>Biles</t>
  </si>
  <si>
    <t>TN04067</t>
  </si>
  <si>
    <t>Lea</t>
  </si>
  <si>
    <t>Chaplin</t>
  </si>
  <si>
    <t>TN04175</t>
  </si>
  <si>
    <t>Hinda</t>
  </si>
  <si>
    <t>Label</t>
  </si>
  <si>
    <t>VT00687</t>
  </si>
  <si>
    <t>Godavari</t>
  </si>
  <si>
    <t>Veena</t>
  </si>
  <si>
    <t>Eleonore</t>
  </si>
  <si>
    <t>Airdrie</t>
  </si>
  <si>
    <t>TN00579</t>
  </si>
  <si>
    <t>Rafaelita</t>
  </si>
  <si>
    <t>Blaksland</t>
  </si>
  <si>
    <t>TN03097</t>
  </si>
  <si>
    <t>Bendite</t>
  </si>
  <si>
    <t>Bloan</t>
  </si>
  <si>
    <t>SQ02174</t>
  </si>
  <si>
    <t>Sidoney</t>
  </si>
  <si>
    <t>Yitzhok</t>
  </si>
  <si>
    <t>Vaughn</t>
  </si>
  <si>
    <t>Carvill</t>
  </si>
  <si>
    <t>TN01601</t>
  </si>
  <si>
    <t>Melva</t>
  </si>
  <si>
    <t>Jickells</t>
  </si>
  <si>
    <t>SQ01730</t>
  </si>
  <si>
    <t>Austine</t>
  </si>
  <si>
    <t>Littlewood</t>
  </si>
  <si>
    <t>TN03355</t>
  </si>
  <si>
    <t>Ruby</t>
  </si>
  <si>
    <t>Cracie</t>
  </si>
  <si>
    <t>VT01246</t>
  </si>
  <si>
    <t>Zach</t>
  </si>
  <si>
    <t>Polon</t>
  </si>
  <si>
    <t>TN04166</t>
  </si>
  <si>
    <t>Dowdle</t>
  </si>
  <si>
    <t>Larissa</t>
  </si>
  <si>
    <t>Ingledow</t>
  </si>
  <si>
    <t>TN01701</t>
  </si>
  <si>
    <t>Yves</t>
  </si>
  <si>
    <t>Pawlik</t>
  </si>
  <si>
    <t>VT03298</t>
  </si>
  <si>
    <t>Nonah</t>
  </si>
  <si>
    <t>Bissell</t>
  </si>
  <si>
    <t>TN04892</t>
  </si>
  <si>
    <t>Luca</t>
  </si>
  <si>
    <t>Wolstenholme</t>
  </si>
  <si>
    <t>Devasree</t>
  </si>
  <si>
    <t>Fullara Saurin</t>
  </si>
  <si>
    <t>SQ04437</t>
  </si>
  <si>
    <t>Hephzibah</t>
  </si>
  <si>
    <t>Summerell</t>
  </si>
  <si>
    <t>Beryl</t>
  </si>
  <si>
    <t>Burnsyde</t>
  </si>
  <si>
    <t>VT01762</t>
  </si>
  <si>
    <t>Geena</t>
  </si>
  <si>
    <t>Raghavanpillai</t>
  </si>
  <si>
    <t>VT04273</t>
  </si>
  <si>
    <t>Brad</t>
  </si>
  <si>
    <t>Gumb</t>
  </si>
  <si>
    <t>SQ00187</t>
  </si>
  <si>
    <t>Rupak</t>
  </si>
  <si>
    <t>Mehra</t>
  </si>
  <si>
    <t>Addi</t>
  </si>
  <si>
    <t>Studdeard</t>
  </si>
  <si>
    <t>TN00258</t>
  </si>
  <si>
    <t>Joyce</t>
  </si>
  <si>
    <t>Leyband</t>
  </si>
  <si>
    <t>VT00476</t>
  </si>
  <si>
    <t>Hartin</t>
  </si>
  <si>
    <t>Sawini</t>
  </si>
  <si>
    <t>Chandan</t>
  </si>
  <si>
    <t>Baruna</t>
  </si>
  <si>
    <t>Ogale</t>
  </si>
  <si>
    <t>TN01566</t>
  </si>
  <si>
    <t>Fonzie</t>
  </si>
  <si>
    <t>O'Shea</t>
  </si>
  <si>
    <t>Rodina</t>
  </si>
  <si>
    <t>Drinan</t>
  </si>
  <si>
    <t>Torrance</t>
  </si>
  <si>
    <t>Collier</t>
  </si>
  <si>
    <t>SQ03491</t>
  </si>
  <si>
    <t>Freda</t>
  </si>
  <si>
    <t>Legan</t>
  </si>
  <si>
    <t>SQ02465</t>
  </si>
  <si>
    <t>Bernie</t>
  </si>
  <si>
    <t>Gorges</t>
  </si>
  <si>
    <t>VT00194</t>
  </si>
  <si>
    <t>Violante</t>
  </si>
  <si>
    <t>Courtonne</t>
  </si>
  <si>
    <t>TN00328</t>
  </si>
  <si>
    <t>Jeannie</t>
  </si>
  <si>
    <t>Petracco</t>
  </si>
  <si>
    <t>Jagajeet</t>
  </si>
  <si>
    <t>Viraj</t>
  </si>
  <si>
    <t>Husein</t>
  </si>
  <si>
    <t>Augar</t>
  </si>
  <si>
    <t>SQ02371</t>
  </si>
  <si>
    <t>Alida</t>
  </si>
  <si>
    <t>Welman</t>
  </si>
  <si>
    <t>VT04350</t>
  </si>
  <si>
    <t>Kulbhushan</t>
  </si>
  <si>
    <t>Moorthy</t>
  </si>
  <si>
    <t>SQ02035</t>
  </si>
  <si>
    <t>Anni</t>
  </si>
  <si>
    <t>Izzard</t>
  </si>
  <si>
    <t>SQ00286</t>
  </si>
  <si>
    <t>Ilesh</t>
  </si>
  <si>
    <t>Dasgupta</t>
  </si>
  <si>
    <t>TN02205</t>
  </si>
  <si>
    <t>Madhumati</t>
  </si>
  <si>
    <t>Gazala Soumitra</t>
  </si>
  <si>
    <t>VT00740</t>
  </si>
  <si>
    <t>Chitrasen</t>
  </si>
  <si>
    <t>Laul</t>
  </si>
  <si>
    <t>Jaishree</t>
  </si>
  <si>
    <t>Atasi Yavatkar</t>
  </si>
  <si>
    <t>SQ03112</t>
  </si>
  <si>
    <t>Kantimoy</t>
  </si>
  <si>
    <t>Pritish</t>
  </si>
  <si>
    <t>Rameshwari</t>
  </si>
  <si>
    <t>Chikodi</t>
  </si>
  <si>
    <t>Lalit</t>
  </si>
  <si>
    <t>Kothari</t>
  </si>
  <si>
    <t>VT01996</t>
  </si>
  <si>
    <t>Hali</t>
  </si>
  <si>
    <t>Behnecke</t>
  </si>
  <si>
    <t>Sahas</t>
  </si>
  <si>
    <t>Sanabhi Shrikant</t>
  </si>
  <si>
    <t>SQ02624</t>
  </si>
  <si>
    <t>Gwenneth</t>
  </si>
  <si>
    <t>Fealey</t>
  </si>
  <si>
    <t>SQ02565</t>
  </si>
  <si>
    <t>Konstantin</t>
  </si>
  <si>
    <t>Timblett</t>
  </si>
  <si>
    <t>SQ02582</t>
  </si>
  <si>
    <t>Kaishori</t>
  </si>
  <si>
    <t>Harathi Kateel</t>
  </si>
  <si>
    <t>TN02397</t>
  </si>
  <si>
    <t>Mendel</t>
  </si>
  <si>
    <t>Gentsch</t>
  </si>
  <si>
    <t>TN04265</t>
  </si>
  <si>
    <t>Rushil</t>
  </si>
  <si>
    <t>Kripa</t>
  </si>
  <si>
    <t>TN02204</t>
  </si>
  <si>
    <t>Patti</t>
  </si>
  <si>
    <t>Dradey</t>
  </si>
  <si>
    <t>VT03771</t>
  </si>
  <si>
    <t>Marjie</t>
  </si>
  <si>
    <t>Bamford</t>
  </si>
  <si>
    <t>SQ04613</t>
  </si>
  <si>
    <t>Sarojini</t>
  </si>
  <si>
    <t>Naueshwara</t>
  </si>
  <si>
    <t>Marmaduke</t>
  </si>
  <si>
    <t>Worssam</t>
  </si>
  <si>
    <t>VT00534</t>
  </si>
  <si>
    <t>Roselle</t>
  </si>
  <si>
    <t>Wandrach</t>
  </si>
  <si>
    <t>Sartaj</t>
  </si>
  <si>
    <t>Probal</t>
  </si>
  <si>
    <t>TN01396</t>
  </si>
  <si>
    <t>Koral</t>
  </si>
  <si>
    <t>Gerriet</t>
  </si>
  <si>
    <t>TN02377</t>
  </si>
  <si>
    <t>Anjela</t>
  </si>
  <si>
    <t>Spancock</t>
  </si>
  <si>
    <t>TN02988</t>
  </si>
  <si>
    <t>Mahindra</t>
  </si>
  <si>
    <t>Sreedharan</t>
  </si>
  <si>
    <t>VT04905</t>
  </si>
  <si>
    <t>Suchira</t>
  </si>
  <si>
    <t>Bhanupriya Tapti</t>
  </si>
  <si>
    <t>Carry</t>
  </si>
  <si>
    <t>Loblie</t>
  </si>
  <si>
    <t>Fullara</t>
  </si>
  <si>
    <t>Sushanti Mokate</t>
  </si>
  <si>
    <t>TN04775</t>
  </si>
  <si>
    <t>Hridaynath</t>
  </si>
  <si>
    <t>Tendulkar</t>
  </si>
  <si>
    <t>SQ03625</t>
  </si>
  <si>
    <t>Fidela</t>
  </si>
  <si>
    <t>Artis</t>
  </si>
  <si>
    <t>Headcount</t>
  </si>
  <si>
    <t>Total Salary</t>
  </si>
  <si>
    <t>avg</t>
  </si>
  <si>
    <t>ALL Employees with &gt; 100k Salary</t>
  </si>
  <si>
    <t>Lowest highest Top 5 salary Values</t>
  </si>
  <si>
    <t>lowest salary</t>
  </si>
  <si>
    <t>highest salary</t>
  </si>
  <si>
    <t>top 5 salary</t>
  </si>
  <si>
    <t>All employes</t>
  </si>
  <si>
    <t>females</t>
  </si>
  <si>
    <t>males</t>
  </si>
  <si>
    <t>with TAKE SORT</t>
  </si>
  <si>
    <r>
      <rPr>
        <b/>
        <sz val="22"/>
        <color theme="1"/>
        <rFont val="Aptos Narrow"/>
        <family val="2"/>
        <scheme val="minor"/>
      </rPr>
      <t xml:space="preserve"> </t>
    </r>
    <r>
      <rPr>
        <b/>
        <sz val="22"/>
        <color theme="9" tint="-0.249977111117893"/>
        <rFont val="Aptos Narrow"/>
        <family val="2"/>
        <scheme val="minor"/>
      </rPr>
      <t>Sort Top 5 Salary</t>
    </r>
  </si>
  <si>
    <t>List  all departments and count them</t>
  </si>
  <si>
    <t>Departments</t>
  </si>
  <si>
    <t>COUNTA</t>
  </si>
  <si>
    <t>Employee Lookup</t>
  </si>
  <si>
    <t>Employee ID</t>
  </si>
  <si>
    <t>First  name:</t>
  </si>
  <si>
    <t>Last name:</t>
  </si>
  <si>
    <t>Department:</t>
  </si>
  <si>
    <t>Salary:</t>
  </si>
  <si>
    <t>Last Name:</t>
  </si>
  <si>
    <t>kodi</t>
  </si>
  <si>
    <t>WITH  XLOOKUP</t>
  </si>
  <si>
    <t>employe salary &gt; 120000</t>
  </si>
  <si>
    <t>complex Formula :Highest Salary Person</t>
  </si>
  <si>
    <t>one person</t>
  </si>
  <si>
    <t>ALL Persons:</t>
  </si>
  <si>
    <t>All employees joined in March</t>
  </si>
  <si>
    <t>Department report of headcounts,salaries and % diff from overall average</t>
  </si>
  <si>
    <t xml:space="preserve">department </t>
  </si>
  <si>
    <t>headcount</t>
  </si>
  <si>
    <t>Avg.Salary</t>
  </si>
  <si>
    <t>%  diff from overall avg.</t>
  </si>
  <si>
    <t>Highest   Salary</t>
  </si>
  <si>
    <t xml:space="preserve">All     Departments </t>
  </si>
  <si>
    <t>Median    Salary</t>
  </si>
  <si>
    <t xml:space="preserve"> Female   Ratio</t>
  </si>
  <si>
    <t>Call number</t>
  </si>
  <si>
    <t>Customer ID</t>
  </si>
  <si>
    <t>Duration</t>
  </si>
  <si>
    <t>Representative</t>
  </si>
  <si>
    <t>Date of Call</t>
  </si>
  <si>
    <t>Purchase Amount</t>
  </si>
  <si>
    <t>Satisfaction Rating</t>
  </si>
  <si>
    <t>FY</t>
  </si>
  <si>
    <t>Day of week</t>
  </si>
  <si>
    <t>Duration Bucket</t>
  </si>
  <si>
    <t>Rating rounded</t>
  </si>
  <si>
    <t>Call_7271</t>
  </si>
  <si>
    <t>C0003</t>
  </si>
  <si>
    <t>R05</t>
  </si>
  <si>
    <t>Sunday</t>
  </si>
  <si>
    <t>1 to 2 hours</t>
  </si>
  <si>
    <t>Call_7272</t>
  </si>
  <si>
    <t>C0004</t>
  </si>
  <si>
    <t>Call_7273</t>
  </si>
  <si>
    <t>C0005</t>
  </si>
  <si>
    <t>R02</t>
  </si>
  <si>
    <t>Call_7274</t>
  </si>
  <si>
    <t>C0014</t>
  </si>
  <si>
    <t>Call_7275</t>
  </si>
  <si>
    <t>C0011</t>
  </si>
  <si>
    <t>R01</t>
  </si>
  <si>
    <t>Monday</t>
  </si>
  <si>
    <t>More than 2 hours</t>
  </si>
  <si>
    <t>Call_7276</t>
  </si>
  <si>
    <t>Tuesday</t>
  </si>
  <si>
    <t>30 to 60 mins</t>
  </si>
  <si>
    <t>Call_7277</t>
  </si>
  <si>
    <t>C0007</t>
  </si>
  <si>
    <t>Call_7278</t>
  </si>
  <si>
    <t>R04</t>
  </si>
  <si>
    <t>Call_7279</t>
  </si>
  <si>
    <t>Call_7280</t>
  </si>
  <si>
    <t>C0010</t>
  </si>
  <si>
    <t>R03</t>
  </si>
  <si>
    <t>Call_7281</t>
  </si>
  <si>
    <t>Call_7282</t>
  </si>
  <si>
    <t>C0013</t>
  </si>
  <si>
    <t>Call_7283</t>
  </si>
  <si>
    <t>C0002</t>
  </si>
  <si>
    <t>Wednesday</t>
  </si>
  <si>
    <t>Call_7284</t>
  </si>
  <si>
    <t>Call_7285</t>
  </si>
  <si>
    <t>Call_7286</t>
  </si>
  <si>
    <t>Thursday</t>
  </si>
  <si>
    <t>Call_7287</t>
  </si>
  <si>
    <t>Call_7288</t>
  </si>
  <si>
    <t>C0009</t>
  </si>
  <si>
    <t>10 to 30 mins</t>
  </si>
  <si>
    <t>Call_7289</t>
  </si>
  <si>
    <t>Call_7290</t>
  </si>
  <si>
    <t>C0006</t>
  </si>
  <si>
    <t>Call_7291</t>
  </si>
  <si>
    <t>Call_7292</t>
  </si>
  <si>
    <t>Saturday</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</si>
  <si>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</si>
  <si>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</si>
  <si>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</si>
  <si>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</si>
  <si>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</si>
  <si>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</si>
  <si>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</si>
  <si>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</si>
  <si>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</si>
  <si>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</si>
  <si>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</si>
  <si>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</si>
  <si>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</si>
  <si>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</si>
  <si>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</si>
  <si>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</si>
  <si>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</si>
  <si>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</si>
  <si>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</si>
  <si>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</si>
  <si>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</si>
  <si>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</si>
  <si>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</si>
  <si>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</si>
  <si>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</si>
  <si>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</si>
  <si>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</si>
  <si>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</si>
  <si>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</si>
  <si>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</si>
  <si>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</si>
  <si>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</si>
  <si>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</si>
  <si>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</si>
  <si>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</si>
  <si>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</si>
  <si>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</si>
  <si>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</si>
  <si>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</si>
  <si>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</si>
  <si>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</si>
  <si>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</si>
  <si>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</si>
  <si>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</si>
  <si>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</si>
  <si>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</si>
  <si>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</si>
  <si>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</si>
  <si>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</si>
  <si>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</si>
  <si>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</si>
  <si>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</si>
  <si>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</si>
  <si>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</si>
  <si>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</si>
  <si>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</si>
  <si>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</si>
  <si>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</si>
  <si>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</si>
  <si>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</si>
  <si>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</si>
  <si>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</si>
  <si>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</si>
  <si>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</si>
  <si>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</si>
  <si>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</si>
  <si>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</si>
  <si>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</si>
  <si>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</si>
  <si>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</si>
  <si>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</si>
  <si>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</si>
  <si>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</si>
  <si>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</si>
  <si>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</si>
  <si>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</si>
  <si>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</si>
  <si>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</si>
  <si>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</si>
  <si>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</si>
  <si>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</si>
  <si>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</si>
  <si>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</si>
  <si>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</si>
  <si>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</si>
  <si>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</si>
  <si>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</si>
  <si>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</si>
  <si>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</si>
  <si>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</si>
  <si>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</si>
  <si>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</si>
  <si>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</si>
  <si>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</si>
  <si>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</si>
  <si>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</si>
  <si>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</si>
  <si>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</si>
  <si>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</si>
  <si>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</si>
  <si>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</si>
  <si>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</si>
  <si>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</si>
  <si>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</si>
  <si>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</si>
  <si>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</si>
  <si>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</si>
  <si>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</si>
  <si>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</si>
  <si>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</si>
  <si>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</si>
  <si>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</si>
  <si>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</si>
  <si>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</si>
  <si>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</si>
  <si>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</si>
  <si>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</si>
  <si>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</si>
  <si>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</si>
  <si>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</si>
  <si>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</si>
  <si>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</si>
  <si>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</si>
  <si>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Under 10 mins</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</si>
  <si>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</si>
  <si>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</si>
  <si>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</si>
  <si>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</si>
  <si>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</si>
  <si>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</si>
  <si>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</si>
  <si>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</si>
  <si>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</si>
  <si>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</si>
  <si>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</si>
  <si>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</si>
  <si>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</si>
  <si>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</si>
  <si>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</si>
  <si>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</si>
  <si>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</si>
  <si>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</si>
  <si>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</si>
  <si>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</si>
  <si>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</si>
  <si>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</si>
  <si>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</si>
  <si>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</si>
  <si>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</si>
  <si>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</si>
  <si>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</si>
  <si>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</si>
  <si>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</si>
  <si>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</si>
  <si>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</si>
  <si>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</si>
  <si>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</si>
  <si>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</si>
  <si>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</si>
  <si>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</si>
  <si>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</si>
  <si>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</si>
  <si>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</si>
  <si>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</si>
  <si>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</si>
  <si>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</si>
  <si>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</si>
  <si>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</si>
  <si>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</si>
  <si>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</si>
  <si>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</si>
  <si>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</si>
  <si>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</si>
  <si>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</si>
  <si>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</si>
  <si>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</si>
  <si>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</si>
  <si>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</si>
  <si>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</si>
  <si>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</si>
  <si>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</si>
  <si>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</si>
  <si>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</si>
  <si>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</si>
  <si>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</si>
  <si>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</si>
  <si>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</si>
  <si>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</si>
  <si>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</si>
  <si>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</si>
  <si>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</si>
  <si>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</si>
  <si>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</si>
  <si>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</si>
  <si>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</si>
  <si>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</si>
  <si>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</si>
  <si>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</si>
  <si>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</si>
  <si>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</si>
  <si>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</si>
  <si>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</si>
  <si>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</si>
  <si>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</si>
  <si>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</si>
  <si>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</si>
  <si>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</si>
  <si>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</si>
  <si>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</si>
  <si>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</si>
  <si>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</si>
  <si>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</si>
  <si>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</si>
  <si>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</si>
  <si>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</si>
  <si>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</si>
  <si>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</si>
  <si>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</si>
  <si>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</si>
  <si>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</si>
  <si>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</si>
  <si>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</si>
  <si>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</si>
  <si>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</si>
  <si>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</si>
  <si>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</si>
  <si>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</si>
  <si>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</si>
  <si>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</si>
  <si>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</si>
  <si>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</si>
  <si>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</si>
  <si>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</si>
  <si>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</si>
  <si>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</si>
  <si>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</si>
  <si>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</si>
  <si>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</si>
  <si>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</si>
  <si>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</si>
  <si>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</si>
  <si>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</si>
  <si>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</si>
  <si>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</si>
  <si>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</si>
  <si>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</si>
  <si>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</si>
  <si>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</si>
  <si>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</si>
  <si>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</si>
  <si>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</si>
  <si>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</si>
  <si>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</si>
  <si>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</si>
  <si>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</si>
  <si>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</si>
  <si>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</si>
  <si>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</si>
  <si>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</si>
  <si>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</si>
  <si>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</si>
  <si>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</si>
  <si>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</si>
  <si>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</si>
  <si>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</si>
  <si>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</si>
  <si>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</si>
  <si>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</si>
  <si>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</si>
  <si>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</si>
  <si>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</si>
  <si>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</si>
  <si>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</si>
  <si>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</si>
  <si>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</si>
  <si>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</si>
  <si>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</si>
  <si>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</si>
  <si>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</si>
  <si>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</si>
  <si>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</si>
  <si>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</si>
  <si>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</si>
  <si>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</si>
  <si>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</si>
  <si>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</si>
  <si>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</si>
  <si>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</si>
  <si>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</si>
  <si>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</si>
  <si>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</si>
  <si>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</si>
  <si>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</si>
  <si>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</si>
  <si>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</si>
  <si>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</si>
  <si>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</si>
  <si>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</si>
  <si>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</si>
  <si>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</si>
  <si>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</si>
  <si>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</si>
  <si>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</si>
  <si>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</si>
  <si>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</si>
  <si>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</si>
  <si>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</si>
  <si>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</si>
  <si>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</si>
  <si>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</si>
  <si>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</si>
  <si>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</si>
  <si>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</si>
  <si>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</si>
  <si>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</si>
  <si>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</si>
  <si>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</si>
  <si>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</si>
  <si>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</si>
  <si>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</si>
  <si>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</si>
  <si>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</si>
  <si>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</si>
  <si>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</si>
  <si>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</si>
  <si>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</si>
  <si>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</si>
  <si>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</si>
  <si>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</si>
  <si>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</si>
  <si>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</si>
  <si>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</si>
  <si>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</si>
  <si>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</si>
  <si>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</si>
  <si>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</si>
  <si>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</si>
  <si>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</si>
  <si>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</si>
  <si>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</si>
  <si>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</si>
  <si>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</si>
  <si>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</si>
  <si>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</si>
  <si>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</si>
  <si>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</si>
  <si>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</si>
  <si>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</si>
  <si>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</si>
  <si>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</si>
  <si>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</si>
  <si>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</si>
  <si>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</si>
  <si>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</si>
  <si>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</si>
  <si>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</si>
  <si>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</si>
  <si>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</si>
  <si>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</si>
  <si>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</si>
  <si>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</si>
  <si>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</si>
  <si>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</si>
  <si>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</si>
  <si>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</si>
  <si>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</si>
  <si>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</si>
  <si>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</si>
  <si>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</si>
  <si>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</si>
  <si>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</si>
  <si>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</si>
  <si>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</si>
  <si>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</si>
  <si>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</si>
  <si>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</si>
  <si>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</si>
  <si>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</si>
  <si>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</si>
  <si>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</si>
  <si>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</si>
  <si>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</si>
  <si>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</si>
  <si>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</si>
  <si>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</si>
  <si>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</si>
  <si>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</si>
  <si>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</si>
  <si>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</si>
  <si>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</si>
  <si>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</si>
  <si>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</si>
  <si>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</si>
  <si>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</si>
  <si>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</si>
  <si>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</si>
  <si>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</si>
  <si>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</si>
  <si>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</si>
  <si>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</si>
  <si>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</si>
  <si>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</si>
  <si>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</si>
  <si>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</si>
  <si>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</si>
  <si>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</si>
  <si>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</si>
  <si>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</si>
  <si>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</si>
  <si>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</si>
  <si>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</si>
  <si>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</si>
  <si>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</si>
  <si>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</si>
  <si>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</si>
  <si>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</si>
  <si>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</si>
  <si>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</si>
  <si>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</si>
  <si>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</si>
  <si>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</si>
  <si>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</si>
  <si>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</si>
  <si>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</si>
  <si>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</si>
  <si>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</si>
  <si>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</si>
  <si>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</si>
  <si>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</si>
  <si>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</si>
  <si>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</si>
  <si>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</si>
  <si>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</si>
  <si>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</si>
  <si>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</si>
  <si>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</si>
  <si>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</si>
  <si>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</si>
  <si>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</si>
  <si>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</si>
  <si>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</si>
  <si>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</si>
  <si>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</si>
  <si>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</si>
  <si>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</si>
  <si>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</si>
  <si>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</si>
  <si>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</si>
  <si>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</si>
  <si>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</si>
  <si>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</si>
  <si>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</si>
  <si>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</si>
  <si>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</si>
  <si>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</si>
  <si>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</si>
  <si>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</si>
  <si>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</si>
  <si>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</si>
  <si>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</si>
  <si>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</si>
  <si>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</si>
  <si>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</si>
  <si>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</si>
  <si>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</si>
  <si>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</si>
  <si>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</si>
  <si>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</si>
  <si>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</si>
  <si>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</si>
  <si>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</si>
  <si>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</si>
  <si>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</si>
  <si>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</si>
  <si>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</si>
  <si>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</si>
  <si>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</si>
  <si>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</si>
  <si>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</si>
  <si>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</si>
  <si>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</si>
  <si>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</si>
  <si>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</si>
  <si>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</si>
  <si>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</si>
  <si>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</si>
  <si>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</si>
  <si>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</si>
  <si>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</si>
  <si>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</si>
  <si>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</si>
  <si>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</si>
  <si>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</si>
  <si>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</si>
  <si>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</si>
  <si>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</si>
  <si>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</si>
  <si>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</si>
  <si>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</si>
  <si>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</si>
  <si>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</si>
  <si>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</si>
  <si>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</si>
  <si>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</si>
  <si>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</si>
  <si>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</si>
  <si>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</si>
  <si>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</si>
  <si>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</si>
  <si>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</si>
  <si>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</si>
  <si>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</si>
  <si>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</si>
  <si>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</si>
  <si>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</si>
  <si>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</si>
  <si>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</si>
  <si>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</si>
  <si>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</si>
  <si>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</si>
  <si>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</si>
  <si>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</si>
  <si>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</si>
  <si>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</si>
  <si>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</si>
  <si>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</si>
  <si>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</si>
  <si>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</si>
  <si>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</si>
  <si>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</si>
  <si>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</si>
  <si>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</si>
  <si>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</si>
  <si>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</si>
  <si>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</si>
  <si>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</si>
  <si>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</si>
  <si>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</si>
  <si>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</si>
  <si>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</si>
  <si>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</si>
  <si>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</si>
  <si>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</si>
  <si>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</si>
  <si>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</si>
  <si>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</si>
  <si>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</si>
  <si>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</si>
  <si>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</si>
  <si>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</si>
  <si>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</si>
  <si>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</si>
  <si>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</si>
  <si>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</si>
  <si>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</si>
  <si>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</si>
  <si>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</si>
  <si>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</si>
  <si>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</si>
  <si>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</si>
  <si>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</si>
  <si>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</si>
  <si>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</si>
  <si>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</si>
  <si>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</si>
  <si>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</si>
  <si>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</si>
  <si>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</si>
  <si>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</si>
  <si>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</si>
  <si>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</si>
  <si>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</si>
  <si>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</si>
  <si>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</si>
  <si>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</si>
  <si>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</si>
  <si>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</si>
  <si>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</si>
  <si>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</si>
  <si>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</si>
  <si>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</si>
  <si>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</si>
  <si>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</si>
  <si>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</si>
  <si>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</si>
  <si>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</si>
  <si>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</si>
  <si>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</si>
  <si>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</si>
  <si>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</si>
  <si>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</si>
  <si>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</si>
  <si>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</si>
  <si>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</si>
  <si>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</si>
  <si>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</si>
  <si>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</si>
  <si>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</si>
  <si>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</si>
  <si>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</si>
  <si>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</si>
  <si>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</si>
  <si>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</si>
  <si>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</si>
  <si>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</si>
  <si>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</si>
  <si>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</si>
  <si>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</si>
  <si>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</si>
  <si>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</si>
  <si>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</si>
  <si>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</si>
  <si>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</si>
  <si>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</si>
  <si>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</si>
  <si>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</si>
  <si>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</si>
  <si>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</si>
  <si>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</si>
  <si>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</si>
  <si>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</si>
  <si>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</si>
  <si>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</si>
  <si>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</si>
  <si>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</si>
  <si>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</si>
  <si>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</si>
  <si>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</si>
  <si>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</si>
  <si>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</si>
  <si>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</si>
  <si>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</si>
  <si>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</si>
  <si>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</si>
  <si>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</si>
  <si>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</si>
  <si>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</si>
  <si>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</si>
  <si>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</si>
  <si>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</si>
  <si>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</si>
  <si>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</si>
  <si>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</si>
  <si>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</si>
  <si>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</si>
  <si>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</si>
  <si>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</si>
  <si>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</si>
  <si>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</si>
  <si>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</si>
  <si>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</si>
  <si>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</si>
  <si>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</si>
  <si>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</si>
  <si>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</si>
  <si>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</si>
  <si>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</si>
  <si>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</si>
  <si>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</si>
  <si>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</si>
  <si>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</si>
  <si>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</si>
  <si>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</si>
  <si>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</si>
  <si>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</si>
  <si>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</si>
  <si>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</si>
  <si>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</si>
  <si>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</si>
  <si>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</si>
  <si>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</si>
  <si>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</si>
  <si>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</si>
  <si>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</si>
  <si>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</si>
  <si>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</si>
  <si>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</si>
  <si>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</si>
  <si>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</si>
  <si>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</si>
  <si>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</si>
  <si>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</si>
  <si>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</si>
  <si>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</si>
  <si>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</si>
  <si>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</si>
  <si>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</si>
  <si>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</si>
  <si>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</si>
  <si>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</si>
  <si>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</si>
  <si>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</si>
  <si>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</si>
  <si>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</si>
  <si>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</si>
  <si>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</si>
  <si>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</si>
  <si>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</si>
  <si>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</si>
  <si>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</si>
  <si>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</si>
  <si>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</si>
  <si>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</si>
  <si>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</si>
  <si>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</si>
  <si>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</si>
  <si>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</si>
  <si>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</si>
  <si>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</si>
  <si>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</si>
  <si>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</si>
  <si>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</si>
  <si>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</si>
  <si>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</si>
  <si>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</si>
  <si>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</si>
  <si>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</si>
  <si>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</si>
  <si>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</si>
  <si>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</si>
  <si>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</si>
  <si>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</si>
  <si>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</si>
  <si>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</si>
  <si>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</si>
  <si>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</si>
  <si>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</si>
  <si>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</si>
  <si>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</si>
  <si>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</si>
  <si>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</si>
  <si>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</si>
  <si>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</si>
  <si>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</si>
  <si>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</si>
  <si>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</si>
  <si>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</si>
  <si>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</si>
  <si>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</si>
  <si>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</si>
  <si>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</si>
  <si>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</si>
  <si>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</si>
  <si>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</si>
  <si>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</si>
  <si>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</si>
  <si>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</si>
  <si>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</si>
  <si>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</si>
  <si>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</si>
  <si>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</si>
  <si>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</si>
  <si>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</si>
  <si>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</si>
  <si>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</si>
  <si>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</si>
  <si>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</si>
  <si>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</si>
  <si>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</si>
  <si>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</si>
  <si>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</si>
  <si>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</si>
  <si>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</si>
  <si>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</si>
  <si>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</si>
  <si>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</si>
  <si>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</si>
  <si>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</si>
  <si>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</si>
  <si>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</si>
  <si>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</si>
  <si>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</si>
  <si>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</si>
  <si>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</si>
  <si>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</si>
  <si>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</si>
  <si>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</si>
  <si>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</si>
  <si>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</si>
  <si>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</si>
  <si>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</si>
  <si>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</si>
  <si>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</si>
  <si>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</si>
  <si>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</si>
  <si>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</si>
  <si>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</si>
  <si>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</si>
  <si>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</si>
  <si>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</si>
  <si>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</si>
  <si>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</si>
  <si>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</si>
  <si>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</si>
  <si>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</si>
  <si>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</si>
  <si>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</si>
  <si>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</si>
  <si>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</si>
  <si>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</si>
  <si>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</si>
  <si>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</si>
  <si>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</si>
  <si>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</si>
  <si>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</si>
  <si>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</si>
  <si>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</si>
  <si>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</si>
  <si>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</si>
  <si>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</si>
  <si>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</si>
  <si>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</si>
  <si>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</si>
  <si>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</si>
  <si>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</si>
  <si>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</si>
  <si>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</si>
  <si>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</si>
  <si>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</si>
  <si>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</si>
  <si>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</si>
  <si>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</si>
  <si>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</si>
  <si>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</si>
  <si>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</si>
  <si>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</si>
  <si>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</si>
  <si>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</si>
  <si>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</si>
  <si>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</si>
  <si>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</si>
  <si>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</si>
  <si>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</si>
  <si>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</si>
  <si>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</si>
  <si>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</si>
  <si>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</si>
  <si>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</si>
  <si>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</si>
  <si>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</si>
  <si>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</si>
  <si>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</si>
  <si>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</si>
  <si>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</si>
  <si>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</si>
  <si>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</si>
  <si>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</si>
  <si>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</si>
  <si>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</si>
  <si>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</si>
  <si>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</si>
  <si>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</si>
  <si>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</si>
  <si>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</si>
  <si>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</si>
  <si>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</si>
  <si>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</si>
  <si>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</si>
  <si>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</si>
  <si>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</si>
  <si>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</si>
  <si>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</si>
  <si>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</si>
  <si>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</si>
  <si>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</si>
  <si>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</si>
  <si>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</si>
  <si>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</si>
  <si>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</si>
  <si>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</si>
  <si>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</si>
  <si>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</si>
  <si>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</si>
  <si>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</si>
  <si>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</si>
  <si>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</si>
  <si>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</si>
  <si>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</si>
  <si>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</si>
  <si>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</si>
  <si>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</si>
  <si>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</si>
  <si>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</si>
  <si>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</si>
  <si>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</si>
  <si>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</si>
  <si>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</si>
  <si>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</si>
  <si>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</si>
  <si>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</si>
  <si>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</si>
  <si>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</si>
  <si>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</si>
  <si>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</si>
  <si>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</si>
  <si>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</si>
  <si>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</si>
  <si>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</si>
  <si>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</si>
  <si>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</si>
  <si>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</si>
  <si>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</si>
  <si>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</si>
  <si>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</si>
  <si>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</si>
  <si>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</si>
  <si>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</si>
  <si>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</si>
  <si>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</si>
  <si>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</si>
  <si>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</si>
  <si>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</si>
  <si>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</si>
  <si>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</si>
  <si>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</si>
  <si>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</si>
  <si>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</si>
  <si>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</si>
  <si>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</si>
  <si>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</si>
  <si>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</si>
  <si>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</si>
  <si>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</si>
  <si>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</si>
  <si>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</si>
  <si>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</si>
  <si>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</si>
  <si>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</si>
  <si>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</si>
  <si>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</si>
  <si>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</si>
  <si>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</si>
  <si>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</si>
  <si>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</si>
  <si>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</si>
  <si>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</si>
  <si>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</si>
  <si>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</si>
  <si>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</si>
  <si>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</si>
  <si>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</si>
  <si>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</si>
  <si>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</si>
  <si>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</si>
  <si>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</si>
  <si>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</si>
  <si>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</si>
  <si>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</si>
  <si>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</si>
  <si>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</si>
  <si>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</si>
  <si>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</si>
  <si>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</si>
  <si>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</si>
  <si>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</si>
  <si>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</si>
  <si>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</si>
  <si>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</si>
  <si>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</si>
  <si>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</si>
  <si>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</si>
  <si>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</si>
  <si>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</si>
  <si>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</si>
  <si>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</si>
  <si>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</si>
  <si>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</si>
  <si>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</si>
  <si>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</si>
  <si>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</si>
  <si>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</si>
  <si>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</si>
  <si>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</si>
  <si>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</si>
  <si>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</si>
  <si>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</si>
  <si>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</si>
  <si>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</si>
  <si>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</si>
  <si>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</si>
  <si>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</si>
  <si>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</si>
  <si>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</si>
  <si>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Rep ID</t>
  </si>
  <si>
    <t>Rep Image</t>
  </si>
  <si>
    <t>Column2</t>
  </si>
  <si>
    <t>Column3</t>
  </si>
  <si>
    <t>Column4</t>
  </si>
  <si>
    <t>Column13</t>
  </si>
  <si>
    <t>Column14</t>
  </si>
  <si>
    <t>Column15</t>
  </si>
  <si>
    <t>Gedner</t>
  </si>
  <si>
    <t>City</t>
  </si>
  <si>
    <t>Columbus</t>
  </si>
  <si>
    <t>Cleveland</t>
  </si>
  <si>
    <t>Cincinnati</t>
  </si>
  <si>
    <t>Customer ID2</t>
  </si>
  <si>
    <t>Row Labels</t>
  </si>
  <si>
    <t>Grand Total</t>
  </si>
  <si>
    <t>Count of Call number</t>
  </si>
  <si>
    <t>Average of Satisfaction Rating</t>
  </si>
  <si>
    <t>Sum of Purchase Amount</t>
  </si>
  <si>
    <t>Group1</t>
  </si>
  <si>
    <t>Group2</t>
  </si>
  <si>
    <t>Group3</t>
  </si>
  <si>
    <t>Group4</t>
  </si>
  <si>
    <t>Jan</t>
  </si>
  <si>
    <t>Feb</t>
  </si>
  <si>
    <t>Mar</t>
  </si>
  <si>
    <t>Apr</t>
  </si>
  <si>
    <t>May</t>
  </si>
  <si>
    <t>Jun</t>
  </si>
  <si>
    <t>Jul</t>
  </si>
  <si>
    <t>Aug</t>
  </si>
  <si>
    <t>Sep</t>
  </si>
  <si>
    <t>Oct</t>
  </si>
  <si>
    <t>Nov</t>
  </si>
  <si>
    <t>Dec</t>
  </si>
  <si>
    <t>Details for Sum of Purchase Amount - Months (Date of Call): Jul</t>
  </si>
  <si>
    <t>Column Labels</t>
  </si>
  <si>
    <t>employee type</t>
  </si>
  <si>
    <t>employee tpe</t>
  </si>
  <si>
    <t>employee type2</t>
  </si>
  <si>
    <t>Data__2[Call number]</t>
  </si>
  <si>
    <t>Data__2[Customer ID]</t>
  </si>
  <si>
    <t>Data__2[Duration]</t>
  </si>
  <si>
    <t>Data__2[Representative]</t>
  </si>
  <si>
    <t>Data__2[Date of Call]</t>
  </si>
  <si>
    <t>Data__2[Purchase Amount]</t>
  </si>
  <si>
    <t>Data__2[Satisfaction Rating]</t>
  </si>
  <si>
    <t>Data__2[FY]</t>
  </si>
  <si>
    <t>Data__2[Day of week]</t>
  </si>
  <si>
    <t>Data__2[Duration Bucket]</t>
  </si>
  <si>
    <t>Data__2[Rating rounded]</t>
  </si>
  <si>
    <t>Data__2[employee tpe]</t>
  </si>
  <si>
    <t>Data__2[Column2]</t>
  </si>
  <si>
    <t>Data__2[Column3]</t>
  </si>
  <si>
    <t>Data__2[Column4]</t>
  </si>
  <si>
    <t>Data__2[Customer ID2]</t>
  </si>
  <si>
    <t>Data__2[Gedner]</t>
  </si>
  <si>
    <t>Data__2[Age]</t>
  </si>
  <si>
    <t>Data__2[City]</t>
  </si>
  <si>
    <t>Data returned for Calls_Count, R01 (First 1000 rows).</t>
  </si>
  <si>
    <t>Data returned for Calls_Count, R04 (First 1000 rows).</t>
  </si>
  <si>
    <t>Data__2[Date of Call (Month)]</t>
  </si>
  <si>
    <t>Data__2[Date of Call (Month Index)]</t>
  </si>
  <si>
    <t>Data returned for Calls_Count, Tuesday, R05 (First 1000 rows).</t>
  </si>
  <si>
    <t>Data returned for Calls_Count, 3, R05 (First 1000 rows).</t>
  </si>
  <si>
    <t>Data returned for Calls_Count, 1, R04 (First 1000 rows).</t>
  </si>
  <si>
    <t>Data returned for Calls_Count, Tuesday, R04 (First 1000 rows).</t>
  </si>
  <si>
    <t>call count</t>
  </si>
  <si>
    <t>Total Amount</t>
  </si>
  <si>
    <t>Total Duration</t>
  </si>
  <si>
    <t>Avg.Rating</t>
  </si>
  <si>
    <t>5*Calls</t>
  </si>
  <si>
    <t>Data returned for Total Amount, R03 (First 1000 rows).</t>
  </si>
  <si>
    <t>call count2</t>
  </si>
  <si>
    <t>Data returned for call count2, Sep, R04 (First 1000 rows).</t>
  </si>
  <si>
    <t>Data returned for call count2, May, R04 (First 1000 rows).</t>
  </si>
  <si>
    <t>Data returned for call count2, May, R03 (First 1000 rows).</t>
  </si>
  <si>
    <t>For Graph</t>
  </si>
  <si>
    <t>Rep</t>
  </si>
  <si>
    <t xml:space="preserve">Calls </t>
  </si>
  <si>
    <t>Amount</t>
  </si>
  <si>
    <t>Sel.Counts</t>
  </si>
  <si>
    <t>Sel.Amounts</t>
  </si>
  <si>
    <t xml:space="preserve">selected rep </t>
  </si>
  <si>
    <t>Data returned for call count, Cleveland (First 1000 rows).</t>
  </si>
  <si>
    <t>Data returned for call count, Cincinnati, Male (First 1000 rows).</t>
  </si>
  <si>
    <t>Rep Summary</t>
  </si>
  <si>
    <t>% of calls</t>
  </si>
  <si>
    <t>Not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</si>
</sst>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44" formatCode="_ &quot;₹&quot;\ * #,##0.00_ ;_ &quot;₹&quot;\ * \-#,##0.00_ ;_ &quot;₹&quot;\ * &quot;-&quot;??_ ;_ @_ "/>
    <numFmt numFmtId="164" formatCode="_-[$$-409]* #,##0.00_ ;_-[$$-409]* \-#,##0.00\ ;_-[$$-409]* &quot;-&quot;??_ ;_-@_ "/>
    <numFmt numFmtId="165" formatCode="d\.hh:mm:ss"/>
    <numFmt numFmtId="166" formatCode="0.0"/>
    <numFmt numFmtId="167" formatCode="_ [$₹-4009]\ * #,##0_ ;_ [$₹-4009]\ * \-#,##0_ ;_ [$₹-4009]\ * &quot;-&quot;??_ ;_ @_ "/>
    <numFmt numFmtId="168" formatCode="&quot;₹&quot;\ #,##0;#,##0\ \-&quot;₹&quot;;&quot;₹&quot;\ #,##0"/>
    <numFmt numFmtId="169" formatCode="\$#,###.0,&quot;k&quot;"/>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6"/>
      <color theme="1"/>
      <name val="Aptos Narrow"/>
      <family val="2"/>
      <scheme val="minor"/>
    </font>
    <font>
      <b/>
      <sz val="20"/>
      <color theme="1"/>
      <name val="Aptos Narrow"/>
      <family val="2"/>
      <scheme val="minor"/>
    </font>
    <font>
      <b/>
      <i/>
      <sz val="20"/>
      <color theme="1"/>
      <name val="Aptos Narrow"/>
      <family val="2"/>
      <scheme val="minor"/>
    </font>
    <font>
      <i/>
      <sz val="11"/>
      <color theme="1"/>
      <name val="Aptos Narrow"/>
      <family val="2"/>
      <scheme val="minor"/>
    </font>
    <font>
      <b/>
      <i/>
      <sz val="11"/>
      <color theme="1"/>
      <name val="Aptos Narrow"/>
      <family val="2"/>
      <scheme val="minor"/>
    </font>
    <font>
      <b/>
      <sz val="22"/>
      <color theme="1"/>
      <name val="Aptos Narrow"/>
      <family val="2"/>
      <scheme val="minor"/>
    </font>
    <font>
      <b/>
      <sz val="22"/>
      <color theme="9" tint="-0.249977111117893"/>
      <name val="Aptos Narrow"/>
      <family val="2"/>
      <scheme val="minor"/>
    </font>
    <font>
      <b/>
      <sz val="20"/>
      <color theme="9" tint="-0.499984740745262"/>
      <name val="Aptos Narrow"/>
      <family val="2"/>
      <scheme val="minor"/>
    </font>
    <font>
      <b/>
      <i/>
      <sz val="18"/>
      <color theme="1"/>
      <name val="Aptos Narrow"/>
      <family val="2"/>
      <scheme val="minor"/>
    </font>
    <font>
      <b/>
      <i/>
      <sz val="16"/>
      <color theme="1"/>
      <name val="Aptos Narrow"/>
      <family val="2"/>
      <scheme val="minor"/>
    </font>
    <font>
      <b/>
      <i/>
      <sz val="26"/>
      <color rgb="FF00B050"/>
      <name val="Aptos Narrow"/>
      <family val="2"/>
      <scheme val="minor"/>
    </font>
    <font>
      <b/>
      <sz val="16"/>
      <color rgb="FF002060"/>
      <name val="Aptos Narrow"/>
      <family val="2"/>
      <scheme val="minor"/>
    </font>
    <font>
      <sz val="8"/>
      <name val="Aptos Narrow"/>
      <family val="2"/>
      <scheme val="minor"/>
    </font>
    <font>
      <sz val="10"/>
      <color theme="1"/>
      <name val="Aptos Narrow"/>
      <family val="2"/>
      <scheme val="minor"/>
    </font>
    <font>
      <b/>
      <i/>
      <sz val="16"/>
      <color theme="6" tint="-0.499984740745262"/>
      <name val="Aptos Narrow"/>
      <family val="2"/>
      <scheme val="minor"/>
    </font>
  </fonts>
  <fills count="1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3" tint="0.749992370372631"/>
        <bgColor indexed="64"/>
      </patternFill>
    </fill>
    <fill>
      <patternFill patternType="solid">
        <fgColor rgb="FFFFCCFF"/>
        <bgColor indexed="64"/>
      </patternFill>
    </fill>
    <fill>
      <patternFill patternType="solid">
        <fgColor rgb="FFFF9999"/>
        <bgColor indexed="64"/>
      </patternFill>
    </fill>
    <fill>
      <patternFill patternType="solid">
        <fgColor rgb="FF00FF99"/>
        <bgColor indexed="64"/>
      </patternFill>
    </fill>
    <fill>
      <patternFill patternType="solid">
        <fgColor rgb="FFFF3399"/>
        <bgColor indexed="64"/>
      </patternFill>
    </fill>
    <fill>
      <patternFill patternType="solid">
        <fgColor rgb="FFFF9933"/>
        <bgColor indexed="64"/>
      </patternFill>
    </fill>
    <fill>
      <patternFill patternType="solid">
        <fgColor rgb="FFCC9900"/>
        <bgColor indexed="64"/>
      </patternFill>
    </fill>
    <fill>
      <patternFill patternType="solid">
        <fgColor rgb="FF99CCFF"/>
        <bgColor indexed="64"/>
      </patternFill>
    </fill>
    <fill>
      <patternFill patternType="solid">
        <fgColor rgb="FFFFFF00"/>
        <bgColor indexed="64"/>
      </patternFill>
    </fill>
    <fill>
      <patternFill patternType="solid">
        <fgColor rgb="FFCCFFFF"/>
        <bgColor indexed="64"/>
      </patternFill>
    </fill>
    <fill>
      <patternFill patternType="solid">
        <fgColor theme="0"/>
        <bgColor indexed="64"/>
      </patternFill>
    </fill>
    <fill>
      <patternFill patternType="solid">
        <fgColor theme="0"/>
        <bgColor theme="4" tint="0.79998168889431442"/>
      </patternFill>
    </fill>
  </fills>
  <borders count="12">
    <border>
      <left/>
      <right/>
      <top/>
      <bottom/>
      <diagonal/>
    </border>
    <border>
      <left/>
      <right/>
      <top/>
      <bottom style="thin">
        <color theme="4" tint="0.39997558519241921"/>
      </bottom>
      <diagonal/>
    </border>
    <border>
      <left style="thin">
        <color theme="1" tint="0.14996795556505021"/>
      </left>
      <right/>
      <top/>
      <bottom style="thin">
        <color theme="4" tint="0.39997558519241921"/>
      </bottom>
      <diagonal/>
    </border>
    <border>
      <left/>
      <right style="thin">
        <color theme="1" tint="0.14996795556505021"/>
      </right>
      <top/>
      <bottom style="thin">
        <color theme="4" tint="0.39997558519241921"/>
      </bottom>
      <diagonal/>
    </border>
    <border>
      <left style="thin">
        <color theme="1" tint="0.14996795556505021"/>
      </left>
      <right/>
      <top/>
      <bottom/>
      <diagonal/>
    </border>
    <border>
      <left/>
      <right style="thin">
        <color theme="1" tint="0.14996795556505021"/>
      </right>
      <top/>
      <bottom/>
      <diagonal/>
    </border>
    <border>
      <left style="thin">
        <color theme="1" tint="0.14996795556505021"/>
      </left>
      <right/>
      <top style="thin">
        <color theme="1" tint="0.14993743705557422"/>
      </top>
      <bottom style="thin">
        <color theme="4" tint="0.39997558519241921"/>
      </bottom>
      <diagonal/>
    </border>
    <border>
      <left/>
      <right/>
      <top style="thin">
        <color theme="1" tint="0.14993743705557422"/>
      </top>
      <bottom style="thin">
        <color theme="4" tint="0.39997558519241921"/>
      </bottom>
      <diagonal/>
    </border>
    <border>
      <left/>
      <right style="thin">
        <color theme="1" tint="0.14996795556505021"/>
      </right>
      <top style="thin">
        <color theme="1" tint="0.14993743705557422"/>
      </top>
      <bottom style="thin">
        <color theme="4" tint="0.39997558519241921"/>
      </bottom>
      <diagonal/>
    </border>
    <border>
      <left style="thin">
        <color theme="1" tint="0.14996795556505021"/>
      </left>
      <right/>
      <top/>
      <bottom style="thin">
        <color theme="1" tint="0.14993743705557422"/>
      </bottom>
      <diagonal/>
    </border>
    <border>
      <left/>
      <right/>
      <top/>
      <bottom style="thin">
        <color theme="1" tint="0.14993743705557422"/>
      </bottom>
      <diagonal/>
    </border>
    <border>
      <left/>
      <right style="thin">
        <color theme="1" tint="0.14996795556505021"/>
      </right>
      <top/>
      <bottom style="thin">
        <color theme="1" tint="0.14993743705557422"/>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66">
    <xf numFmtId="0" fontId="0" fillId="0" borderId="0" xfId="0"/>
    <xf numFmtId="14" fontId="0" fillId="0" borderId="0" xfId="0" applyNumberFormat="1"/>
    <xf numFmtId="164" fontId="0" fillId="0" borderId="0" xfId="0" applyNumberFormat="1"/>
    <xf numFmtId="164" fontId="0" fillId="2" borderId="0" xfId="0" applyNumberFormat="1" applyFill="1"/>
    <xf numFmtId="9" fontId="0" fillId="0" borderId="0" xfId="2" applyFont="1"/>
    <xf numFmtId="165" fontId="0" fillId="0" borderId="0" xfId="0" applyNumberFormat="1"/>
    <xf numFmtId="166" fontId="0" fillId="0" borderId="0" xfId="0" applyNumberFormat="1"/>
    <xf numFmtId="1" fontId="0" fillId="0" borderId="0" xfId="0" applyNumberFormat="1"/>
    <xf numFmtId="164" fontId="0" fillId="0" borderId="0" xfId="1" applyNumberFormat="1" applyFont="1"/>
    <xf numFmtId="0" fontId="0" fillId="3" borderId="0" xfId="0" applyFill="1"/>
    <xf numFmtId="167" fontId="0" fillId="0" borderId="0" xfId="0" applyNumberFormat="1"/>
    <xf numFmtId="0" fontId="0" fillId="4" borderId="0" xfId="0" applyFill="1"/>
    <xf numFmtId="0" fontId="4" fillId="0" borderId="0" xfId="0" applyFont="1"/>
    <xf numFmtId="0" fontId="4" fillId="5" borderId="0" xfId="0" applyFont="1" applyFill="1"/>
    <xf numFmtId="0" fontId="0" fillId="5" borderId="0" xfId="0" applyFill="1"/>
    <xf numFmtId="0" fontId="2" fillId="0" borderId="0" xfId="0" applyFont="1"/>
    <xf numFmtId="0" fontId="5" fillId="0" borderId="0" xfId="0" applyFont="1"/>
    <xf numFmtId="0" fontId="0" fillId="6" borderId="0" xfId="0" applyFill="1"/>
    <xf numFmtId="0" fontId="6" fillId="6" borderId="0" xfId="0" applyFont="1" applyFill="1"/>
    <xf numFmtId="0" fontId="7" fillId="6" borderId="0" xfId="0" applyFont="1" applyFill="1"/>
    <xf numFmtId="0" fontId="3" fillId="0" borderId="0" xfId="0" applyFont="1"/>
    <xf numFmtId="0" fontId="8" fillId="0" borderId="0" xfId="0" applyFont="1"/>
    <xf numFmtId="0" fontId="9" fillId="0" borderId="0" xfId="0" applyFont="1"/>
    <xf numFmtId="0" fontId="11" fillId="0" borderId="0" xfId="0" applyFont="1"/>
    <xf numFmtId="0" fontId="6" fillId="0" borderId="0" xfId="0" applyFont="1"/>
    <xf numFmtId="0" fontId="6" fillId="7" borderId="0" xfId="0" applyFont="1" applyFill="1"/>
    <xf numFmtId="0" fontId="0" fillId="7" borderId="0" xfId="0" applyFill="1"/>
    <xf numFmtId="0" fontId="6" fillId="8" borderId="0" xfId="0" applyFont="1" applyFill="1"/>
    <xf numFmtId="0" fontId="0" fillId="8" borderId="0" xfId="0" applyFill="1"/>
    <xf numFmtId="0" fontId="0" fillId="9" borderId="0" xfId="0" applyFill="1"/>
    <xf numFmtId="0" fontId="12" fillId="10" borderId="0" xfId="0" applyFont="1" applyFill="1"/>
    <xf numFmtId="0" fontId="0" fillId="10" borderId="0" xfId="0" applyFill="1"/>
    <xf numFmtId="0" fontId="13" fillId="0" borderId="0" xfId="0" applyFont="1"/>
    <xf numFmtId="0" fontId="6" fillId="11" borderId="0" xfId="0" applyFont="1" applyFill="1"/>
    <xf numFmtId="0" fontId="0" fillId="11" borderId="0" xfId="0" applyFill="1"/>
    <xf numFmtId="14" fontId="0" fillId="0" borderId="0" xfId="1" applyNumberFormat="1" applyFont="1"/>
    <xf numFmtId="0" fontId="14" fillId="0" borderId="0" xfId="0" applyFont="1"/>
    <xf numFmtId="0" fontId="2" fillId="12" borderId="0" xfId="0" applyFont="1" applyFill="1"/>
    <xf numFmtId="0" fontId="15" fillId="0" borderId="0" xfId="0" applyFont="1"/>
    <xf numFmtId="6" fontId="0" fillId="0" borderId="0" xfId="0" applyNumberFormat="1"/>
    <xf numFmtId="0" fontId="0" fillId="0" borderId="0" xfId="0" pivotButton="1"/>
    <xf numFmtId="0" fontId="0" fillId="0" borderId="0" xfId="0" applyAlignment="1">
      <alignment horizontal="left"/>
    </xf>
    <xf numFmtId="0" fontId="0" fillId="13" borderId="0" xfId="0" applyFill="1"/>
    <xf numFmtId="3" fontId="0" fillId="0" borderId="0" xfId="0" applyNumberFormat="1"/>
    <xf numFmtId="168" fontId="0" fillId="0" borderId="0" xfId="0" applyNumberFormat="1"/>
    <xf numFmtId="0" fontId="17" fillId="13" borderId="0" xfId="0" applyFont="1" applyFill="1"/>
    <xf numFmtId="0" fontId="2" fillId="13" borderId="0" xfId="0" applyFont="1" applyFill="1"/>
    <xf numFmtId="0" fontId="2" fillId="0" borderId="1" xfId="0" applyFont="1" applyBorder="1" applyAlignment="1">
      <alignment horizontal="left"/>
    </xf>
    <xf numFmtId="3" fontId="2" fillId="0" borderId="1" xfId="0" applyNumberFormat="1" applyFont="1" applyBorder="1"/>
    <xf numFmtId="0" fontId="0" fillId="0" borderId="0" xfId="0" applyAlignment="1">
      <alignment horizontal="left" indent="1"/>
    </xf>
    <xf numFmtId="0" fontId="0" fillId="12" borderId="0" xfId="0" applyFill="1" applyAlignment="1">
      <alignment horizontal="left"/>
    </xf>
    <xf numFmtId="169" fontId="0" fillId="0" borderId="0" xfId="0" applyNumberFormat="1"/>
    <xf numFmtId="0" fontId="0" fillId="2" borderId="0" xfId="0" applyFill="1" applyAlignment="1">
      <alignment horizontal="left"/>
    </xf>
    <xf numFmtId="0" fontId="2" fillId="14" borderId="1" xfId="0" applyFont="1" applyFill="1" applyBorder="1"/>
    <xf numFmtId="168" fontId="0" fillId="14" borderId="0" xfId="0" applyNumberFormat="1" applyFill="1"/>
    <xf numFmtId="0" fontId="2" fillId="14" borderId="2" xfId="0" applyFont="1" applyFill="1" applyBorder="1" applyAlignment="1">
      <alignment horizontal="left"/>
    </xf>
    <xf numFmtId="0" fontId="0" fillId="14" borderId="4" xfId="0" applyFill="1" applyBorder="1" applyAlignment="1">
      <alignment horizontal="left" indent="1"/>
    </xf>
    <xf numFmtId="168" fontId="0" fillId="14" borderId="5" xfId="0" applyNumberFormat="1" applyFill="1" applyBorder="1"/>
    <xf numFmtId="0" fontId="2" fillId="14" borderId="3" xfId="0" applyFont="1" applyFill="1" applyBorder="1"/>
    <xf numFmtId="0" fontId="2" fillId="14" borderId="6" xfId="0" applyFont="1" applyFill="1" applyBorder="1" applyAlignment="1">
      <alignment horizontal="left"/>
    </xf>
    <xf numFmtId="0" fontId="2" fillId="15" borderId="7" xfId="0" applyFont="1" applyFill="1" applyBorder="1"/>
    <xf numFmtId="0" fontId="2" fillId="15" borderId="8" xfId="0" applyFont="1" applyFill="1" applyBorder="1"/>
    <xf numFmtId="0" fontId="0" fillId="14" borderId="9" xfId="0" applyFill="1" applyBorder="1" applyAlignment="1">
      <alignment horizontal="left" indent="1"/>
    </xf>
    <xf numFmtId="168" fontId="0" fillId="14" borderId="10" xfId="0" applyNumberFormat="1" applyFill="1" applyBorder="1"/>
    <xf numFmtId="168" fontId="0" fillId="14" borderId="11" xfId="0" applyNumberFormat="1" applyFill="1" applyBorder="1"/>
    <xf numFmtId="0" fontId="18" fillId="0" borderId="0" xfId="0" applyFont="1"/>
  </cellXfs>
  <cellStyles count="3">
    <cellStyle name="Currency" xfId="1" builtinId="4"/>
    <cellStyle name="Normal" xfId="0" builtinId="0"/>
    <cellStyle name="Percent" xfId="2" builtinId="5"/>
  </cellStyles>
  <dxfs count="66">
    <dxf>
      <fill>
        <patternFill>
          <bgColor rgb="FF66FFFF"/>
        </patternFill>
      </fill>
    </dxf>
    <dxf>
      <fill>
        <patternFill>
          <bgColor theme="9" tint="0.59996337778862885"/>
        </patternFill>
      </fill>
      <border>
        <left style="thin">
          <color theme="1"/>
        </left>
        <right style="thin">
          <color theme="1"/>
        </right>
        <vertical/>
        <horizontal/>
      </border>
    </dxf>
    <dxf>
      <fill>
        <patternFill>
          <bgColor theme="6" tint="0.59996337778862885"/>
        </patternFill>
      </fill>
      <border>
        <left style="thin">
          <color theme="1"/>
        </left>
        <right style="thin">
          <color theme="1"/>
        </right>
        <vertical/>
        <horizontal/>
      </border>
    </dxf>
    <dxf>
      <fill>
        <patternFill>
          <bgColor theme="4" tint="0.79998168889431442"/>
        </patternFill>
      </fill>
    </dxf>
    <dxf>
      <fill>
        <patternFill>
          <bgColor theme="9" tint="0.79998168889431442"/>
        </patternFill>
      </fill>
    </dxf>
    <dxf>
      <fill>
        <patternFill>
          <bgColor theme="9" tint="0.79998168889431442"/>
        </patternFill>
      </fil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fill>
        <patternFill patternType="solid">
          <bgColor rgb="FF92D050"/>
        </patternFill>
      </fil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66" formatCode="0.0"/>
    </dxf>
    <dxf>
      <numFmt numFmtId="166" formatCode="0.0"/>
    </dxf>
    <dxf>
      <numFmt numFmtId="165" formatCode="d\.hh:mm:ss"/>
    </dxf>
    <dxf>
      <numFmt numFmtId="0" formatCode="General"/>
    </dxf>
    <dxf>
      <numFmt numFmtId="0" formatCode="General"/>
    </dxf>
    <dxf>
      <numFmt numFmtId="19" formatCode="dd/mm/yyyy"/>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64" formatCode="_-[$$-409]* #,##0.00_ ;_-[$$-409]* \-#,##0.00\ ;_-[$$-409]* &quot;-&quot;??_ ;_-@_ "/>
      <fill>
        <patternFill patternType="solid">
          <fgColor indexed="64"/>
          <bgColor rgb="FF92D050"/>
        </patternFill>
      </fill>
    </dxf>
    <dxf>
      <numFmt numFmtId="164" formatCode="_-[$$-409]* #,##0.00_ ;_-[$$-409]* \-#,##0.00\ ;_-[$$-409]* &quot;-&quot;??_ ;_-@_ "/>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6FFFF"/>
      <color rgb="FFCCFFFF"/>
      <color rgb="FFFFCCCC"/>
      <color rgb="FF99FFCC"/>
      <color rgb="FF6BF6FD"/>
      <color rgb="FF99FF99"/>
      <color rgb="FFFF7C80"/>
      <color rgb="FFFF0066"/>
      <color rgb="FFFFFF99"/>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0.xml"/><Relationship Id="rId21" Type="http://schemas.openxmlformats.org/officeDocument/2006/relationships/worksheet" Target="worksheets/sheet21.xml"/><Relationship Id="rId34" Type="http://schemas.openxmlformats.org/officeDocument/2006/relationships/pivotCacheDefinition" Target="pivotCache/pivotCacheDefinition5.xml"/><Relationship Id="rId42" Type="http://schemas.microsoft.com/office/2007/relationships/slicerCache" Target="slicerCaches/slicerCache2.xml"/><Relationship Id="rId47" Type="http://schemas.openxmlformats.org/officeDocument/2006/relationships/sharedStrings" Target="sharedStrings.xml"/><Relationship Id="rId50" Type="http://schemas.microsoft.com/office/2017/06/relationships/rdRichValueStructure" Target="richData/rdrichvalue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3.xml"/><Relationship Id="rId37" Type="http://schemas.openxmlformats.org/officeDocument/2006/relationships/pivotCacheDefinition" Target="pivotCache/pivotCacheDefinition8.xml"/><Relationship Id="rId40" Type="http://schemas.openxmlformats.org/officeDocument/2006/relationships/pivotCacheDefinition" Target="pivotCache/pivotCacheDefinition11.xml"/><Relationship Id="rId45" Type="http://schemas.openxmlformats.org/officeDocument/2006/relationships/connections" Target="connections.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2.xml"/><Relationship Id="rId44" Type="http://schemas.openxmlformats.org/officeDocument/2006/relationships/theme" Target="theme/theme1.xml"/><Relationship Id="rId52"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pivotCacheDefinition" Target="pivotCache/pivotCacheDefinition6.xml"/><Relationship Id="rId43" Type="http://schemas.microsoft.com/office/2007/relationships/slicerCache" Target="slicerCaches/slicerCache3.xml"/><Relationship Id="rId48" Type="http://schemas.openxmlformats.org/officeDocument/2006/relationships/sheetMetadata" Target="metadata.xml"/><Relationship Id="rId8" Type="http://schemas.openxmlformats.org/officeDocument/2006/relationships/worksheet" Target="worksheets/sheet8.xml"/><Relationship Id="rId51" Type="http://schemas.microsoft.com/office/2017/06/relationships/rdRichValueTypes" Target="richData/rdRichValueTyp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4.xml"/><Relationship Id="rId38" Type="http://schemas.openxmlformats.org/officeDocument/2006/relationships/pivotCacheDefinition" Target="pivotCache/pivotCacheDefinition9.xml"/><Relationship Id="rId46" Type="http://schemas.openxmlformats.org/officeDocument/2006/relationships/styles" Target="styles.xml"/><Relationship Id="rId20" Type="http://schemas.openxmlformats.org/officeDocument/2006/relationships/worksheet" Target="worksheets/sheet20.xml"/><Relationship Id="rId41" Type="http://schemas.microsoft.com/office/2007/relationships/slicerCache" Target="slicerCaches/slicerCache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7.xml"/><Relationship Id="rId49"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medals!$B$2:$B$94</c:f>
              <c:strCache>
                <c:ptCount val="93"/>
                <c:pt idx="0">
                  <c:v>United States</c:v>
                </c:pt>
                <c:pt idx="1">
                  <c:v>China</c:v>
                </c:pt>
                <c:pt idx="2">
                  <c:v>Japan</c:v>
                </c:pt>
                <c:pt idx="3">
                  <c:v>Great Britain</c:v>
                </c:pt>
                <c:pt idx="4">
                  <c:v>ROC</c:v>
                </c:pt>
                <c:pt idx="5">
                  <c:v>Australia</c:v>
                </c:pt>
                <c:pt idx="6">
                  <c:v>Netherlands</c:v>
                </c:pt>
                <c:pt idx="7">
                  <c:v>France</c:v>
                </c:pt>
                <c:pt idx="8">
                  <c:v>Germany</c:v>
                </c:pt>
                <c:pt idx="9">
                  <c:v>Italy</c:v>
                </c:pt>
                <c:pt idx="10">
                  <c:v>Canada</c:v>
                </c:pt>
                <c:pt idx="11">
                  <c:v>Brazil</c:v>
                </c:pt>
                <c:pt idx="12">
                  <c:v>New Zealand</c:v>
                </c:pt>
                <c:pt idx="13">
                  <c:v>Cuba</c:v>
                </c:pt>
                <c:pt idx="14">
                  <c:v>Hungary</c:v>
                </c:pt>
                <c:pt idx="15">
                  <c:v>South Korea</c:v>
                </c:pt>
                <c:pt idx="16">
                  <c:v>Poland</c:v>
                </c:pt>
                <c:pt idx="17">
                  <c:v>Czech Republic</c:v>
                </c:pt>
                <c:pt idx="18">
                  <c:v>Kenya</c:v>
                </c:pt>
                <c:pt idx="19">
                  <c:v>Norway</c:v>
                </c:pt>
                <c:pt idx="20">
                  <c:v>Jamaica</c:v>
                </c:pt>
                <c:pt idx="21">
                  <c:v>Spain</c:v>
                </c:pt>
                <c:pt idx="22">
                  <c:v>Sweden</c:v>
                </c:pt>
                <c:pt idx="23">
                  <c:v>Switzerland</c:v>
                </c:pt>
                <c:pt idx="24">
                  <c:v>Denmark</c:v>
                </c:pt>
                <c:pt idx="25">
                  <c:v>Croatia</c:v>
                </c:pt>
                <c:pt idx="26">
                  <c:v>Iran</c:v>
                </c:pt>
                <c:pt idx="27">
                  <c:v>Serbia</c:v>
                </c:pt>
                <c:pt idx="28">
                  <c:v>Belgium</c:v>
                </c:pt>
                <c:pt idx="29">
                  <c:v>Bulgaria</c:v>
                </c:pt>
                <c:pt idx="30">
                  <c:v>Slovenia</c:v>
                </c:pt>
                <c:pt idx="31">
                  <c:v>Uzbekistan</c:v>
                </c:pt>
                <c:pt idx="32">
                  <c:v>Georgia</c:v>
                </c:pt>
                <c:pt idx="33">
                  <c:v>Chinese Taipei</c:v>
                </c:pt>
                <c:pt idx="34">
                  <c:v>Turkey</c:v>
                </c:pt>
                <c:pt idx="35">
                  <c:v>Greece</c:v>
                </c:pt>
                <c:pt idx="36">
                  <c:v>Uganda</c:v>
                </c:pt>
                <c:pt idx="37">
                  <c:v>Ecuador</c:v>
                </c:pt>
                <c:pt idx="38">
                  <c:v>Ireland</c:v>
                </c:pt>
                <c:pt idx="39">
                  <c:v>Israel</c:v>
                </c:pt>
                <c:pt idx="40">
                  <c:v>Qatar</c:v>
                </c:pt>
                <c:pt idx="41">
                  <c:v>Bahamas</c:v>
                </c:pt>
                <c:pt idx="42">
                  <c:v>Kosovo</c:v>
                </c:pt>
                <c:pt idx="43">
                  <c:v>Ukraine</c:v>
                </c:pt>
                <c:pt idx="44">
                  <c:v>Belarus</c:v>
                </c:pt>
                <c:pt idx="45">
                  <c:v>Romania</c:v>
                </c:pt>
                <c:pt idx="46">
                  <c:v>Venezuela</c:v>
                </c:pt>
                <c:pt idx="47">
                  <c:v>India</c:v>
                </c:pt>
                <c:pt idx="48">
                  <c:v>Hong Kong</c:v>
                </c:pt>
                <c:pt idx="49">
                  <c:v>Philippines</c:v>
                </c:pt>
                <c:pt idx="50">
                  <c:v>Slovakia</c:v>
                </c:pt>
                <c:pt idx="51">
                  <c:v>South Africa</c:v>
                </c:pt>
                <c:pt idx="52">
                  <c:v>Austria</c:v>
                </c:pt>
                <c:pt idx="53">
                  <c:v>Egypt</c:v>
                </c:pt>
                <c:pt idx="54">
                  <c:v>Indonesia</c:v>
                </c:pt>
                <c:pt idx="55">
                  <c:v>Ethiopia</c:v>
                </c:pt>
                <c:pt idx="56">
                  <c:v>Portugal</c:v>
                </c:pt>
                <c:pt idx="57">
                  <c:v>Tunisia</c:v>
                </c:pt>
                <c:pt idx="58">
                  <c:v>Estonia</c:v>
                </c:pt>
                <c:pt idx="59">
                  <c:v>Fiji</c:v>
                </c:pt>
                <c:pt idx="60">
                  <c:v>Latvia</c:v>
                </c:pt>
                <c:pt idx="61">
                  <c:v>Thailand</c:v>
                </c:pt>
                <c:pt idx="62">
                  <c:v>Bermuda</c:v>
                </c:pt>
                <c:pt idx="63">
                  <c:v>Morocco</c:v>
                </c:pt>
                <c:pt idx="64">
                  <c:v>Puerto Rico</c:v>
                </c:pt>
                <c:pt idx="65">
                  <c:v>Colombia</c:v>
                </c:pt>
                <c:pt idx="66">
                  <c:v>Azerbaijan</c:v>
                </c:pt>
                <c:pt idx="67">
                  <c:v>Dominican Republic</c:v>
                </c:pt>
                <c:pt idx="68">
                  <c:v>Armenia</c:v>
                </c:pt>
                <c:pt idx="69">
                  <c:v>Kyrgyzstan</c:v>
                </c:pt>
                <c:pt idx="70">
                  <c:v>Mongolia</c:v>
                </c:pt>
                <c:pt idx="71">
                  <c:v>Argentina</c:v>
                </c:pt>
                <c:pt idx="72">
                  <c:v>San Marino</c:v>
                </c:pt>
                <c:pt idx="73">
                  <c:v>Jordan</c:v>
                </c:pt>
                <c:pt idx="74">
                  <c:v>Malaysia</c:v>
                </c:pt>
                <c:pt idx="75">
                  <c:v>Nigeria</c:v>
                </c:pt>
                <c:pt idx="76">
                  <c:v>Bahrain</c:v>
                </c:pt>
                <c:pt idx="77">
                  <c:v>Lithuania</c:v>
                </c:pt>
                <c:pt idx="78">
                  <c:v>Namibia</c:v>
                </c:pt>
                <c:pt idx="79">
                  <c:v>North Macedonia</c:v>
                </c:pt>
                <c:pt idx="80">
                  <c:v>Saudi Arabia</c:v>
                </c:pt>
                <c:pt idx="81">
                  <c:v>Turkmenistan</c:v>
                </c:pt>
                <c:pt idx="82">
                  <c:v>Kazakhstan</c:v>
                </c:pt>
                <c:pt idx="83">
                  <c:v>Mexico</c:v>
                </c:pt>
                <c:pt idx="84">
                  <c:v>Finland</c:v>
                </c:pt>
                <c:pt idx="85">
                  <c:v>Botswana</c:v>
                </c:pt>
                <c:pt idx="86">
                  <c:v>Burkina Faso</c:v>
                </c:pt>
                <c:pt idx="87">
                  <c:v>Ghana</c:v>
                </c:pt>
                <c:pt idx="88">
                  <c:v>Grenada</c:v>
                </c:pt>
                <c:pt idx="89">
                  <c:v>Ivory Coast</c:v>
                </c:pt>
                <c:pt idx="90">
                  <c:v>Kuwait</c:v>
                </c:pt>
                <c:pt idx="91">
                  <c:v>Moldova</c:v>
                </c:pt>
                <c:pt idx="92">
                  <c:v>Syria</c:v>
                </c:pt>
              </c:strCache>
            </c:strRef>
          </c:cat>
          <c:val>
            <c:numRef>
              <c:f>medals!$C$2:$C$94</c:f>
              <c:numCache>
                <c:formatCode>General</c:formatCode>
                <c:ptCount val="93"/>
                <c:pt idx="0">
                  <c:v>39</c:v>
                </c:pt>
                <c:pt idx="1">
                  <c:v>38</c:v>
                </c:pt>
                <c:pt idx="2">
                  <c:v>27</c:v>
                </c:pt>
                <c:pt idx="3">
                  <c:v>22</c:v>
                </c:pt>
                <c:pt idx="4">
                  <c:v>20</c:v>
                </c:pt>
                <c:pt idx="5">
                  <c:v>17</c:v>
                </c:pt>
                <c:pt idx="6">
                  <c:v>10</c:v>
                </c:pt>
                <c:pt idx="7">
                  <c:v>10</c:v>
                </c:pt>
                <c:pt idx="8">
                  <c:v>10</c:v>
                </c:pt>
                <c:pt idx="9">
                  <c:v>10</c:v>
                </c:pt>
                <c:pt idx="10">
                  <c:v>7</c:v>
                </c:pt>
                <c:pt idx="11">
                  <c:v>7</c:v>
                </c:pt>
                <c:pt idx="12">
                  <c:v>7</c:v>
                </c:pt>
                <c:pt idx="13">
                  <c:v>7</c:v>
                </c:pt>
                <c:pt idx="14">
                  <c:v>6</c:v>
                </c:pt>
                <c:pt idx="15">
                  <c:v>6</c:v>
                </c:pt>
                <c:pt idx="16">
                  <c:v>4</c:v>
                </c:pt>
                <c:pt idx="17">
                  <c:v>4</c:v>
                </c:pt>
                <c:pt idx="18">
                  <c:v>4</c:v>
                </c:pt>
                <c:pt idx="19">
                  <c:v>4</c:v>
                </c:pt>
                <c:pt idx="20">
                  <c:v>4</c:v>
                </c:pt>
                <c:pt idx="21">
                  <c:v>3</c:v>
                </c:pt>
                <c:pt idx="22">
                  <c:v>3</c:v>
                </c:pt>
                <c:pt idx="23">
                  <c:v>3</c:v>
                </c:pt>
                <c:pt idx="24">
                  <c:v>3</c:v>
                </c:pt>
                <c:pt idx="25">
                  <c:v>3</c:v>
                </c:pt>
                <c:pt idx="26">
                  <c:v>3</c:v>
                </c:pt>
                <c:pt idx="27">
                  <c:v>3</c:v>
                </c:pt>
                <c:pt idx="28">
                  <c:v>3</c:v>
                </c:pt>
                <c:pt idx="29">
                  <c:v>3</c:v>
                </c:pt>
                <c:pt idx="30">
                  <c:v>3</c:v>
                </c:pt>
                <c:pt idx="31">
                  <c:v>3</c:v>
                </c:pt>
                <c:pt idx="32">
                  <c:v>2</c:v>
                </c:pt>
                <c:pt idx="33">
                  <c:v>2</c:v>
                </c:pt>
                <c:pt idx="34">
                  <c:v>2</c:v>
                </c:pt>
                <c:pt idx="35">
                  <c:v>2</c:v>
                </c:pt>
                <c:pt idx="36">
                  <c:v>2</c:v>
                </c:pt>
                <c:pt idx="37">
                  <c:v>2</c:v>
                </c:pt>
                <c:pt idx="38">
                  <c:v>2</c:v>
                </c:pt>
                <c:pt idx="39">
                  <c:v>2</c:v>
                </c:pt>
                <c:pt idx="40">
                  <c:v>2</c:v>
                </c:pt>
                <c:pt idx="41">
                  <c:v>2</c:v>
                </c:pt>
                <c:pt idx="42">
                  <c:v>2</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numCache>
            </c:numRef>
          </c:val>
          <c:extLst>
            <c:ext xmlns:c16="http://schemas.microsoft.com/office/drawing/2014/chart" uri="{C3380CC4-5D6E-409C-BE32-E72D297353CC}">
              <c16:uniqueId val="{00000000-FD6E-42C5-AFE6-179146C003B9}"/>
            </c:ext>
          </c:extLst>
        </c:ser>
        <c:dLbls>
          <c:showLegendKey val="0"/>
          <c:showVal val="0"/>
          <c:showCatName val="0"/>
          <c:showSerName val="0"/>
          <c:showPercent val="0"/>
          <c:showBubbleSize val="0"/>
        </c:dLbls>
        <c:gapWidth val="219"/>
        <c:overlap val="-27"/>
        <c:axId val="1709087072"/>
        <c:axId val="256814512"/>
      </c:barChart>
      <c:catAx>
        <c:axId val="170908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814512"/>
        <c:crosses val="autoZero"/>
        <c:auto val="1"/>
        <c:lblAlgn val="ctr"/>
        <c:lblOffset val="100"/>
        <c:noMultiLvlLbl val="0"/>
      </c:catAx>
      <c:valAx>
        <c:axId val="25681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8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[sony 4hr xl.xlsx]Sheet9!PivotTable3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Sheet9!$B$3</c:f>
              <c:strCache>
                <c:ptCount val="1"/>
                <c:pt idx="0">
                  <c:v>Total</c:v>
                </c:pt>
              </c:strCache>
            </c:strRef>
          </c:tx>
          <c:spPr>
            <a:solidFill>
              <a:schemeClr val="accent1"/>
            </a:solidFill>
            <a:ln>
              <a:noFill/>
            </a:ln>
            <a:effectLst/>
            <a:sp3d/>
          </c:spPr>
          <c:invertIfNegative val="0"/>
          <c:cat>
            <c:strRef>
              <c:f>Sheet9!$A$4:$A$14</c:f>
              <c:strCache>
                <c:ptCount val="10"/>
                <c:pt idx="0">
                  <c:v>C0001</c:v>
                </c:pt>
                <c:pt idx="1">
                  <c:v>C0002</c:v>
                </c:pt>
                <c:pt idx="2">
                  <c:v>C0004</c:v>
                </c:pt>
                <c:pt idx="3">
                  <c:v>C0007</c:v>
                </c:pt>
                <c:pt idx="4">
                  <c:v>C0009</c:v>
                </c:pt>
                <c:pt idx="5">
                  <c:v>C0011</c:v>
                </c:pt>
                <c:pt idx="6">
                  <c:v>C0012</c:v>
                </c:pt>
                <c:pt idx="7">
                  <c:v>C0013</c:v>
                </c:pt>
                <c:pt idx="8">
                  <c:v>C0014</c:v>
                </c:pt>
                <c:pt idx="9">
                  <c:v>C0015</c:v>
                </c:pt>
              </c:strCache>
            </c:strRef>
          </c:cat>
          <c:val>
            <c:numRef>
              <c:f>Sheet9!$B$4:$B$14</c:f>
              <c:numCache>
                <c:formatCode>General</c:formatCode>
                <c:ptCount val="10"/>
                <c:pt idx="0">
                  <c:v>1655</c:v>
                </c:pt>
                <c:pt idx="1">
                  <c:v>1233</c:v>
                </c:pt>
                <c:pt idx="2">
                  <c:v>1991</c:v>
                </c:pt>
                <c:pt idx="3">
                  <c:v>1598</c:v>
                </c:pt>
                <c:pt idx="4">
                  <c:v>1415</c:v>
                </c:pt>
                <c:pt idx="5">
                  <c:v>1163</c:v>
                </c:pt>
                <c:pt idx="6">
                  <c:v>1438</c:v>
                </c:pt>
                <c:pt idx="7">
                  <c:v>1255</c:v>
                </c:pt>
                <c:pt idx="8">
                  <c:v>1362</c:v>
                </c:pt>
                <c:pt idx="9">
                  <c:v>1138</c:v>
                </c:pt>
              </c:numCache>
            </c:numRef>
          </c:val>
          <c:extLst>
            <c:ext xmlns:c16="http://schemas.microsoft.com/office/drawing/2014/chart" uri="{C3380CC4-5D6E-409C-BE32-E72D297353CC}">
              <c16:uniqueId val="{00000000-B9EC-4B89-B7F7-7A2CFCA9FD30}"/>
            </c:ext>
          </c:extLst>
        </c:ser>
        <c:dLbls>
          <c:showLegendKey val="0"/>
          <c:showVal val="0"/>
          <c:showCatName val="0"/>
          <c:showSerName val="0"/>
          <c:showPercent val="0"/>
          <c:showBubbleSize val="0"/>
        </c:dLbls>
        <c:gapWidth val="150"/>
        <c:shape val="box"/>
        <c:axId val="494634544"/>
        <c:axId val="221295"/>
        <c:axId val="0"/>
      </c:bar3DChart>
      <c:catAx>
        <c:axId val="49463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95"/>
        <c:crosses val="autoZero"/>
        <c:auto val="1"/>
        <c:lblAlgn val="ctr"/>
        <c:lblOffset val="100"/>
        <c:noMultiLvlLbl val="0"/>
      </c:catAx>
      <c:valAx>
        <c:axId val="22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63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[sony 4hr xl.xlsx]Sheet11!PivotTable5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80927384076992E-2"/>
          <c:y val="0.33267438161138946"/>
          <c:w val="0.74962685914260718"/>
          <c:h val="0.4961246321482542"/>
        </c:manualLayout>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Sheet11!$B$4:$B$16</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0-AD08-4D3B-A6FE-FD8CCE0041B7}"/>
            </c:ext>
          </c:extLst>
        </c:ser>
        <c:dLbls>
          <c:showLegendKey val="0"/>
          <c:showVal val="0"/>
          <c:showCatName val="0"/>
          <c:showSerName val="0"/>
          <c:showPercent val="0"/>
          <c:showBubbleSize val="0"/>
        </c:dLbls>
        <c:marker val="1"/>
        <c:smooth val="0"/>
        <c:axId val="859185023"/>
        <c:axId val="485268912"/>
      </c:lineChart>
      <c:catAx>
        <c:axId val="85918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268912"/>
        <c:crosses val="autoZero"/>
        <c:auto val="1"/>
        <c:lblAlgn val="ctr"/>
        <c:lblOffset val="100"/>
        <c:noMultiLvlLbl val="0"/>
      </c:catAx>
      <c:valAx>
        <c:axId val="48526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18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[sony 4hr xl.xlsx]Pivots!Call Trend</c:name>
    <c:fmtId val="1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Pivots!$C$12</c:f>
              <c:strCache>
                <c:ptCount val="1"/>
                <c:pt idx="0">
                  <c:v>call count2</c:v>
                </c:pt>
              </c:strCache>
            </c:strRef>
          </c:tx>
          <c:spPr>
            <a:solidFill>
              <a:schemeClr val="accent2"/>
            </a:solidFill>
            <a:ln>
              <a:noFill/>
            </a:ln>
            <a:effectLst/>
          </c:spP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Pivots!$C$13:$C$25</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1-4269-4C80-9DED-7A8FEDE09BD5}"/>
            </c:ext>
          </c:extLst>
        </c:ser>
        <c:dLbls>
          <c:showLegendKey val="0"/>
          <c:showVal val="0"/>
          <c:showCatName val="0"/>
          <c:showSerName val="0"/>
          <c:showPercent val="0"/>
          <c:showBubbleSize val="0"/>
        </c:dLbls>
        <c:axId val="1776239952"/>
        <c:axId val="1579875664"/>
      </c:areaChart>
      <c:lineChart>
        <c:grouping val="standard"/>
        <c:varyColors val="0"/>
        <c:ser>
          <c:idx val="0"/>
          <c:order val="0"/>
          <c:tx>
            <c:strRef>
              <c:f>Pivots!$B$12</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Pivots!$B$13:$B$25</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0-4269-4C80-9DED-7A8FEDE09BD5}"/>
            </c:ext>
          </c:extLst>
        </c:ser>
        <c:dLbls>
          <c:showLegendKey val="0"/>
          <c:showVal val="0"/>
          <c:showCatName val="0"/>
          <c:showSerName val="0"/>
          <c:showPercent val="0"/>
          <c:showBubbleSize val="0"/>
        </c:dLbls>
        <c:marker val="1"/>
        <c:smooth val="0"/>
        <c:axId val="1776239952"/>
        <c:axId val="1579875664"/>
      </c:lineChart>
      <c:catAx>
        <c:axId val="177623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75664"/>
        <c:crosses val="autoZero"/>
        <c:auto val="1"/>
        <c:lblAlgn val="ctr"/>
        <c:lblOffset val="100"/>
        <c:noMultiLvlLbl val="0"/>
      </c:catAx>
      <c:valAx>
        <c:axId val="157987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23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[sony 4hr xl.xlsx]Pivots!PivotTable9</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Pivots!$G$35</c:f>
              <c:strCache>
                <c:ptCount val="1"/>
                <c:pt idx="0">
                  <c:v>Total</c:v>
                </c:pt>
              </c:strCache>
            </c:strRef>
          </c:tx>
          <c:spPr>
            <a:solidFill>
              <a:schemeClr val="accent1"/>
            </a:solidFill>
            <a:ln>
              <a:noFill/>
            </a:ln>
            <a:effectLst/>
            <a:sp3d/>
          </c:spPr>
          <c:invertIfNegative val="0"/>
          <c:cat>
            <c:strRef>
              <c:f>Pivots!$F$36:$F$43</c:f>
              <c:strCache>
                <c:ptCount val="7"/>
                <c:pt idx="0">
                  <c:v>Friday</c:v>
                </c:pt>
                <c:pt idx="1">
                  <c:v>Monday</c:v>
                </c:pt>
                <c:pt idx="2">
                  <c:v>Saturday</c:v>
                </c:pt>
                <c:pt idx="3">
                  <c:v>Sunday</c:v>
                </c:pt>
                <c:pt idx="4">
                  <c:v>Thursday</c:v>
                </c:pt>
                <c:pt idx="5">
                  <c:v>Tuesday</c:v>
                </c:pt>
                <c:pt idx="6">
                  <c:v>Wednesday</c:v>
                </c:pt>
              </c:strCache>
            </c:strRef>
          </c:cat>
          <c:val>
            <c:numRef>
              <c:f>Pivots!$G$36:$G$43</c:f>
              <c:numCache>
                <c:formatCode>#,##0</c:formatCode>
                <c:ptCount val="7"/>
                <c:pt idx="0">
                  <c:v>32</c:v>
                </c:pt>
                <c:pt idx="1">
                  <c:v>22</c:v>
                </c:pt>
                <c:pt idx="2">
                  <c:v>38</c:v>
                </c:pt>
                <c:pt idx="3">
                  <c:v>27</c:v>
                </c:pt>
                <c:pt idx="4">
                  <c:v>27</c:v>
                </c:pt>
                <c:pt idx="5">
                  <c:v>27</c:v>
                </c:pt>
                <c:pt idx="6">
                  <c:v>27</c:v>
                </c:pt>
              </c:numCache>
            </c:numRef>
          </c:val>
          <c:extLst>
            <c:ext xmlns:c16="http://schemas.microsoft.com/office/drawing/2014/chart" uri="{C3380CC4-5D6E-409C-BE32-E72D297353CC}">
              <c16:uniqueId val="{00000000-C7C0-40AA-ADC9-5DB3D1075200}"/>
            </c:ext>
          </c:extLst>
        </c:ser>
        <c:dLbls>
          <c:showLegendKey val="0"/>
          <c:showVal val="0"/>
          <c:showCatName val="0"/>
          <c:showSerName val="0"/>
          <c:showPercent val="0"/>
          <c:showBubbleSize val="0"/>
        </c:dLbls>
        <c:gapWidth val="150"/>
        <c:shape val="box"/>
        <c:axId val="1768889760"/>
        <c:axId val="1579879504"/>
        <c:axId val="0"/>
      </c:bar3DChart>
      <c:catAx>
        <c:axId val="176888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79504"/>
        <c:crosses val="autoZero"/>
        <c:auto val="1"/>
        <c:lblAlgn val="ctr"/>
        <c:lblOffset val="100"/>
        <c:noMultiLvlLbl val="0"/>
      </c:catAx>
      <c:valAx>
        <c:axId val="15798795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88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733337612426491"/>
          <c:y val="2.1171460710268375E-3"/>
          <c:w val="0.77266343630123135"/>
          <c:h val="0.83463674183584191"/>
        </c:manualLayout>
      </c:layout>
      <c:barChart>
        <c:barDir val="bar"/>
        <c:grouping val="clustered"/>
        <c:varyColors val="0"/>
        <c:ser>
          <c:idx val="0"/>
          <c:order val="0"/>
          <c:spPr>
            <a:gradFill flip="none" rotWithShape="1">
              <a:gsLst>
                <a:gs pos="0">
                  <a:schemeClr val="accent1">
                    <a:lumMod val="5000"/>
                    <a:lumOff val="95000"/>
                  </a:schemeClr>
                </a:gs>
                <a:gs pos="76000">
                  <a:schemeClr val="accent1">
                    <a:lumMod val="45000"/>
                    <a:lumOff val="55000"/>
                  </a:schemeClr>
                </a:gs>
                <a:gs pos="19000">
                  <a:srgbClr val="00B050"/>
                </a:gs>
                <a:gs pos="100000">
                  <a:schemeClr val="accent1">
                    <a:lumMod val="30000"/>
                    <a:lumOff val="70000"/>
                  </a:schemeClr>
                </a:gs>
              </a:gsLst>
              <a:lin ang="5400000" scaled="1"/>
              <a:tileRect/>
            </a:gradFill>
            <a:ln>
              <a:noFill/>
            </a:ln>
            <a:effectLst/>
          </c:spPr>
          <c:invertIfNegative val="0"/>
          <c:dLbls>
            <c:dLbl>
              <c:idx val="0"/>
              <c:layout>
                <c:manualLayout>
                  <c:x val="1.0256410256410256E-2"/>
                  <c:y val="4.509745560155496E-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23-4F25-96BC-5756B56522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Pivots!$F$48:$F$52</c:f>
              <c:strCache>
                <c:ptCount val="5"/>
                <c:pt idx="0">
                  <c:v>R01</c:v>
                </c:pt>
                <c:pt idx="1">
                  <c:v>R02</c:v>
                </c:pt>
                <c:pt idx="2">
                  <c:v>R03</c:v>
                </c:pt>
                <c:pt idx="3">
                  <c:v>R04</c:v>
                </c:pt>
                <c:pt idx="4">
                  <c:v>R05</c:v>
                </c:pt>
              </c:strCache>
            </c:strRef>
          </c:cat>
          <c:val>
            <c:numRef>
              <c:f>Pivots!$G$48:$G$52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C23-4F25-96BC-5756B5652233}"/>
            </c:ext>
          </c:extLst>
        </c:ser>
        <c:ser>
          <c:idx val="1"/>
          <c:order val="1"/>
          <c:tx>
            <c:strRef>
              <c:f>Pivots!$I$47</c:f>
              <c:strCache>
                <c:ptCount val="1"/>
                <c:pt idx="0">
                  <c:v>Sel.Counts</c:v>
                </c:pt>
              </c:strCache>
            </c:strRef>
          </c:tx>
          <c:spPr>
            <a:gradFill>
              <a:gsLst>
                <a:gs pos="47000">
                  <a:srgbClr val="99FF99"/>
                </a:gs>
                <a:gs pos="84000">
                  <a:srgbClr val="CCFFFF"/>
                </a:gs>
                <a:gs pos="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ln>
            <a:effectLst/>
          </c:spPr>
          <c:invertIfNegative val="0"/>
          <c:dPt>
            <c:idx val="3"/>
            <c:invertIfNegative val="0"/>
            <c:bubble3D val="0"/>
            <c:spPr>
              <a:gradFill>
                <a:gsLst>
                  <a:gs pos="47000">
                    <a:srgbClr val="99FF99"/>
                  </a:gs>
                  <a:gs pos="84000">
                    <a:srgbClr val="CCFFFF"/>
                  </a:gs>
                  <a:gs pos="0">
                    <a:schemeClr val="accent1">
                      <a:lumMod val="30000"/>
                      <a:lumOff val="70000"/>
                    </a:schemeClr>
                  </a:gs>
                </a:gsLst>
                <a:lin ang="5400000" scaled="1"/>
              </a:gradFill>
              <a:ln>
                <a:gradFill>
                  <a:gsLst>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036A-4E8C-8CF7-2F1C25B89754}"/>
              </c:ext>
            </c:extLst>
          </c:dPt>
          <c:val>
            <c:numRef>
              <c:f>Pivots!$I$48:$I$52</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0-036A-4E8C-8CF7-2F1C25B89754}"/>
            </c:ext>
          </c:extLst>
        </c:ser>
        <c:dLbls>
          <c:showLegendKey val="0"/>
          <c:showVal val="0"/>
          <c:showCatName val="0"/>
          <c:showSerName val="0"/>
          <c:showPercent val="0"/>
          <c:showBubbleSize val="0"/>
        </c:dLbls>
        <c:gapWidth val="25"/>
        <c:overlap val="100"/>
        <c:axId val="1710986992"/>
        <c:axId val="1579911664"/>
      </c:barChart>
      <c:catAx>
        <c:axId val="17109869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11664"/>
        <c:crosses val="autoZero"/>
        <c:auto val="1"/>
        <c:lblAlgn val="ctr"/>
        <c:lblOffset val="100"/>
        <c:noMultiLvlLbl val="0"/>
      </c:catAx>
      <c:valAx>
        <c:axId val="1579911664"/>
        <c:scaling>
          <c:orientation val="minMax"/>
          <c:min val="0"/>
        </c:scaling>
        <c:delete val="1"/>
        <c:axPos val="t"/>
        <c:numFmt formatCode="General" sourceLinked="1"/>
        <c:majorTickMark val="out"/>
        <c:minorTickMark val="none"/>
        <c:tickLblPos val="nextTo"/>
        <c:crossAx val="171098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5370114208697"/>
          <c:y val="0.13725490196078433"/>
          <c:w val="0.77520172731786907"/>
          <c:h val="0.8562091503267973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Pivots!$F$48:$F$52</c:f>
              <c:strCache>
                <c:ptCount val="5"/>
                <c:pt idx="0">
                  <c:v>R01</c:v>
                </c:pt>
                <c:pt idx="1">
                  <c:v>R02</c:v>
                </c:pt>
                <c:pt idx="2">
                  <c:v>R03</c:v>
                </c:pt>
                <c:pt idx="3">
                  <c:v>R04</c:v>
                </c:pt>
                <c:pt idx="4">
                  <c:v>R05</c:v>
                </c:pt>
              </c:strCache>
            </c:strRef>
          </c:cat>
          <c:val>
            <c:numRef>
              <c:f>Pivots!$H$48:$H$52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855-479D-9CCB-28841903DF5A}"/>
            </c:ext>
          </c:extLst>
        </c:ser>
        <c:ser>
          <c:idx val="1"/>
          <c:order val="1"/>
          <c:tx>
            <c:strRef>
              <c:f>Pivots!$J$47</c:f>
              <c:strCache>
                <c:ptCount val="1"/>
                <c:pt idx="0">
                  <c:v>Sel.Amounts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Pivots!$J$48:$J$52</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0-4D79-48C4-B0D4-E420500E1F77}"/>
            </c:ext>
          </c:extLst>
        </c:ser>
        <c:dLbls>
          <c:dLblPos val="outEnd"/>
          <c:showLegendKey val="0"/>
          <c:showVal val="1"/>
          <c:showCatName val="0"/>
          <c:showSerName val="0"/>
          <c:showPercent val="0"/>
          <c:showBubbleSize val="0"/>
        </c:dLbls>
        <c:gapWidth val="25"/>
        <c:overlap val="100"/>
        <c:axId val="1808303568"/>
        <c:axId val="1579904944"/>
      </c:barChart>
      <c:catAx>
        <c:axId val="180830356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04944"/>
        <c:crosses val="autoZero"/>
        <c:auto val="1"/>
        <c:lblAlgn val="ctr"/>
        <c:lblOffset val="100"/>
        <c:noMultiLvlLbl val="0"/>
      </c:catAx>
      <c:valAx>
        <c:axId val="1579904944"/>
        <c:scaling>
          <c:orientation val="minMax"/>
        </c:scaling>
        <c:delete val="1"/>
        <c:axPos val="t"/>
        <c:numFmt formatCode="\$#,###.0,&quot;k&quot;" sourceLinked="1"/>
        <c:majorTickMark val="none"/>
        <c:minorTickMark val="none"/>
        <c:tickLblPos val="nextTo"/>
        <c:crossAx val="180830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[sony 4hr xl.xlsx]Pivots!PivotTable13</c:name>
    <c:fmtId val="2"/>
  </c:pivotSource>
  <c:chart>
    <c:autoTitleDeleted val="0"/>
    <c:pivotFmts>
      <c:pivotFmt>
        <c:idx val="0"/>
        <c:spPr>
          <a:gradFill flip="none" rotWithShape="1">
            <a:gsLst>
              <a:gs pos="0">
                <a:schemeClr val="accent2">
                  <a:lumMod val="40000"/>
                  <a:lumOff val="60000"/>
                </a:schemeClr>
              </a:gs>
              <a:gs pos="87000">
                <a:srgbClr val="FF7C80"/>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9000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Pivots!$C$62:$C$63</c:f>
              <c:strCache>
                <c:ptCount val="1"/>
                <c:pt idx="0">
                  <c:v>Female</c:v>
                </c:pt>
              </c:strCache>
            </c:strRef>
          </c:tx>
          <c:spPr>
            <a:gradFill flip="none" rotWithShape="1">
              <a:gsLst>
                <a:gs pos="0">
                  <a:schemeClr val="accent2">
                    <a:lumMod val="40000"/>
                    <a:lumOff val="60000"/>
                  </a:schemeClr>
                </a:gs>
                <a:gs pos="87000">
                  <a:srgbClr val="FF7C80"/>
                </a:gs>
                <a:gs pos="100000">
                  <a:schemeClr val="accent2">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Pivots!$B$64:$B$67</c:f>
              <c:strCache>
                <c:ptCount val="3"/>
                <c:pt idx="0">
                  <c:v>Cincinnati</c:v>
                </c:pt>
                <c:pt idx="1">
                  <c:v>Cleveland</c:v>
                </c:pt>
                <c:pt idx="2">
                  <c:v>Columbus</c:v>
                </c:pt>
              </c:strCache>
            </c:strRef>
          </c:cat>
          <c:val>
            <c:numRef>
              <c:f>Pivots!$C$64:$C$67</c:f>
              <c:numCache>
                <c:formatCode>#,##0</c:formatCode>
                <c:ptCount val="3"/>
                <c:pt idx="0">
                  <c:v>144</c:v>
                </c:pt>
                <c:pt idx="1">
                  <c:v>326</c:v>
                </c:pt>
                <c:pt idx="2">
                  <c:v>129</c:v>
                </c:pt>
              </c:numCache>
            </c:numRef>
          </c:val>
          <c:extLst>
            <c:ext xmlns:c16="http://schemas.microsoft.com/office/drawing/2014/chart" uri="{C3380CC4-5D6E-409C-BE32-E72D297353CC}">
              <c16:uniqueId val="{00000000-0CBF-4419-8257-D82E8F91BA8A}"/>
            </c:ext>
          </c:extLst>
        </c:ser>
        <c:ser>
          <c:idx val="1"/>
          <c:order val="1"/>
          <c:tx>
            <c:strRef>
              <c:f>Pivots!$D$62:$D$63</c:f>
              <c:strCache>
                <c:ptCount val="1"/>
                <c:pt idx="0">
                  <c:v>Male</c:v>
                </c:pt>
              </c:strCache>
            </c:strRef>
          </c:tx>
          <c:spPr>
            <a:gradFill flip="none" rotWithShape="1">
              <a:gsLst>
                <a:gs pos="9000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Pivots!$B$64:$B$67</c:f>
              <c:strCache>
                <c:ptCount val="3"/>
                <c:pt idx="0">
                  <c:v>Cincinnati</c:v>
                </c:pt>
                <c:pt idx="1">
                  <c:v>Cleveland</c:v>
                </c:pt>
                <c:pt idx="2">
                  <c:v>Columbus</c:v>
                </c:pt>
              </c:strCache>
            </c:strRef>
          </c:cat>
          <c:val>
            <c:numRef>
              <c:f>Pivots!$D$64:$D$67</c:f>
              <c:numCache>
                <c:formatCode>#,##0</c:formatCode>
                <c:ptCount val="3"/>
                <c:pt idx="0">
                  <c:v>132</c:v>
                </c:pt>
                <c:pt idx="1">
                  <c:v>63</c:v>
                </c:pt>
                <c:pt idx="2">
                  <c:v>206</c:v>
                </c:pt>
              </c:numCache>
            </c:numRef>
          </c:val>
          <c:extLst>
            <c:ext xmlns:c16="http://schemas.microsoft.com/office/drawing/2014/chart" uri="{C3380CC4-5D6E-409C-BE32-E72D297353CC}">
              <c16:uniqueId val="{00000001-0CBF-4419-8257-D82E8F91BA8A}"/>
            </c:ext>
          </c:extLst>
        </c:ser>
        <c:dLbls>
          <c:dLblPos val="ctr"/>
          <c:showLegendKey val="0"/>
          <c:showVal val="1"/>
          <c:showCatName val="0"/>
          <c:showSerName val="0"/>
          <c:showPercent val="0"/>
          <c:showBubbleSize val="0"/>
        </c:dLbls>
        <c:gapWidth val="40"/>
        <c:overlap val="100"/>
        <c:axId val="2040956464"/>
        <c:axId val="1579958224"/>
      </c:barChart>
      <c:catAx>
        <c:axId val="2040956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58224"/>
        <c:crosses val="autoZero"/>
        <c:auto val="1"/>
        <c:lblAlgn val="ctr"/>
        <c:lblOffset val="100"/>
        <c:noMultiLvlLbl val="0"/>
      </c:catAx>
      <c:valAx>
        <c:axId val="1579958224"/>
        <c:scaling>
          <c:orientation val="minMax"/>
        </c:scaling>
        <c:delete val="1"/>
        <c:axPos val="l"/>
        <c:majorGridlines>
          <c:spPr>
            <a:ln w="9525" cap="flat" cmpd="sng" algn="ctr">
              <a:solidFill>
                <a:srgbClr val="92D050"/>
              </a:solidFill>
              <a:round/>
            </a:ln>
            <a:effectLst/>
          </c:spPr>
        </c:majorGridlines>
        <c:numFmt formatCode="#,##0" sourceLinked="1"/>
        <c:majorTickMark val="none"/>
        <c:minorTickMark val="none"/>
        <c:tickLblPos val="nextTo"/>
        <c:crossAx val="2040956464"/>
        <c:crosses val="autoZero"/>
        <c:crossBetween val="between"/>
      </c:valAx>
      <c:spPr>
        <a:gradFill>
          <a:gsLst>
            <a:gs pos="100000">
              <a:srgbClr val="CCFFFF"/>
            </a:gs>
            <a:gs pos="42000">
              <a:srgbClr val="CCFFFF"/>
            </a:gs>
            <a:gs pos="100000">
              <a:schemeClr val="accent2">
                <a:lumMod val="60000"/>
              </a:schemeClr>
            </a:gs>
          </a:gsLst>
          <a:path path="circle">
            <a:fillToRect l="50000" t="130000" r="50000" b="-30000"/>
          </a:path>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[sony 4hr xl.xlsx]Pivots!Satisfication</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36000">
                <a:schemeClr val="accent5">
                  <a:lumMod val="75000"/>
                </a:schemeClr>
              </a:gs>
              <a:gs pos="100000">
                <a:srgbClr val="CCFFFF"/>
              </a:gs>
              <a:gs pos="17000">
                <a:srgbClr val="66FFFF"/>
              </a:gs>
              <a:gs pos="74000">
                <a:schemeClr val="accent5">
                  <a:lumMod val="20000"/>
                  <a:lumOff val="80000"/>
                </a:schemeClr>
              </a:gs>
            </a:gsLst>
            <a:path path="circle">
              <a:fillToRect l="50000" t="130000" r="50000" b="-30000"/>
            </a:path>
          </a:gra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Pivots!$C$77</c:f>
              <c:strCache>
                <c:ptCount val="1"/>
                <c:pt idx="0">
                  <c:v>Total</c:v>
                </c:pt>
              </c:strCache>
            </c:strRef>
          </c:tx>
          <c:spPr>
            <a:gradFill>
              <a:gsLst>
                <a:gs pos="36000">
                  <a:schemeClr val="accent5">
                    <a:lumMod val="75000"/>
                  </a:schemeClr>
                </a:gs>
                <a:gs pos="100000">
                  <a:srgbClr val="CCFFFF"/>
                </a:gs>
                <a:gs pos="17000">
                  <a:srgbClr val="66FFFF"/>
                </a:gs>
                <a:gs pos="74000">
                  <a:schemeClr val="accent5">
                    <a:lumMod val="20000"/>
                    <a:lumOff val="80000"/>
                  </a:schemeClr>
                </a:gs>
              </a:gsLst>
              <a:path path="circle">
                <a:fillToRect l="50000" t="130000" r="50000" b="-30000"/>
              </a:path>
            </a:gradFill>
            <a:ln>
              <a:solidFill>
                <a:schemeClr val="accent5">
                  <a:lumMod val="75000"/>
                </a:schemeClr>
              </a:solidFill>
            </a:ln>
            <a:effectLst/>
          </c:spPr>
          <c:invertIfNegative val="0"/>
          <c:cat>
            <c:strRef>
              <c:f>Pivots!$B$78:$B$82</c:f>
              <c:strCache>
                <c:ptCount val="4"/>
                <c:pt idx="0">
                  <c:v>2</c:v>
                </c:pt>
                <c:pt idx="1">
                  <c:v>3</c:v>
                </c:pt>
                <c:pt idx="2">
                  <c:v>4</c:v>
                </c:pt>
                <c:pt idx="3">
                  <c:v>5</c:v>
                </c:pt>
              </c:strCache>
            </c:strRef>
          </c:cat>
          <c:val>
            <c:numRef>
              <c:f>Pivots!$C$78:$C$82</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5BAF-467A-8FA0-84C65E3A6B1B}"/>
            </c:ext>
          </c:extLst>
        </c:ser>
        <c:dLbls>
          <c:showLegendKey val="0"/>
          <c:showVal val="0"/>
          <c:showCatName val="0"/>
          <c:showSerName val="0"/>
          <c:showPercent val="0"/>
          <c:showBubbleSize val="0"/>
        </c:dLbls>
        <c:gapWidth val="70"/>
        <c:overlap val="-27"/>
        <c:axId val="2041190320"/>
        <c:axId val="1579892464"/>
      </c:barChart>
      <c:catAx>
        <c:axId val="204119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92464"/>
        <c:crosses val="autoZero"/>
        <c:auto val="1"/>
        <c:lblAlgn val="ctr"/>
        <c:lblOffset val="100"/>
        <c:noMultiLvlLbl val="0"/>
      </c:catAx>
      <c:valAx>
        <c:axId val="15798924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190320"/>
        <c:crosses val="autoZero"/>
        <c:crossBetween val="between"/>
      </c:valAx>
      <c:spPr>
        <a:gradFill>
          <a:gsLst>
            <a:gs pos="100000">
              <a:schemeClr val="accent5">
                <a:lumMod val="75000"/>
              </a:schemeClr>
            </a:gs>
            <a:gs pos="100000">
              <a:srgbClr val="CCFFFF"/>
            </a:gs>
            <a:gs pos="14000">
              <a:srgbClr val="66FFFF"/>
            </a:gs>
            <a:gs pos="89000">
              <a:schemeClr val="accent5">
                <a:lumMod val="20000"/>
                <a:lumOff val="80000"/>
              </a:schemeClr>
            </a:gs>
          </a:gsLst>
          <a:path path="circle">
            <a:fillToRect l="50000" t="130000" r="50000" b="-30000"/>
          </a:path>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[sony 4hr xl.xlsx]Pivots!Call Trend</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b="1" i="1">
                <a:solidFill>
                  <a:srgbClr val="92D050"/>
                </a:solidFill>
              </a:rPr>
              <a:t>Call</a:t>
            </a:r>
            <a:r>
              <a:rPr lang="en-IN"/>
              <a:t> </a:t>
            </a:r>
            <a:r>
              <a:rPr lang="en-IN" b="1" i="1">
                <a:solidFill>
                  <a:srgbClr val="92D050"/>
                </a:solidFill>
              </a:rPr>
              <a:t>Trend</a:t>
            </a:r>
          </a:p>
        </c:rich>
      </c:tx>
      <c:layout>
        <c:manualLayout>
          <c:xMode val="edge"/>
          <c:yMode val="edge"/>
          <c:x val="3.83913875172383E-2"/>
          <c:y val="3.32225913621262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9000">
                <a:schemeClr val="accent6">
                  <a:lumMod val="20000"/>
                  <a:lumOff val="80000"/>
                </a:schemeClr>
              </a:gs>
              <a:gs pos="0">
                <a:schemeClr val="accent4">
                  <a:lumMod val="45000"/>
                  <a:lumOff val="55000"/>
                </a:schemeClr>
              </a:gs>
              <a:gs pos="99000">
                <a:schemeClr val="accent4">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6"/>
          <c:spPr>
            <a:solidFill>
              <a:schemeClr val="bg1"/>
            </a:solidFill>
            <a:ln w="1905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Pivots!$C$12</c:f>
              <c:strCache>
                <c:ptCount val="1"/>
                <c:pt idx="0">
                  <c:v>call count2</c:v>
                </c:pt>
              </c:strCache>
            </c:strRef>
          </c:tx>
          <c:spPr>
            <a:gradFill flip="none" rotWithShape="1">
              <a:gsLst>
                <a:gs pos="19000">
                  <a:schemeClr val="accent6">
                    <a:lumMod val="20000"/>
                    <a:lumOff val="80000"/>
                  </a:schemeClr>
                </a:gs>
                <a:gs pos="0">
                  <a:schemeClr val="accent4">
                    <a:lumMod val="45000"/>
                    <a:lumOff val="55000"/>
                  </a:schemeClr>
                </a:gs>
                <a:gs pos="99000">
                  <a:schemeClr val="accent4">
                    <a:lumMod val="30000"/>
                    <a:lumOff val="70000"/>
                  </a:schemeClr>
                </a:gs>
              </a:gsLst>
              <a:lin ang="5400000" scaled="1"/>
              <a:tileRect/>
            </a:gradFill>
            <a:ln>
              <a:noFill/>
            </a:ln>
            <a:effectLst/>
          </c:spP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Pivots!$C$13:$C$25</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83D3-4CDF-85B7-8E289A4195A2}"/>
            </c:ext>
          </c:extLst>
        </c:ser>
        <c:dLbls>
          <c:showLegendKey val="0"/>
          <c:showVal val="0"/>
          <c:showCatName val="0"/>
          <c:showSerName val="0"/>
          <c:showPercent val="0"/>
          <c:showBubbleSize val="0"/>
        </c:dLbls>
        <c:axId val="1776239952"/>
        <c:axId val="1579875664"/>
      </c:areaChart>
      <c:lineChart>
        <c:grouping val="standard"/>
        <c:varyColors val="0"/>
        <c:ser>
          <c:idx val="0"/>
          <c:order val="0"/>
          <c:tx>
            <c:strRef>
              <c:f>Pivots!$B$12</c:f>
              <c:strCache>
                <c:ptCount val="1"/>
                <c:pt idx="0">
                  <c:v>call count</c:v>
                </c:pt>
              </c:strCache>
            </c:strRef>
          </c:tx>
          <c:spPr>
            <a:ln w="28575" cap="rnd">
              <a:solidFill>
                <a:srgbClr val="00B050"/>
              </a:solidFill>
              <a:round/>
            </a:ln>
            <a:effectLst/>
          </c:spPr>
          <c:marker>
            <c:symbol val="circle"/>
            <c:size val="6"/>
            <c:spPr>
              <a:solidFill>
                <a:schemeClr val="bg1"/>
              </a:solidFill>
              <a:ln w="19050">
                <a:solidFill>
                  <a:schemeClr val="tx1">
                    <a:lumMod val="85000"/>
                    <a:lumOff val="15000"/>
                  </a:schemeClr>
                </a:solidFill>
              </a:ln>
              <a:effectLst/>
            </c:spPr>
          </c:marke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Pivots!$B$13:$B$25</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83D3-4CDF-85B7-8E289A4195A2}"/>
            </c:ext>
          </c:extLst>
        </c:ser>
        <c:dLbls>
          <c:showLegendKey val="0"/>
          <c:showVal val="0"/>
          <c:showCatName val="0"/>
          <c:showSerName val="0"/>
          <c:showPercent val="0"/>
          <c:showBubbleSize val="0"/>
        </c:dLbls>
        <c:marker val="1"/>
        <c:smooth val="0"/>
        <c:axId val="1776239952"/>
        <c:axId val="1579875664"/>
      </c:lineChart>
      <c:catAx>
        <c:axId val="177623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75664"/>
        <c:crosses val="autoZero"/>
        <c:auto val="1"/>
        <c:lblAlgn val="ctr"/>
        <c:lblOffset val="100"/>
        <c:noMultiLvlLbl val="0"/>
      </c:catAx>
      <c:valAx>
        <c:axId val="1579875664"/>
        <c:scaling>
          <c:orientation val="minMax"/>
        </c:scaling>
        <c:delete val="0"/>
        <c:axPos val="l"/>
        <c:majorGridlines>
          <c:spPr>
            <a:ln w="9525" cap="flat" cmpd="sng" algn="ctr">
              <a:solidFill>
                <a:srgbClr val="99FFCC"/>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239952"/>
        <c:crosses val="autoZero"/>
        <c:crossBetween val="between"/>
      </c:valAx>
      <c:spPr>
        <a:solidFill>
          <a:srgbClr val="CCFFFF"/>
        </a:solidFill>
        <a:ln>
          <a:gradFill flip="none" rotWithShape="1">
            <a:gsLst>
              <a:gs pos="69000">
                <a:srgbClr val="CCFFFF"/>
              </a:gs>
              <a:gs pos="83000">
                <a:srgbClr val="CCFFFF"/>
              </a:gs>
              <a:gs pos="100000">
                <a:srgbClr val="CCFFFF"/>
              </a:gs>
            </a:gsLst>
            <a:lin ang="0" scaled="1"/>
            <a:tileRect/>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[sony 4hr xl.xlsx]Pivots!PivotTable9</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500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innerShdw blurRad="63500" dist="50800" dir="162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2500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innerShdw blurRad="63500" dist="50800" dir="16200000">
              <a:prstClr val="black">
                <a:alpha val="50000"/>
              </a:prstClr>
            </a:innerShdw>
          </a:effectLst>
          <a:sp3d/>
        </c:spPr>
        <c:dLbl>
          <c:idx val="0"/>
          <c:layout>
            <c:manualLayout>
              <c:x val="2.4509803921568627E-2"/>
              <c:y val="-9.7000643108723759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2500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innerShdw blurRad="63500" dist="50800" dir="16200000">
              <a:prstClr val="black">
                <a:alpha val="50000"/>
              </a:prstClr>
            </a:innerShdw>
          </a:effectLst>
          <a:sp3d/>
        </c:spPr>
        <c:dLbl>
          <c:idx val="0"/>
          <c:layout>
            <c:manualLayout>
              <c:x val="3.4313725490196081E-2"/>
              <c:y val="5.291005291005194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2500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innerShdw blurRad="63500" dist="50800" dir="16200000">
              <a:prstClr val="black">
                <a:alpha val="50000"/>
              </a:prstClr>
            </a:innerShdw>
          </a:effectLst>
          <a:sp3d/>
        </c:spPr>
        <c:dLbl>
          <c:idx val="0"/>
          <c:layout>
            <c:manualLayout>
              <c:x val="2.4509803921568627E-2"/>
              <c:y val="-5.291005291005290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2500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innerShdw blurRad="63500" dist="50800" dir="16200000">
              <a:prstClr val="black">
                <a:alpha val="50000"/>
              </a:prstClr>
            </a:innerShdw>
          </a:effectLst>
          <a:sp3d/>
        </c:spPr>
        <c:dLbl>
          <c:idx val="0"/>
          <c:layout>
            <c:manualLayout>
              <c:x val="2.9411764705882353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2500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innerShdw blurRad="63500" dist="50800" dir="16200000">
              <a:prstClr val="black">
                <a:alpha val="50000"/>
              </a:prstClr>
            </a:innerShdw>
          </a:effectLst>
          <a:sp3d/>
        </c:spPr>
        <c:dLbl>
          <c:idx val="0"/>
          <c:layout>
            <c:manualLayout>
              <c:x val="1.470588235294117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2500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innerShdw blurRad="63500" dist="50800" dir="16200000">
              <a:prstClr val="black">
                <a:alpha val="50000"/>
              </a:prstClr>
            </a:innerShdw>
          </a:effectLst>
          <a:sp3d/>
        </c:spPr>
        <c:dLbl>
          <c:idx val="0"/>
          <c:layout>
            <c:manualLayout>
              <c:x val="1.960784313725490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2500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innerShdw blurRad="63500" dist="50800" dir="16200000">
              <a:prstClr val="black">
                <a:alpha val="50000"/>
              </a:prstClr>
            </a:innerShdw>
          </a:effectLst>
          <a:sp3d/>
        </c:spPr>
        <c:dLbl>
          <c:idx val="0"/>
          <c:layout>
            <c:manualLayout>
              <c:x val="2.4509803921568537E-2"/>
              <c:y val="-5.291005291005290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outerShdw blurRad="63500" sx="102000" sy="102000" algn="ctr" rotWithShape="0">
            <a:prstClr val="black">
              <a:alpha val="40000"/>
            </a:prstClr>
          </a:outerShdw>
        </a:effectLst>
        <a:sp3d/>
      </c:spPr>
    </c:sideWall>
    <c:backWall>
      <c:thickness val="0"/>
      <c:spPr>
        <a:noFill/>
        <a:ln>
          <a:noFill/>
        </a:ln>
        <a:effectLst>
          <a:outerShdw blurRad="63500" sx="102000" sy="102000" algn="ctr" rotWithShape="0">
            <a:prstClr val="black">
              <a:alpha val="40000"/>
            </a:prstClr>
          </a:outerShdw>
        </a:effectLst>
        <a:sp3d/>
      </c:spPr>
    </c:backWall>
    <c:plotArea>
      <c:layout>
        <c:manualLayout>
          <c:layoutTarget val="inner"/>
          <c:xMode val="edge"/>
          <c:yMode val="edge"/>
          <c:x val="0.27828122587617726"/>
          <c:y val="3.0485772611756865E-2"/>
          <c:w val="0.66779720549637178"/>
          <c:h val="0.91534391534391535"/>
        </c:manualLayout>
      </c:layout>
      <c:bar3DChart>
        <c:barDir val="bar"/>
        <c:grouping val="clustered"/>
        <c:varyColors val="0"/>
        <c:ser>
          <c:idx val="0"/>
          <c:order val="0"/>
          <c:tx>
            <c:strRef>
              <c:f>Pivots!$G$35</c:f>
              <c:strCache>
                <c:ptCount val="1"/>
                <c:pt idx="0">
                  <c:v>Total</c:v>
                </c:pt>
              </c:strCache>
            </c:strRef>
          </c:tx>
          <c:spPr>
            <a:gradFill flip="none" rotWithShape="1">
              <a:gsLst>
                <a:gs pos="2500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innerShdw blurRad="63500" dist="50800" dir="16200000">
                <a:prstClr val="black">
                  <a:alpha val="50000"/>
                </a:prstClr>
              </a:innerShdw>
            </a:effectLst>
            <a:sp3d/>
          </c:spPr>
          <c:invertIfNegative val="0"/>
          <c:dPt>
            <c:idx val="0"/>
            <c:invertIfNegative val="0"/>
            <c:bubble3D val="0"/>
            <c:extLst>
              <c:ext xmlns:c16="http://schemas.microsoft.com/office/drawing/2014/chart" uri="{C3380CC4-5D6E-409C-BE32-E72D297353CC}">
                <c16:uniqueId val="{00000002-324F-4AE9-BC16-58622042504A}"/>
              </c:ext>
            </c:extLst>
          </c:dPt>
          <c:dPt>
            <c:idx val="1"/>
            <c:invertIfNegative val="0"/>
            <c:bubble3D val="0"/>
            <c:extLst>
              <c:ext xmlns:c16="http://schemas.microsoft.com/office/drawing/2014/chart" uri="{C3380CC4-5D6E-409C-BE32-E72D297353CC}">
                <c16:uniqueId val="{00000001-324F-4AE9-BC16-58622042504A}"/>
              </c:ext>
            </c:extLst>
          </c:dPt>
          <c:dPt>
            <c:idx val="2"/>
            <c:invertIfNegative val="0"/>
            <c:bubble3D val="0"/>
            <c:extLst>
              <c:ext xmlns:c16="http://schemas.microsoft.com/office/drawing/2014/chart" uri="{C3380CC4-5D6E-409C-BE32-E72D297353CC}">
                <c16:uniqueId val="{00000003-324F-4AE9-BC16-58622042504A}"/>
              </c:ext>
            </c:extLst>
          </c:dPt>
          <c:dPt>
            <c:idx val="3"/>
            <c:invertIfNegative val="0"/>
            <c:bubble3D val="0"/>
            <c:extLst>
              <c:ext xmlns:c16="http://schemas.microsoft.com/office/drawing/2014/chart" uri="{C3380CC4-5D6E-409C-BE32-E72D297353CC}">
                <c16:uniqueId val="{00000007-324F-4AE9-BC16-58622042504A}"/>
              </c:ext>
            </c:extLst>
          </c:dPt>
          <c:dPt>
            <c:idx val="4"/>
            <c:invertIfNegative val="0"/>
            <c:bubble3D val="0"/>
            <c:extLst>
              <c:ext xmlns:c16="http://schemas.microsoft.com/office/drawing/2014/chart" uri="{C3380CC4-5D6E-409C-BE32-E72D297353CC}">
                <c16:uniqueId val="{00000006-324F-4AE9-BC16-58622042504A}"/>
              </c:ext>
            </c:extLst>
          </c:dPt>
          <c:dPt>
            <c:idx val="5"/>
            <c:invertIfNegative val="0"/>
            <c:bubble3D val="0"/>
            <c:extLst>
              <c:ext xmlns:c16="http://schemas.microsoft.com/office/drawing/2014/chart" uri="{C3380CC4-5D6E-409C-BE32-E72D297353CC}">
                <c16:uniqueId val="{00000004-324F-4AE9-BC16-58622042504A}"/>
              </c:ext>
            </c:extLst>
          </c:dPt>
          <c:dPt>
            <c:idx val="6"/>
            <c:invertIfNegative val="0"/>
            <c:bubble3D val="0"/>
            <c:extLst>
              <c:ext xmlns:c16="http://schemas.microsoft.com/office/drawing/2014/chart" uri="{C3380CC4-5D6E-409C-BE32-E72D297353CC}">
                <c16:uniqueId val="{00000005-324F-4AE9-BC16-58622042504A}"/>
              </c:ext>
            </c:extLst>
          </c:dPt>
          <c:dLbls>
            <c:dLbl>
              <c:idx val="0"/>
              <c:layout>
                <c:manualLayout>
                  <c:x val="3.4313725490196081E-2"/>
                  <c:y val="5.29100529100519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F-4AE9-BC16-58622042504A}"/>
                </c:ext>
              </c:extLst>
            </c:dLbl>
            <c:dLbl>
              <c:idx val="1"/>
              <c:layout>
                <c:manualLayout>
                  <c:x val="2.4509803921568627E-2"/>
                  <c:y val="-9.700064310872375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F-4AE9-BC16-58622042504A}"/>
                </c:ext>
              </c:extLst>
            </c:dLbl>
            <c:dLbl>
              <c:idx val="2"/>
              <c:layout>
                <c:manualLayout>
                  <c:x val="2.4509803921568627E-2"/>
                  <c:y val="-5.29100529100529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F-4AE9-BC16-58622042504A}"/>
                </c:ext>
              </c:extLst>
            </c:dLbl>
            <c:dLbl>
              <c:idx val="3"/>
              <c:layout>
                <c:manualLayout>
                  <c:x val="2.4509803921568537E-2"/>
                  <c:y val="-5.29100529100529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4F-4AE9-BC16-58622042504A}"/>
                </c:ext>
              </c:extLst>
            </c:dLbl>
            <c:dLbl>
              <c:idx val="4"/>
              <c:layout>
                <c:manualLayout>
                  <c:x val="1.960784313725490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4F-4AE9-BC16-58622042504A}"/>
                </c:ext>
              </c:extLst>
            </c:dLbl>
            <c:dLbl>
              <c:idx val="5"/>
              <c:layout>
                <c:manualLayout>
                  <c:x val="2.941176470588235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4F-4AE9-BC16-58622042504A}"/>
                </c:ext>
              </c:extLst>
            </c:dLbl>
            <c:dLbl>
              <c:idx val="6"/>
              <c:layout>
                <c:manualLayout>
                  <c:x val="1.470588235294117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4F-4AE9-BC16-58622042504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Pivots!$F$36:$F$43</c:f>
              <c:strCache>
                <c:ptCount val="7"/>
                <c:pt idx="0">
                  <c:v>Friday</c:v>
                </c:pt>
                <c:pt idx="1">
                  <c:v>Monday</c:v>
                </c:pt>
                <c:pt idx="2">
                  <c:v>Saturday</c:v>
                </c:pt>
                <c:pt idx="3">
                  <c:v>Sunday</c:v>
                </c:pt>
                <c:pt idx="4">
                  <c:v>Thursday</c:v>
                </c:pt>
                <c:pt idx="5">
                  <c:v>Tuesday</c:v>
                </c:pt>
                <c:pt idx="6">
                  <c:v>Wednesday</c:v>
                </c:pt>
              </c:strCache>
            </c:strRef>
          </c:cat>
          <c:val>
            <c:numRef>
              <c:f>Pivots!$G$36:$G$43</c:f>
              <c:numCache>
                <c:formatCode>#,##0</c:formatCode>
                <c:ptCount val="7"/>
                <c:pt idx="0">
                  <c:v>32</c:v>
                </c:pt>
                <c:pt idx="1">
                  <c:v>22</c:v>
                </c:pt>
                <c:pt idx="2">
                  <c:v>38</c:v>
                </c:pt>
                <c:pt idx="3">
                  <c:v>27</c:v>
                </c:pt>
                <c:pt idx="4">
                  <c:v>27</c:v>
                </c:pt>
                <c:pt idx="5">
                  <c:v>27</c:v>
                </c:pt>
                <c:pt idx="6">
                  <c:v>27</c:v>
                </c:pt>
              </c:numCache>
            </c:numRef>
          </c:val>
          <c:extLst>
            <c:ext xmlns:c16="http://schemas.microsoft.com/office/drawing/2014/chart" uri="{C3380CC4-5D6E-409C-BE32-E72D297353CC}">
              <c16:uniqueId val="{00000000-324F-4AE9-BC16-58622042504A}"/>
            </c:ext>
          </c:extLst>
        </c:ser>
        <c:dLbls>
          <c:showLegendKey val="0"/>
          <c:showVal val="1"/>
          <c:showCatName val="0"/>
          <c:showSerName val="0"/>
          <c:showPercent val="0"/>
          <c:showBubbleSize val="0"/>
        </c:dLbls>
        <c:gapWidth val="30"/>
        <c:gapDepth val="0"/>
        <c:shape val="box"/>
        <c:axId val="597307824"/>
        <c:axId val="1579896784"/>
        <c:axId val="0"/>
      </c:bar3DChart>
      <c:catAx>
        <c:axId val="5973078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96784"/>
        <c:crosses val="autoZero"/>
        <c:auto val="1"/>
        <c:lblAlgn val="ctr"/>
        <c:lblOffset val="100"/>
        <c:noMultiLvlLbl val="0"/>
      </c:catAx>
      <c:valAx>
        <c:axId val="1579896784"/>
        <c:scaling>
          <c:orientation val="minMax"/>
        </c:scaling>
        <c:delete val="1"/>
        <c:axPos val="b"/>
        <c:numFmt formatCode="#,##0" sourceLinked="1"/>
        <c:majorTickMark val="none"/>
        <c:minorTickMark val="none"/>
        <c:tickLblPos val="nextTo"/>
        <c:crossAx val="59730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solidFill>
                  <a:schemeClr val="accent5">
                    <a:lumMod val="60000"/>
                    <a:lumOff val="40000"/>
                  </a:schemeClr>
                </a:solidFill>
              </a:rPr>
              <a:t>Calls</a:t>
            </a:r>
          </a:p>
        </c:rich>
      </c:tx>
      <c:layout>
        <c:manualLayout>
          <c:xMode val="edge"/>
          <c:yMode val="edge"/>
          <c:x val="6.0140648443078669E-2"/>
          <c:y val="2.834467120181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95419498222842"/>
          <c:y val="0.14384050208009713"/>
          <c:w val="0.77266343630123135"/>
          <c:h val="0.76660953095148809"/>
        </c:manualLayout>
      </c:layout>
      <c:barChart>
        <c:barDir val="bar"/>
        <c:grouping val="clustered"/>
        <c:varyColors val="0"/>
        <c:ser>
          <c:idx val="0"/>
          <c:order val="0"/>
          <c:spPr>
            <a:gradFill flip="none" rotWithShape="1">
              <a:gsLst>
                <a:gs pos="80000">
                  <a:schemeClr val="tx2">
                    <a:lumMod val="75000"/>
                    <a:lumOff val="25000"/>
                  </a:schemeClr>
                </a:gs>
                <a:gs pos="16000">
                  <a:srgbClr val="CCFFFF"/>
                </a:gs>
                <a:gs pos="23000">
                  <a:schemeClr val="accent1">
                    <a:lumMod val="30000"/>
                    <a:lumOff val="70000"/>
                  </a:schemeClr>
                </a:gs>
              </a:gsLst>
              <a:lin ang="5400000" scaled="1"/>
              <a:tileRect/>
            </a:gradFill>
            <a:ln>
              <a:noFill/>
            </a:ln>
            <a:effectLst/>
          </c:spPr>
          <c:invertIfNegative val="0"/>
          <c:dLbls>
            <c:dLbl>
              <c:idx val="0"/>
              <c:layout>
                <c:manualLayout>
                  <c:x val="1.0256410256410256E-2"/>
                  <c:y val="4.509745560155496E-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05-4886-B7F7-3B20658056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Pivots!$F$48:$F$52</c:f>
              <c:strCache>
                <c:ptCount val="5"/>
                <c:pt idx="0">
                  <c:v>R01</c:v>
                </c:pt>
                <c:pt idx="1">
                  <c:v>R02</c:v>
                </c:pt>
                <c:pt idx="2">
                  <c:v>R03</c:v>
                </c:pt>
                <c:pt idx="3">
                  <c:v>R04</c:v>
                </c:pt>
                <c:pt idx="4">
                  <c:v>R05</c:v>
                </c:pt>
              </c:strCache>
            </c:strRef>
          </c:cat>
          <c:val>
            <c:numRef>
              <c:f>Pivots!$G$48:$G$52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1-7A05-4886-B7F7-3B20658056A8}"/>
            </c:ext>
          </c:extLst>
        </c:ser>
        <c:ser>
          <c:idx val="1"/>
          <c:order val="1"/>
          <c:tx>
            <c:strRef>
              <c:f>Pivots!$I$47</c:f>
              <c:strCache>
                <c:ptCount val="1"/>
                <c:pt idx="0">
                  <c:v>Sel.Counts</c:v>
                </c:pt>
              </c:strCache>
            </c:strRef>
          </c:tx>
          <c:spPr>
            <a:gradFill>
              <a:gsLst>
                <a:gs pos="88000">
                  <a:schemeClr val="accent5">
                    <a:lumMod val="75000"/>
                  </a:schemeClr>
                </a:gs>
                <a:gs pos="0">
                  <a:srgbClr val="FFFF00"/>
                </a:gs>
                <a:gs pos="10000">
                  <a:schemeClr val="accent5">
                    <a:lumMod val="60000"/>
                    <a:lumOff val="40000"/>
                  </a:schemeClr>
                </a:gs>
              </a:gsLst>
              <a:lin ang="5400000" scaled="1"/>
            </a:gradFill>
            <a:ln>
              <a:gradFill>
                <a:gsLst>
                  <a:gs pos="0">
                    <a:schemeClr val="accent1">
                      <a:lumMod val="5000"/>
                      <a:lumOff val="95000"/>
                    </a:scheme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ln>
            <a:effectLst/>
          </c:spPr>
          <c:invertIfNegative val="0"/>
          <c:dPt>
            <c:idx val="3"/>
            <c:invertIfNegative val="0"/>
            <c:bubble3D val="0"/>
            <c:spPr>
              <a:gradFill>
                <a:gsLst>
                  <a:gs pos="88000">
                    <a:schemeClr val="accent5">
                      <a:lumMod val="75000"/>
                    </a:schemeClr>
                  </a:gs>
                  <a:gs pos="0">
                    <a:srgbClr val="FFFF00"/>
                  </a:gs>
                  <a:gs pos="10000">
                    <a:schemeClr val="accent5">
                      <a:lumMod val="60000"/>
                      <a:lumOff val="40000"/>
                    </a:schemeClr>
                  </a:gs>
                </a:gsLst>
                <a:lin ang="5400000" scaled="1"/>
              </a:gradFill>
              <a:ln>
                <a:gradFill>
                  <a:gsLst>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A05-4886-B7F7-3B20658056A8}"/>
              </c:ext>
            </c:extLst>
          </c:dPt>
          <c:val>
            <c:numRef>
              <c:f>Pivots!$I$48:$I$52</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4-7A05-4886-B7F7-3B20658056A8}"/>
            </c:ext>
          </c:extLst>
        </c:ser>
        <c:dLbls>
          <c:showLegendKey val="0"/>
          <c:showVal val="0"/>
          <c:showCatName val="0"/>
          <c:showSerName val="0"/>
          <c:showPercent val="0"/>
          <c:showBubbleSize val="0"/>
        </c:dLbls>
        <c:gapWidth val="25"/>
        <c:overlap val="100"/>
        <c:axId val="1710986992"/>
        <c:axId val="1579911664"/>
      </c:barChart>
      <c:catAx>
        <c:axId val="17109869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11664"/>
        <c:crosses val="autoZero"/>
        <c:auto val="1"/>
        <c:lblAlgn val="ctr"/>
        <c:lblOffset val="100"/>
        <c:noMultiLvlLbl val="0"/>
      </c:catAx>
      <c:valAx>
        <c:axId val="1579911664"/>
        <c:scaling>
          <c:orientation val="minMax"/>
          <c:min val="0"/>
        </c:scaling>
        <c:delete val="1"/>
        <c:axPos val="t"/>
        <c:numFmt formatCode="General" sourceLinked="1"/>
        <c:majorTickMark val="out"/>
        <c:minorTickMark val="none"/>
        <c:tickLblPos val="nextTo"/>
        <c:crossAx val="171098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b="1" i="1">
                <a:solidFill>
                  <a:srgbClr val="FF7C80"/>
                </a:solidFill>
              </a:rPr>
              <a:t>Amount</a:t>
            </a:r>
          </a:p>
        </c:rich>
      </c:tx>
      <c:layout>
        <c:manualLayout>
          <c:xMode val="edge"/>
          <c:yMode val="edge"/>
          <c:x val="5.3032492773846279E-2"/>
          <c:y val="2.863688430698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34064551835175"/>
          <c:y val="0.14248315610033283"/>
          <c:w val="0.78741121816641935"/>
          <c:h val="0.80082753831028852"/>
        </c:manualLayout>
      </c:layout>
      <c:barChart>
        <c:barDir val="bar"/>
        <c:grouping val="clustered"/>
        <c:varyColors val="0"/>
        <c:ser>
          <c:idx val="0"/>
          <c:order val="0"/>
          <c:spPr>
            <a:gradFill>
              <a:gsLst>
                <a:gs pos="48000">
                  <a:srgbClr val="92D050"/>
                </a:gs>
                <a:gs pos="32000">
                  <a:schemeClr val="accent1">
                    <a:lumMod val="20000"/>
                    <a:lumOff val="80000"/>
                  </a:schemeClr>
                </a:gs>
                <a:gs pos="65000">
                  <a:srgbClr val="8FCF5D"/>
                </a:gs>
                <a:gs pos="17000">
                  <a:srgbClr val="99FFCC"/>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Pivots!$F$48:$F$52</c:f>
              <c:strCache>
                <c:ptCount val="5"/>
                <c:pt idx="0">
                  <c:v>R01</c:v>
                </c:pt>
                <c:pt idx="1">
                  <c:v>R02</c:v>
                </c:pt>
                <c:pt idx="2">
                  <c:v>R03</c:v>
                </c:pt>
                <c:pt idx="3">
                  <c:v>R04</c:v>
                </c:pt>
                <c:pt idx="4">
                  <c:v>R05</c:v>
                </c:pt>
              </c:strCache>
            </c:strRef>
          </c:cat>
          <c:val>
            <c:numRef>
              <c:f>Pivots!$H$48:$H$52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30D-4238-AF0B-6FF096DC3161}"/>
            </c:ext>
          </c:extLst>
        </c:ser>
        <c:ser>
          <c:idx val="1"/>
          <c:order val="1"/>
          <c:tx>
            <c:strRef>
              <c:f>Pivots!$J$47</c:f>
              <c:strCache>
                <c:ptCount val="1"/>
                <c:pt idx="0">
                  <c:v>Sel.Amounts</c:v>
                </c:pt>
              </c:strCache>
            </c:strRef>
          </c:tx>
          <c:spPr>
            <a:gradFill>
              <a:gsLst>
                <a:gs pos="74000">
                  <a:srgbClr val="FF7C80"/>
                </a:gs>
                <a:gs pos="0">
                  <a:srgbClr val="FFFF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Pivots!$J$48:$J$52</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530D-4238-AF0B-6FF096DC3161}"/>
            </c:ext>
          </c:extLst>
        </c:ser>
        <c:dLbls>
          <c:dLblPos val="outEnd"/>
          <c:showLegendKey val="0"/>
          <c:showVal val="1"/>
          <c:showCatName val="0"/>
          <c:showSerName val="0"/>
          <c:showPercent val="0"/>
          <c:showBubbleSize val="0"/>
        </c:dLbls>
        <c:gapWidth val="25"/>
        <c:overlap val="100"/>
        <c:axId val="1808303568"/>
        <c:axId val="1579904944"/>
      </c:barChart>
      <c:catAx>
        <c:axId val="1808303568"/>
        <c:scaling>
          <c:orientation val="maxMin"/>
        </c:scaling>
        <c:delete val="1"/>
        <c:axPos val="l"/>
        <c:numFmt formatCode="General" sourceLinked="1"/>
        <c:majorTickMark val="out"/>
        <c:minorTickMark val="none"/>
        <c:tickLblPos val="nextTo"/>
        <c:crossAx val="1579904944"/>
        <c:crosses val="autoZero"/>
        <c:auto val="1"/>
        <c:lblAlgn val="ctr"/>
        <c:lblOffset val="100"/>
        <c:noMultiLvlLbl val="0"/>
      </c:catAx>
      <c:valAx>
        <c:axId val="1579904944"/>
        <c:scaling>
          <c:orientation val="minMax"/>
        </c:scaling>
        <c:delete val="1"/>
        <c:axPos val="t"/>
        <c:numFmt formatCode="\$#,###.0,&quot;k&quot;" sourceLinked="1"/>
        <c:majorTickMark val="out"/>
        <c:minorTickMark val="none"/>
        <c:tickLblPos val="nextTo"/>
        <c:crossAx val="180830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[sony 4hr xl.xlsx]Pivots!PivotTable13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accent3">
                    <a:lumMod val="40000"/>
                    <a:lumOff val="60000"/>
                  </a:schemeClr>
                </a:solidFill>
              </a:rPr>
              <a:t>Female</a:t>
            </a:r>
            <a:r>
              <a:rPr lang="en-US" b="1" i="1"/>
              <a:t> </a:t>
            </a:r>
            <a:r>
              <a:rPr lang="en-US" b="1" i="1">
                <a:solidFill>
                  <a:schemeClr val="accent4">
                    <a:lumMod val="75000"/>
                  </a:schemeClr>
                </a:solidFill>
              </a:rPr>
              <a:t>VS</a:t>
            </a:r>
            <a:r>
              <a:rPr lang="en-US" b="1" i="1"/>
              <a:t> </a:t>
            </a:r>
            <a:r>
              <a:rPr lang="en-US" b="1" i="1">
                <a:solidFill>
                  <a:srgbClr val="00B0F0"/>
                </a:solidFill>
              </a:rPr>
              <a:t>Male</a:t>
            </a:r>
            <a:r>
              <a:rPr lang="en-US" b="1" i="1"/>
              <a:t> </a:t>
            </a:r>
            <a:r>
              <a:rPr lang="en-US" b="1" i="1">
                <a:solidFill>
                  <a:srgbClr val="00B050"/>
                </a:solidFill>
              </a:rPr>
              <a:t>Callers</a:t>
            </a:r>
          </a:p>
        </c:rich>
      </c:tx>
      <c:layout>
        <c:manualLayout>
          <c:xMode val="edge"/>
          <c:yMode val="edge"/>
          <c:x val="0.22832441220437996"/>
          <c:y val="3.59712230215827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40000"/>
                  <a:lumOff val="60000"/>
                </a:schemeClr>
              </a:gs>
              <a:gs pos="87000">
                <a:srgbClr val="FF7C80"/>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9000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40000"/>
                  <a:lumOff val="60000"/>
                </a:schemeClr>
              </a:gs>
              <a:gs pos="87000">
                <a:srgbClr val="FF7C80"/>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9000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47000">
                <a:srgbClr val="3BD2EE"/>
              </a:gs>
              <a:gs pos="16000">
                <a:srgbClr val="66FFFF"/>
              </a:gs>
              <a:gs pos="97000">
                <a:srgbClr val="99FFCC"/>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9000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Pivots!$C$62:$C$63</c:f>
              <c:strCache>
                <c:ptCount val="1"/>
                <c:pt idx="0">
                  <c:v>Female</c:v>
                </c:pt>
              </c:strCache>
            </c:strRef>
          </c:tx>
          <c:spPr>
            <a:gradFill flip="none" rotWithShape="1">
              <a:gsLst>
                <a:gs pos="47000">
                  <a:srgbClr val="3BD2EE"/>
                </a:gs>
                <a:gs pos="16000">
                  <a:srgbClr val="66FFFF"/>
                </a:gs>
                <a:gs pos="97000">
                  <a:srgbClr val="99FFCC"/>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Pivots!$B$64:$B$67</c:f>
              <c:strCache>
                <c:ptCount val="3"/>
                <c:pt idx="0">
                  <c:v>Cincinnati</c:v>
                </c:pt>
                <c:pt idx="1">
                  <c:v>Cleveland</c:v>
                </c:pt>
                <c:pt idx="2">
                  <c:v>Columbus</c:v>
                </c:pt>
              </c:strCache>
            </c:strRef>
          </c:cat>
          <c:val>
            <c:numRef>
              <c:f>Pivots!$C$64:$C$67</c:f>
              <c:numCache>
                <c:formatCode>#,##0</c:formatCode>
                <c:ptCount val="3"/>
                <c:pt idx="0">
                  <c:v>144</c:v>
                </c:pt>
                <c:pt idx="1">
                  <c:v>326</c:v>
                </c:pt>
                <c:pt idx="2">
                  <c:v>129</c:v>
                </c:pt>
              </c:numCache>
            </c:numRef>
          </c:val>
          <c:extLst>
            <c:ext xmlns:c16="http://schemas.microsoft.com/office/drawing/2014/chart" uri="{C3380CC4-5D6E-409C-BE32-E72D297353CC}">
              <c16:uniqueId val="{00000000-A47B-418C-9290-664B7B09CF2D}"/>
            </c:ext>
          </c:extLst>
        </c:ser>
        <c:ser>
          <c:idx val="1"/>
          <c:order val="1"/>
          <c:tx>
            <c:strRef>
              <c:f>Pivots!$D$62:$D$63</c:f>
              <c:strCache>
                <c:ptCount val="1"/>
                <c:pt idx="0">
                  <c:v>Male</c:v>
                </c:pt>
              </c:strCache>
            </c:strRef>
          </c:tx>
          <c:spPr>
            <a:gradFill flip="none" rotWithShape="1">
              <a:gsLst>
                <a:gs pos="9000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Pivots!$B$64:$B$67</c:f>
              <c:strCache>
                <c:ptCount val="3"/>
                <c:pt idx="0">
                  <c:v>Cincinnati</c:v>
                </c:pt>
                <c:pt idx="1">
                  <c:v>Cleveland</c:v>
                </c:pt>
                <c:pt idx="2">
                  <c:v>Columbus</c:v>
                </c:pt>
              </c:strCache>
            </c:strRef>
          </c:cat>
          <c:val>
            <c:numRef>
              <c:f>Pivots!$D$64:$D$67</c:f>
              <c:numCache>
                <c:formatCode>#,##0</c:formatCode>
                <c:ptCount val="3"/>
                <c:pt idx="0">
                  <c:v>132</c:v>
                </c:pt>
                <c:pt idx="1">
                  <c:v>63</c:v>
                </c:pt>
                <c:pt idx="2">
                  <c:v>206</c:v>
                </c:pt>
              </c:numCache>
            </c:numRef>
          </c:val>
          <c:extLst>
            <c:ext xmlns:c16="http://schemas.microsoft.com/office/drawing/2014/chart" uri="{C3380CC4-5D6E-409C-BE32-E72D297353CC}">
              <c16:uniqueId val="{00000001-A47B-418C-9290-664B7B09CF2D}"/>
            </c:ext>
          </c:extLst>
        </c:ser>
        <c:dLbls>
          <c:dLblPos val="ctr"/>
          <c:showLegendKey val="0"/>
          <c:showVal val="1"/>
          <c:showCatName val="0"/>
          <c:showSerName val="0"/>
          <c:showPercent val="0"/>
          <c:showBubbleSize val="0"/>
        </c:dLbls>
        <c:gapWidth val="70"/>
        <c:overlap val="100"/>
        <c:axId val="2040956464"/>
        <c:axId val="1579958224"/>
      </c:barChart>
      <c:catAx>
        <c:axId val="2040956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79958224"/>
        <c:crosses val="autoZero"/>
        <c:auto val="1"/>
        <c:lblAlgn val="ctr"/>
        <c:lblOffset val="100"/>
        <c:noMultiLvlLbl val="0"/>
      </c:catAx>
      <c:valAx>
        <c:axId val="1579958224"/>
        <c:scaling>
          <c:orientation val="minMax"/>
        </c:scaling>
        <c:delete val="1"/>
        <c:axPos val="l"/>
        <c:majorGridlines>
          <c:spPr>
            <a:ln w="9525" cap="flat" cmpd="sng" algn="ctr">
              <a:solidFill>
                <a:srgbClr val="92D050"/>
              </a:solidFill>
              <a:round/>
            </a:ln>
            <a:effectLst/>
          </c:spPr>
        </c:majorGridlines>
        <c:numFmt formatCode="#,##0" sourceLinked="1"/>
        <c:majorTickMark val="none"/>
        <c:minorTickMark val="none"/>
        <c:tickLblPos val="nextTo"/>
        <c:crossAx val="2040956464"/>
        <c:crosses val="autoZero"/>
        <c:crossBetween val="between"/>
      </c:valAx>
      <c:spPr>
        <a:gradFill>
          <a:gsLst>
            <a:gs pos="100000">
              <a:srgbClr val="CCFFFF"/>
            </a:gs>
            <a:gs pos="42000">
              <a:srgbClr val="CCFFFF"/>
            </a:gs>
            <a:gs pos="100000">
              <a:schemeClr val="accent2">
                <a:lumMod val="60000"/>
              </a:schemeClr>
            </a:gs>
          </a:gsLst>
          <a:path path="circle">
            <a:fillToRect l="50000" t="130000" r="50000" b="-30000"/>
          </a:path>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[sony 4hr xl.xlsx]Pivots!Satisfication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accent5">
                    <a:lumMod val="60000"/>
                    <a:lumOff val="4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36000">
                <a:schemeClr val="accent5">
                  <a:lumMod val="75000"/>
                </a:schemeClr>
              </a:gs>
              <a:gs pos="100000">
                <a:srgbClr val="CCFFFF"/>
              </a:gs>
              <a:gs pos="17000">
                <a:srgbClr val="66FFFF"/>
              </a:gs>
              <a:gs pos="74000">
                <a:schemeClr val="accent5">
                  <a:lumMod val="20000"/>
                  <a:lumOff val="80000"/>
                </a:schemeClr>
              </a:gs>
            </a:gsLst>
            <a:path path="circle">
              <a:fillToRect l="50000" t="130000" r="50000" b="-30000"/>
            </a:path>
          </a:gra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36000">
                <a:schemeClr val="accent5">
                  <a:lumMod val="75000"/>
                </a:schemeClr>
              </a:gs>
              <a:gs pos="100000">
                <a:srgbClr val="CCFFFF"/>
              </a:gs>
              <a:gs pos="17000">
                <a:srgbClr val="66FFFF"/>
              </a:gs>
              <a:gs pos="74000">
                <a:schemeClr val="accent5">
                  <a:lumMod val="20000"/>
                  <a:lumOff val="80000"/>
                </a:schemeClr>
              </a:gs>
            </a:gsLst>
            <a:path path="circle">
              <a:fillToRect l="50000" t="130000" r="50000" b="-30000"/>
            </a:path>
          </a:gra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1000">
                <a:srgbClr val="A8CAED"/>
              </a:gs>
              <a:gs pos="100000">
                <a:schemeClr val="accent5">
                  <a:lumMod val="40000"/>
                  <a:lumOff val="60000"/>
                </a:schemeClr>
              </a:gs>
              <a:gs pos="3000">
                <a:schemeClr val="accent5">
                  <a:lumMod val="60000"/>
                  <a:lumOff val="40000"/>
                </a:schemeClr>
              </a:gs>
              <a:gs pos="73000">
                <a:srgbClr val="6BF6FD"/>
              </a:gs>
            </a:gsLst>
            <a:lin ang="16200000" scaled="1"/>
          </a:gra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41000">
                <a:srgbClr val="A8CAED"/>
              </a:gs>
              <a:gs pos="100000">
                <a:schemeClr val="accent5">
                  <a:lumMod val="40000"/>
                  <a:lumOff val="60000"/>
                </a:schemeClr>
              </a:gs>
              <a:gs pos="3000">
                <a:schemeClr val="accent5">
                  <a:lumMod val="60000"/>
                  <a:lumOff val="40000"/>
                </a:schemeClr>
              </a:gs>
              <a:gs pos="73000">
                <a:srgbClr val="6BF6FD"/>
              </a:gs>
            </a:gsLst>
            <a:lin ang="16200000" scaled="1"/>
          </a:gradFill>
          <a:ln>
            <a:solidFill>
              <a:srgbClr val="0070C0"/>
            </a:solidFill>
          </a:ln>
          <a:effectLst/>
        </c:spPr>
      </c:pivotFmt>
      <c:pivotFmt>
        <c:idx val="4"/>
        <c:spPr>
          <a:gradFill>
            <a:gsLst>
              <a:gs pos="41000">
                <a:srgbClr val="A8CAED"/>
              </a:gs>
              <a:gs pos="100000">
                <a:schemeClr val="accent5">
                  <a:lumMod val="40000"/>
                  <a:lumOff val="60000"/>
                </a:schemeClr>
              </a:gs>
              <a:gs pos="3000">
                <a:schemeClr val="accent5">
                  <a:lumMod val="60000"/>
                  <a:lumOff val="40000"/>
                </a:schemeClr>
              </a:gs>
              <a:gs pos="73000">
                <a:srgbClr val="6BF6FD"/>
              </a:gs>
            </a:gsLst>
            <a:lin ang="16200000" scaled="1"/>
          </a:gradFill>
          <a:ln>
            <a:solidFill>
              <a:srgbClr val="0070C0"/>
            </a:solidFill>
          </a:ln>
          <a:effectLst/>
        </c:spPr>
      </c:pivotFmt>
      <c:pivotFmt>
        <c:idx val="5"/>
        <c:spPr>
          <a:gradFill>
            <a:gsLst>
              <a:gs pos="41000">
                <a:srgbClr val="A8CAED"/>
              </a:gs>
              <a:gs pos="100000">
                <a:schemeClr val="accent5">
                  <a:lumMod val="40000"/>
                  <a:lumOff val="60000"/>
                </a:schemeClr>
              </a:gs>
              <a:gs pos="3000">
                <a:schemeClr val="accent5">
                  <a:lumMod val="60000"/>
                  <a:lumOff val="40000"/>
                </a:schemeClr>
              </a:gs>
              <a:gs pos="73000">
                <a:srgbClr val="6BF6FD"/>
              </a:gs>
            </a:gsLst>
            <a:lin ang="16200000" scaled="1"/>
          </a:gradFill>
          <a:ln>
            <a:solidFill>
              <a:srgbClr val="0070C0"/>
            </a:solidFill>
          </a:ln>
          <a:effectLst/>
        </c:spPr>
      </c:pivotFmt>
    </c:pivotFmts>
    <c:plotArea>
      <c:layout/>
      <c:barChart>
        <c:barDir val="col"/>
        <c:grouping val="clustered"/>
        <c:varyColors val="0"/>
        <c:ser>
          <c:idx val="0"/>
          <c:order val="0"/>
          <c:tx>
            <c:strRef>
              <c:f>Pivots!$C$77</c:f>
              <c:strCache>
                <c:ptCount val="1"/>
                <c:pt idx="0">
                  <c:v>Total</c:v>
                </c:pt>
              </c:strCache>
            </c:strRef>
          </c:tx>
          <c:spPr>
            <a:gradFill>
              <a:gsLst>
                <a:gs pos="41000">
                  <a:srgbClr val="A8CAED"/>
                </a:gs>
                <a:gs pos="100000">
                  <a:schemeClr val="accent5">
                    <a:lumMod val="40000"/>
                    <a:lumOff val="60000"/>
                  </a:schemeClr>
                </a:gs>
                <a:gs pos="3000">
                  <a:schemeClr val="accent5">
                    <a:lumMod val="60000"/>
                    <a:lumOff val="40000"/>
                  </a:schemeClr>
                </a:gs>
                <a:gs pos="73000">
                  <a:srgbClr val="6BF6FD"/>
                </a:gs>
              </a:gsLst>
              <a:lin ang="16200000" scaled="1"/>
            </a:gradFill>
            <a:ln>
              <a:solidFill>
                <a:srgbClr val="0070C0"/>
              </a:solidFill>
            </a:ln>
            <a:effectLst/>
          </c:spPr>
          <c:invertIfNegative val="0"/>
          <c:cat>
            <c:strRef>
              <c:f>Pivots!$B$78:$B$82</c:f>
              <c:strCache>
                <c:ptCount val="4"/>
                <c:pt idx="0">
                  <c:v>2</c:v>
                </c:pt>
                <c:pt idx="1">
                  <c:v>3</c:v>
                </c:pt>
                <c:pt idx="2">
                  <c:v>4</c:v>
                </c:pt>
                <c:pt idx="3">
                  <c:v>5</c:v>
                </c:pt>
              </c:strCache>
            </c:strRef>
          </c:cat>
          <c:val>
            <c:numRef>
              <c:f>Pivots!$C$78:$C$82</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68B1-4FE2-BEC0-02821478C4B7}"/>
            </c:ext>
          </c:extLst>
        </c:ser>
        <c:dLbls>
          <c:showLegendKey val="0"/>
          <c:showVal val="0"/>
          <c:showCatName val="0"/>
          <c:showSerName val="0"/>
          <c:showPercent val="0"/>
          <c:showBubbleSize val="0"/>
        </c:dLbls>
        <c:gapWidth val="70"/>
        <c:overlap val="-27"/>
        <c:axId val="2041190320"/>
        <c:axId val="1579892464"/>
      </c:barChart>
      <c:catAx>
        <c:axId val="204119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9892464"/>
        <c:crosses val="autoZero"/>
        <c:auto val="1"/>
        <c:lblAlgn val="ctr"/>
        <c:lblOffset val="100"/>
        <c:noMultiLvlLbl val="0"/>
      </c:catAx>
      <c:valAx>
        <c:axId val="1579892464"/>
        <c:scaling>
          <c:orientation val="minMax"/>
        </c:scaling>
        <c:delete val="0"/>
        <c:axPos val="l"/>
        <c:majorGridlines>
          <c:spPr>
            <a:ln w="9525" cap="flat" cmpd="sng" algn="ctr">
              <a:solidFill>
                <a:srgbClr val="CCFFFF"/>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190320"/>
        <c:crosses val="autoZero"/>
        <c:crossBetween val="between"/>
      </c:valAx>
      <c:spPr>
        <a:gradFill flip="none" rotWithShape="1">
          <a:gsLst>
            <a:gs pos="15000">
              <a:schemeClr val="accent4">
                <a:lumMod val="45000"/>
                <a:lumOff val="55000"/>
              </a:schemeClr>
            </a:gs>
            <a:gs pos="100000">
              <a:srgbClr val="FFCCCC"/>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bg1"/>
        </a:gs>
        <a:gs pos="0">
          <a:srgbClr val="CCFFFF"/>
        </a:gs>
        <a:gs pos="99000">
          <a:schemeClr val="bg1"/>
        </a:gs>
      </a:gsLst>
      <a:path path="circle">
        <a:fillToRect l="50000" t="130000" r="50000" b="-3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2" Type="http://schemas.openxmlformats.org/officeDocument/2006/relationships/image" Target="../media/image2.sv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563880</xdr:colOff>
      <xdr:row>2</xdr:row>
      <xdr:rowOff>106680</xdr:rowOff>
    </xdr:from>
    <xdr:to>
      <xdr:col>14</xdr:col>
      <xdr:colOff>601980</xdr:colOff>
      <xdr:row>12</xdr:row>
      <xdr:rowOff>160020</xdr:rowOff>
    </xdr:to>
    <xdr:graphicFrame macro="">
      <xdr:nvGraphicFramePr>
        <xdr:cNvPr id="4" name="Chart 3">
          <a:extLst>
            <a:ext uri="{FF2B5EF4-FFF2-40B4-BE49-F238E27FC236}">
              <a16:creationId xmlns:a16="http://schemas.microsoft.com/office/drawing/2014/main" id="{A939E343-5502-AB63-3412-58954F979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60960</xdr:colOff>
      <xdr:row>3</xdr:row>
      <xdr:rowOff>38099</xdr:rowOff>
    </xdr:from>
    <xdr:to>
      <xdr:col>4</xdr:col>
      <xdr:colOff>388620</xdr:colOff>
      <xdr:row>13</xdr:row>
      <xdr:rowOff>45720</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4EE84DA1-0042-BFE2-3805-04DBCEE2A47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017520" y="586739"/>
              <a:ext cx="937260" cy="1836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365760</xdr:colOff>
      <xdr:row>1</xdr:row>
      <xdr:rowOff>137160</xdr:rowOff>
    </xdr:from>
    <xdr:to>
      <xdr:col>12</xdr:col>
      <xdr:colOff>68580</xdr:colOff>
      <xdr:row>14</xdr:row>
      <xdr:rowOff>167640</xdr:rowOff>
    </xdr:to>
    <xdr:graphicFrame macro="">
      <xdr:nvGraphicFramePr>
        <xdr:cNvPr id="3" name="Chart 2">
          <a:extLst>
            <a:ext uri="{FF2B5EF4-FFF2-40B4-BE49-F238E27FC236}">
              <a16:creationId xmlns:a16="http://schemas.microsoft.com/office/drawing/2014/main" id="{6BD1EA22-C5A5-7B08-459E-6609FD1D1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518160</xdr:colOff>
      <xdr:row>2</xdr:row>
      <xdr:rowOff>1</xdr:rowOff>
    </xdr:from>
    <xdr:to>
      <xdr:col>13</xdr:col>
      <xdr:colOff>289560</xdr:colOff>
      <xdr:row>12</xdr:row>
      <xdr:rowOff>30481</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D8BA954A-265F-88A1-FED4-A3BC1C02D4CB}"/>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122920" y="365761"/>
              <a:ext cx="99060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xdr:colOff>
      <xdr:row>1</xdr:row>
      <xdr:rowOff>38100</xdr:rowOff>
    </xdr:from>
    <xdr:to>
      <xdr:col>10</xdr:col>
      <xdr:colOff>396240</xdr:colOff>
      <xdr:row>14</xdr:row>
      <xdr:rowOff>175260</xdr:rowOff>
    </xdr:to>
    <xdr:graphicFrame macro="">
      <xdr:nvGraphicFramePr>
        <xdr:cNvPr id="4" name="Chart 3">
          <a:extLst>
            <a:ext uri="{FF2B5EF4-FFF2-40B4-BE49-F238E27FC236}">
              <a16:creationId xmlns:a16="http://schemas.microsoft.com/office/drawing/2014/main" id="{7C3E7A80-0940-4C7B-B0E9-3C13CC6F8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533400</xdr:colOff>
      <xdr:row>0</xdr:row>
      <xdr:rowOff>1</xdr:rowOff>
    </xdr:from>
    <xdr:to>
      <xdr:col>8</xdr:col>
      <xdr:colOff>76200</xdr:colOff>
      <xdr:row>8</xdr:row>
      <xdr:rowOff>7621</xdr:rowOff>
    </xdr:to>
    <mc:AlternateContent xmlns:mc="http://schemas.openxmlformats.org/markup-compatibility/2006" xmlns:a14="http://schemas.microsoft.com/office/drawing/2010/main">
      <mc:Choice Requires="a14">
        <xdr:graphicFrame macro="">
          <xdr:nvGraphicFramePr>
            <xdr:cNvPr id="2" name="Representative 2">
              <a:extLst>
                <a:ext uri="{FF2B5EF4-FFF2-40B4-BE49-F238E27FC236}">
                  <a16:creationId xmlns:a16="http://schemas.microsoft.com/office/drawing/2014/main" id="{CE50DCDD-F296-4A60-7733-083B7D8FF059}"/>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5379720" y="1"/>
              <a:ext cx="89154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617220</xdr:colOff>
      <xdr:row>11</xdr:row>
      <xdr:rowOff>99060</xdr:rowOff>
    </xdr:from>
    <xdr:to>
      <xdr:col>10</xdr:col>
      <xdr:colOff>7620</xdr:colOff>
      <xdr:row>24</xdr:row>
      <xdr:rowOff>15240</xdr:rowOff>
    </xdr:to>
    <xdr:graphicFrame macro="">
      <xdr:nvGraphicFramePr>
        <xdr:cNvPr id="4" name="Chart 3">
          <a:extLst>
            <a:ext uri="{FF2B5EF4-FFF2-40B4-BE49-F238E27FC236}">
              <a16:creationId xmlns:a16="http://schemas.microsoft.com/office/drawing/2014/main" id="{FA817697-4049-1EF6-CA7A-285FD21FE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32</xdr:row>
      <xdr:rowOff>167640</xdr:rowOff>
    </xdr:from>
    <xdr:to>
      <xdr:col>13</xdr:col>
      <xdr:colOff>144780</xdr:colOff>
      <xdr:row>43</xdr:row>
      <xdr:rowOff>15240</xdr:rowOff>
    </xdr:to>
    <xdr:graphicFrame macro="">
      <xdr:nvGraphicFramePr>
        <xdr:cNvPr id="6" name="Chart 5">
          <a:extLst>
            <a:ext uri="{FF2B5EF4-FFF2-40B4-BE49-F238E27FC236}">
              <a16:creationId xmlns:a16="http://schemas.microsoft.com/office/drawing/2014/main" id="{DA3D0105-95A8-E2C6-3812-AE1D161B4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609100</xdr:colOff>
      <xdr:row>45</xdr:row>
      <xdr:rowOff>0</xdr:rowOff>
    </xdr:from>
    <xdr:to>
      <xdr:col>17</xdr:col>
      <xdr:colOff>53840</xdr:colOff>
      <xdr:row>57</xdr:row>
      <xdr:rowOff>45720</xdr:rowOff>
    </xdr:to>
    <xdr:graphicFrame macro="">
      <xdr:nvGraphicFramePr>
        <xdr:cNvPr id="10" name="Chart 9">
          <a:extLst>
            <a:ext uri="{FF2B5EF4-FFF2-40B4-BE49-F238E27FC236}">
              <a16:creationId xmlns:a16="http://schemas.microsoft.com/office/drawing/2014/main" id="{B269AC0F-F30B-A323-3022-6C0C44CA3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99060</xdr:colOff>
      <xdr:row>44</xdr:row>
      <xdr:rowOff>106680</xdr:rowOff>
    </xdr:from>
    <xdr:to>
      <xdr:col>20</xdr:col>
      <xdr:colOff>525780</xdr:colOff>
      <xdr:row>55</xdr:row>
      <xdr:rowOff>38100</xdr:rowOff>
    </xdr:to>
    <xdr:graphicFrame macro="">
      <xdr:nvGraphicFramePr>
        <xdr:cNvPr id="12" name="Chart 11">
          <a:extLst>
            <a:ext uri="{FF2B5EF4-FFF2-40B4-BE49-F238E27FC236}">
              <a16:creationId xmlns:a16="http://schemas.microsoft.com/office/drawing/2014/main" id="{14EE2C9E-AC9A-1FEC-6225-9026A4147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129540</xdr:colOff>
      <xdr:row>58</xdr:row>
      <xdr:rowOff>106680</xdr:rowOff>
    </xdr:from>
    <xdr:to>
      <xdr:col>19</xdr:col>
      <xdr:colOff>99060</xdr:colOff>
      <xdr:row>70</xdr:row>
      <xdr:rowOff>30480</xdr:rowOff>
    </xdr:to>
    <xdr:graphicFrame macro="">
      <xdr:nvGraphicFramePr>
        <xdr:cNvPr id="13" name="Chart 12">
          <a:extLst>
            <a:ext uri="{FF2B5EF4-FFF2-40B4-BE49-F238E27FC236}">
              <a16:creationId xmlns:a16="http://schemas.microsoft.com/office/drawing/2014/main" id="{2B7FDFCA-249C-4B16-3B4A-11128996C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68580</xdr:colOff>
      <xdr:row>73</xdr:row>
      <xdr:rowOff>30480</xdr:rowOff>
    </xdr:from>
    <xdr:to>
      <xdr:col>8</xdr:col>
      <xdr:colOff>419100</xdr:colOff>
      <xdr:row>84</xdr:row>
      <xdr:rowOff>175260</xdr:rowOff>
    </xdr:to>
    <xdr:graphicFrame macro="">
      <xdr:nvGraphicFramePr>
        <xdr:cNvPr id="14" name="Chart 13">
          <a:extLst>
            <a:ext uri="{FF2B5EF4-FFF2-40B4-BE49-F238E27FC236}">
              <a16:creationId xmlns:a16="http://schemas.microsoft.com/office/drawing/2014/main" id="{0840EC73-E28A-4D21-BD50-1713654E4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91440</xdr:colOff>
      <xdr:row>2</xdr:row>
      <xdr:rowOff>53340</xdr:rowOff>
    </xdr:from>
    <xdr:to>
      <xdr:col>2</xdr:col>
      <xdr:colOff>502920</xdr:colOff>
      <xdr:row>7</xdr:row>
      <xdr:rowOff>45720</xdr:rowOff>
    </xdr:to>
    <xdr:sp macro="" textlink="Pivots!A4">
      <xdr:nvSpPr>
        <xdr:cNvPr id="4" name="Rectangle 3">
          <a:extLst>
            <a:ext uri="{FF2B5EF4-FFF2-40B4-BE49-F238E27FC236}">
              <a16:creationId xmlns:a16="http://schemas.microsoft.com/office/drawing/2014/main" id="{C5B01030-6A8B-E715-273C-198F333433B7}"/>
            </a:ext>
          </a:extLst>
        </xdr:cNvPr>
        <xdr:cNvSpPr/>
      </xdr:nvSpPr>
      <xdr:spPr>
        <a:xfrm>
          <a:off x="701040" y="419100"/>
          <a:ext cx="1021080" cy="906780"/>
        </a:xfrm>
        <a:prstGeom prst="rect">
          <a:avLst/>
        </a:prstGeom>
        <a:ln>
          <a:noFill/>
        </a:ln>
        <a:effectLst>
          <a:outerShdw blurRad="254000" dist="127000" dir="2700000" algn="b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8B34DB-D9EF-4596-A5A5-1AB3323761F7}" type="TxLink">
            <a:rPr lang="en-US" sz="1400" b="0" i="0" u="none" strike="noStrike">
              <a:solidFill>
                <a:schemeClr val="bg1"/>
              </a:solidFill>
              <a:latin typeface="Arial Black" panose="020B0A04020102020204" pitchFamily="34" charset="0"/>
            </a:rPr>
            <a:pPr algn="ctr"/>
            <a:t>1,000</a:t>
          </a:fld>
          <a:endParaRPr lang="en-IN" sz="1400">
            <a:solidFill>
              <a:schemeClr val="bg1"/>
            </a:solidFill>
            <a:latin typeface="Arial Black" panose="020B0A04020102020204" pitchFamily="34" charset="0"/>
          </a:endParaRPr>
        </a:p>
      </xdr:txBody>
    </xdr:sp>
    <xdr:clientData/>
  </xdr:twoCellAnchor>
  <xdr:twoCellAnchor>
    <xdr:from>
      <xdr:col>1</xdr:col>
      <xdr:colOff>281940</xdr:colOff>
      <xdr:row>2</xdr:row>
      <xdr:rowOff>121920</xdr:rowOff>
    </xdr:from>
    <xdr:to>
      <xdr:col>2</xdr:col>
      <xdr:colOff>381000</xdr:colOff>
      <xdr:row>3</xdr:row>
      <xdr:rowOff>160020</xdr:rowOff>
    </xdr:to>
    <xdr:sp macro="" textlink="">
      <xdr:nvSpPr>
        <xdr:cNvPr id="7" name="Rectangle 6">
          <a:extLst>
            <a:ext uri="{FF2B5EF4-FFF2-40B4-BE49-F238E27FC236}">
              <a16:creationId xmlns:a16="http://schemas.microsoft.com/office/drawing/2014/main" id="{4C250CBC-0846-47AB-296F-5AE25587655A}"/>
            </a:ext>
          </a:extLst>
        </xdr:cNvPr>
        <xdr:cNvSpPr/>
      </xdr:nvSpPr>
      <xdr:spPr>
        <a:xfrm>
          <a:off x="891540" y="487680"/>
          <a:ext cx="708660" cy="2209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b="1"/>
            <a:t>Calls</a:t>
          </a:r>
        </a:p>
      </xdr:txBody>
    </xdr:sp>
    <xdr:clientData/>
  </xdr:twoCellAnchor>
  <xdr:twoCellAnchor>
    <xdr:from>
      <xdr:col>1</xdr:col>
      <xdr:colOff>419100</xdr:colOff>
      <xdr:row>5</xdr:row>
      <xdr:rowOff>83820</xdr:rowOff>
    </xdr:from>
    <xdr:to>
      <xdr:col>2</xdr:col>
      <xdr:colOff>373380</xdr:colOff>
      <xdr:row>6</xdr:row>
      <xdr:rowOff>175260</xdr:rowOff>
    </xdr:to>
    <xdr:sp macro="" textlink="Pivots!A8">
      <xdr:nvSpPr>
        <xdr:cNvPr id="8" name="Rectangle 7">
          <a:extLst>
            <a:ext uri="{FF2B5EF4-FFF2-40B4-BE49-F238E27FC236}">
              <a16:creationId xmlns:a16="http://schemas.microsoft.com/office/drawing/2014/main" id="{ED175EBA-0ECC-B8F3-F498-B23AE4E5C2B1}"/>
            </a:ext>
          </a:extLst>
        </xdr:cNvPr>
        <xdr:cNvSpPr/>
      </xdr:nvSpPr>
      <xdr:spPr>
        <a:xfrm>
          <a:off x="1028700" y="998220"/>
          <a:ext cx="563880" cy="2743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7E0A033-A429-433A-B79B-A4A64219760B}" type="TxLink">
            <a:rPr lang="en-US" sz="1600" b="1" i="0" u="none" strike="noStrike">
              <a:solidFill>
                <a:schemeClr val="bg1"/>
              </a:solidFill>
              <a:latin typeface="Aptos Narrow"/>
            </a:rPr>
            <a:pPr algn="l"/>
            <a:t>200</a:t>
          </a:fld>
          <a:endParaRPr lang="en-US" sz="1600" b="1">
            <a:solidFill>
              <a:schemeClr val="bg1"/>
            </a:solidFill>
          </a:endParaRPr>
        </a:p>
      </xdr:txBody>
    </xdr:sp>
    <xdr:clientData/>
  </xdr:twoCellAnchor>
  <xdr:twoCellAnchor>
    <xdr:from>
      <xdr:col>1</xdr:col>
      <xdr:colOff>106680</xdr:colOff>
      <xdr:row>8</xdr:row>
      <xdr:rowOff>53340</xdr:rowOff>
    </xdr:from>
    <xdr:to>
      <xdr:col>2</xdr:col>
      <xdr:colOff>556260</xdr:colOff>
      <xdr:row>13</xdr:row>
      <xdr:rowOff>45720</xdr:rowOff>
    </xdr:to>
    <xdr:sp macro="" textlink="Pivots!B4">
      <xdr:nvSpPr>
        <xdr:cNvPr id="12" name="Rectangle 11">
          <a:extLst>
            <a:ext uri="{FF2B5EF4-FFF2-40B4-BE49-F238E27FC236}">
              <a16:creationId xmlns:a16="http://schemas.microsoft.com/office/drawing/2014/main" id="{134D8A1F-B1E7-48C0-8E52-47A304F0A03E}"/>
            </a:ext>
          </a:extLst>
        </xdr:cNvPr>
        <xdr:cNvSpPr/>
      </xdr:nvSpPr>
      <xdr:spPr>
        <a:xfrm>
          <a:off x="716280" y="1516380"/>
          <a:ext cx="1059180" cy="906780"/>
        </a:xfrm>
        <a:prstGeom prst="rect">
          <a:avLst/>
        </a:prstGeom>
        <a:ln>
          <a:noFill/>
        </a:ln>
        <a:effectLst>
          <a:outerShdw blurRad="254000" dist="127000" dir="2700000" algn="b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E0CF85-76BB-47A3-B5DA-98E0E8C08BF3}" type="TxLink">
            <a:rPr lang="en-US" sz="1600" b="1" i="0" u="none" strike="noStrike">
              <a:solidFill>
                <a:schemeClr val="bg1"/>
              </a:solidFill>
              <a:latin typeface="Aptos Narrow"/>
            </a:rPr>
            <a:pPr algn="ctr"/>
            <a:t>₹ 96,623</a:t>
          </a:fld>
          <a:endParaRPr lang="en-IN" sz="1600" b="1">
            <a:solidFill>
              <a:schemeClr val="bg1"/>
            </a:solidFill>
            <a:latin typeface="Arial Black" panose="020B0A04020102020204" pitchFamily="34" charset="0"/>
          </a:endParaRPr>
        </a:p>
      </xdr:txBody>
    </xdr:sp>
    <xdr:clientData/>
  </xdr:twoCellAnchor>
  <xdr:twoCellAnchor>
    <xdr:from>
      <xdr:col>1</xdr:col>
      <xdr:colOff>205740</xdr:colOff>
      <xdr:row>8</xdr:row>
      <xdr:rowOff>76200</xdr:rowOff>
    </xdr:from>
    <xdr:to>
      <xdr:col>2</xdr:col>
      <xdr:colOff>533400</xdr:colOff>
      <xdr:row>9</xdr:row>
      <xdr:rowOff>160020</xdr:rowOff>
    </xdr:to>
    <xdr:sp macro="" textlink="">
      <xdr:nvSpPr>
        <xdr:cNvPr id="13" name="Rectangle 12">
          <a:extLst>
            <a:ext uri="{FF2B5EF4-FFF2-40B4-BE49-F238E27FC236}">
              <a16:creationId xmlns:a16="http://schemas.microsoft.com/office/drawing/2014/main" id="{C3297F36-C584-4463-A053-3B89CD2010E3}"/>
            </a:ext>
          </a:extLst>
        </xdr:cNvPr>
        <xdr:cNvSpPr/>
      </xdr:nvSpPr>
      <xdr:spPr>
        <a:xfrm>
          <a:off x="815340" y="1539240"/>
          <a:ext cx="937260" cy="2667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b="1"/>
            <a:t>Amounts</a:t>
          </a:r>
        </a:p>
      </xdr:txBody>
    </xdr:sp>
    <xdr:clientData/>
  </xdr:twoCellAnchor>
  <xdr:twoCellAnchor>
    <xdr:from>
      <xdr:col>1</xdr:col>
      <xdr:colOff>312420</xdr:colOff>
      <xdr:row>11</xdr:row>
      <xdr:rowOff>99060</xdr:rowOff>
    </xdr:from>
    <xdr:to>
      <xdr:col>2</xdr:col>
      <xdr:colOff>525780</xdr:colOff>
      <xdr:row>13</xdr:row>
      <xdr:rowOff>38100</xdr:rowOff>
    </xdr:to>
    <xdr:sp macro="" textlink="Pivots!B8">
      <xdr:nvSpPr>
        <xdr:cNvPr id="14" name="Rectangle 13">
          <a:extLst>
            <a:ext uri="{FF2B5EF4-FFF2-40B4-BE49-F238E27FC236}">
              <a16:creationId xmlns:a16="http://schemas.microsoft.com/office/drawing/2014/main" id="{BBE86ED5-E933-433B-AF06-C2D68053C213}"/>
            </a:ext>
          </a:extLst>
        </xdr:cNvPr>
        <xdr:cNvSpPr/>
      </xdr:nvSpPr>
      <xdr:spPr>
        <a:xfrm>
          <a:off x="922020" y="2110740"/>
          <a:ext cx="822960" cy="3048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EE71D05-383E-4BCB-98D9-E65EF8DCD840}" type="TxLink">
            <a:rPr lang="en-US" sz="1400" b="1" i="0" u="none" strike="noStrike">
              <a:solidFill>
                <a:schemeClr val="bg1"/>
              </a:solidFill>
              <a:latin typeface="Aptos Narrow"/>
            </a:rPr>
            <a:pPr algn="l"/>
            <a:t>₹ 20,104</a:t>
          </a:fld>
          <a:endParaRPr lang="en-US" sz="1400" b="1">
            <a:solidFill>
              <a:schemeClr val="bg1"/>
            </a:solidFill>
          </a:endParaRPr>
        </a:p>
      </xdr:txBody>
    </xdr:sp>
    <xdr:clientData/>
  </xdr:twoCellAnchor>
  <xdr:twoCellAnchor>
    <xdr:from>
      <xdr:col>1</xdr:col>
      <xdr:colOff>114300</xdr:colOff>
      <xdr:row>14</xdr:row>
      <xdr:rowOff>68580</xdr:rowOff>
    </xdr:from>
    <xdr:to>
      <xdr:col>2</xdr:col>
      <xdr:colOff>525780</xdr:colOff>
      <xdr:row>19</xdr:row>
      <xdr:rowOff>60960</xdr:rowOff>
    </xdr:to>
    <xdr:sp macro="" textlink="Pivots!C4">
      <xdr:nvSpPr>
        <xdr:cNvPr id="15" name="Rectangle 14">
          <a:extLst>
            <a:ext uri="{FF2B5EF4-FFF2-40B4-BE49-F238E27FC236}">
              <a16:creationId xmlns:a16="http://schemas.microsoft.com/office/drawing/2014/main" id="{4D95E429-C86B-4614-8A21-F1882FE1C011}"/>
            </a:ext>
          </a:extLst>
        </xdr:cNvPr>
        <xdr:cNvSpPr/>
      </xdr:nvSpPr>
      <xdr:spPr>
        <a:xfrm>
          <a:off x="723900" y="2628900"/>
          <a:ext cx="1021080" cy="906780"/>
        </a:xfrm>
        <a:prstGeom prst="rect">
          <a:avLst/>
        </a:prstGeom>
        <a:ln>
          <a:noFill/>
        </a:ln>
        <a:effectLst>
          <a:outerShdw blurRad="254000" dist="127000" dir="2700000" algn="b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016653-5418-45B5-84EB-E8C3522AC870}" type="TxLink">
            <a:rPr lang="en-US" sz="1600" b="1" i="0" u="none" strike="noStrike">
              <a:solidFill>
                <a:schemeClr val="bg1"/>
              </a:solidFill>
              <a:latin typeface="Aptos Narrow"/>
            </a:rPr>
            <a:pPr algn="ctr"/>
            <a:t>89,850</a:t>
          </a:fld>
          <a:endParaRPr lang="en-IN" sz="1600" b="1">
            <a:solidFill>
              <a:schemeClr val="bg1"/>
            </a:solidFill>
            <a:latin typeface="Arial Black" panose="020B0A04020102020204" pitchFamily="34" charset="0"/>
          </a:endParaRPr>
        </a:p>
      </xdr:txBody>
    </xdr:sp>
    <xdr:clientData/>
  </xdr:twoCellAnchor>
  <xdr:twoCellAnchor>
    <xdr:from>
      <xdr:col>1</xdr:col>
      <xdr:colOff>198120</xdr:colOff>
      <xdr:row>14</xdr:row>
      <xdr:rowOff>83820</xdr:rowOff>
    </xdr:from>
    <xdr:to>
      <xdr:col>2</xdr:col>
      <xdr:colOff>525780</xdr:colOff>
      <xdr:row>15</xdr:row>
      <xdr:rowOff>175260</xdr:rowOff>
    </xdr:to>
    <xdr:sp macro="" textlink="">
      <xdr:nvSpPr>
        <xdr:cNvPr id="16" name="Rectangle 15">
          <a:extLst>
            <a:ext uri="{FF2B5EF4-FFF2-40B4-BE49-F238E27FC236}">
              <a16:creationId xmlns:a16="http://schemas.microsoft.com/office/drawing/2014/main" id="{3A1F1EA3-77B3-4D71-8125-E24D6C968E91}"/>
            </a:ext>
          </a:extLst>
        </xdr:cNvPr>
        <xdr:cNvSpPr/>
      </xdr:nvSpPr>
      <xdr:spPr>
        <a:xfrm>
          <a:off x="807720" y="2644140"/>
          <a:ext cx="937260" cy="2743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b="1"/>
            <a:t>Duration</a:t>
          </a:r>
        </a:p>
      </xdr:txBody>
    </xdr:sp>
    <xdr:clientData/>
  </xdr:twoCellAnchor>
  <xdr:twoCellAnchor>
    <xdr:from>
      <xdr:col>1</xdr:col>
      <xdr:colOff>350520</xdr:colOff>
      <xdr:row>17</xdr:row>
      <xdr:rowOff>99060</xdr:rowOff>
    </xdr:from>
    <xdr:to>
      <xdr:col>2</xdr:col>
      <xdr:colOff>495300</xdr:colOff>
      <xdr:row>19</xdr:row>
      <xdr:rowOff>7620</xdr:rowOff>
    </xdr:to>
    <xdr:sp macro="" textlink="Pivots!C8">
      <xdr:nvSpPr>
        <xdr:cNvPr id="17" name="Rectangle 16">
          <a:extLst>
            <a:ext uri="{FF2B5EF4-FFF2-40B4-BE49-F238E27FC236}">
              <a16:creationId xmlns:a16="http://schemas.microsoft.com/office/drawing/2014/main" id="{3DBC12DD-ECE3-4430-8BAB-BD53762F6ACD}"/>
            </a:ext>
          </a:extLst>
        </xdr:cNvPr>
        <xdr:cNvSpPr/>
      </xdr:nvSpPr>
      <xdr:spPr>
        <a:xfrm>
          <a:off x="960120" y="3208020"/>
          <a:ext cx="754380" cy="2743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6FC5771-60AB-4810-BA26-5C74599E3FE0}" type="TxLink">
            <a:rPr lang="en-US" sz="1400" b="1" i="0" u="none" strike="noStrike">
              <a:solidFill>
                <a:schemeClr val="bg1"/>
              </a:solidFill>
              <a:latin typeface="Aptos Narrow"/>
            </a:rPr>
            <a:pPr algn="l"/>
            <a:t>18,209</a:t>
          </a:fld>
          <a:endParaRPr lang="en-US" sz="1400" b="1">
            <a:solidFill>
              <a:schemeClr val="bg1"/>
            </a:solidFill>
          </a:endParaRPr>
        </a:p>
      </xdr:txBody>
    </xdr:sp>
    <xdr:clientData/>
  </xdr:twoCellAnchor>
  <xdr:twoCellAnchor>
    <xdr:from>
      <xdr:col>1</xdr:col>
      <xdr:colOff>106680</xdr:colOff>
      <xdr:row>20</xdr:row>
      <xdr:rowOff>60960</xdr:rowOff>
    </xdr:from>
    <xdr:to>
      <xdr:col>2</xdr:col>
      <xdr:colOff>518160</xdr:colOff>
      <xdr:row>25</xdr:row>
      <xdr:rowOff>53340</xdr:rowOff>
    </xdr:to>
    <xdr:sp macro="" textlink="Pivots!D4">
      <xdr:nvSpPr>
        <xdr:cNvPr id="18" name="Rectangle 17">
          <a:extLst>
            <a:ext uri="{FF2B5EF4-FFF2-40B4-BE49-F238E27FC236}">
              <a16:creationId xmlns:a16="http://schemas.microsoft.com/office/drawing/2014/main" id="{1B3B0B20-712E-4AD4-8ED7-2B7A1EC289FF}"/>
            </a:ext>
          </a:extLst>
        </xdr:cNvPr>
        <xdr:cNvSpPr/>
      </xdr:nvSpPr>
      <xdr:spPr>
        <a:xfrm>
          <a:off x="716280" y="3718560"/>
          <a:ext cx="1021080" cy="906780"/>
        </a:xfrm>
        <a:prstGeom prst="rect">
          <a:avLst/>
        </a:prstGeom>
        <a:ln>
          <a:noFill/>
        </a:ln>
        <a:effectLst>
          <a:outerShdw blurRad="254000" dist="127000" dir="2700000" algn="b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18AAF2-253A-4E21-89C7-DDA85D213901}" type="TxLink">
            <a:rPr lang="en-US" sz="1800" b="1" i="0" u="none" strike="noStrike">
              <a:solidFill>
                <a:schemeClr val="bg1"/>
              </a:solidFill>
              <a:latin typeface="Aptos Narrow"/>
            </a:rPr>
            <a:pPr algn="ctr"/>
            <a:t>3.9</a:t>
          </a:fld>
          <a:endParaRPr lang="en-IN" sz="1800" b="1">
            <a:solidFill>
              <a:schemeClr val="bg1"/>
            </a:solidFill>
            <a:latin typeface="Arial Black" panose="020B0A04020102020204" pitchFamily="34" charset="0"/>
          </a:endParaRPr>
        </a:p>
      </xdr:txBody>
    </xdr:sp>
    <xdr:clientData/>
  </xdr:twoCellAnchor>
  <xdr:twoCellAnchor>
    <xdr:from>
      <xdr:col>1</xdr:col>
      <xdr:colOff>106680</xdr:colOff>
      <xdr:row>20</xdr:row>
      <xdr:rowOff>30480</xdr:rowOff>
    </xdr:from>
    <xdr:to>
      <xdr:col>2</xdr:col>
      <xdr:colOff>525780</xdr:colOff>
      <xdr:row>22</xdr:row>
      <xdr:rowOff>0</xdr:rowOff>
    </xdr:to>
    <xdr:sp macro="" textlink="">
      <xdr:nvSpPr>
        <xdr:cNvPr id="19" name="Rectangle 18">
          <a:extLst>
            <a:ext uri="{FF2B5EF4-FFF2-40B4-BE49-F238E27FC236}">
              <a16:creationId xmlns:a16="http://schemas.microsoft.com/office/drawing/2014/main" id="{B358A92F-4ED5-41D5-AB4B-40A6F296C994}"/>
            </a:ext>
          </a:extLst>
        </xdr:cNvPr>
        <xdr:cNvSpPr/>
      </xdr:nvSpPr>
      <xdr:spPr>
        <a:xfrm>
          <a:off x="716280" y="3688080"/>
          <a:ext cx="1028700" cy="3352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b="1"/>
            <a:t>Avg Rating</a:t>
          </a:r>
        </a:p>
      </xdr:txBody>
    </xdr:sp>
    <xdr:clientData/>
  </xdr:twoCellAnchor>
  <xdr:twoCellAnchor>
    <xdr:from>
      <xdr:col>1</xdr:col>
      <xdr:colOff>441960</xdr:colOff>
      <xdr:row>23</xdr:row>
      <xdr:rowOff>68580</xdr:rowOff>
    </xdr:from>
    <xdr:to>
      <xdr:col>2</xdr:col>
      <xdr:colOff>396240</xdr:colOff>
      <xdr:row>24</xdr:row>
      <xdr:rowOff>160020</xdr:rowOff>
    </xdr:to>
    <xdr:sp macro="" textlink="Pivots!D8">
      <xdr:nvSpPr>
        <xdr:cNvPr id="20" name="Rectangle 19">
          <a:extLst>
            <a:ext uri="{FF2B5EF4-FFF2-40B4-BE49-F238E27FC236}">
              <a16:creationId xmlns:a16="http://schemas.microsoft.com/office/drawing/2014/main" id="{652E60B2-53D2-49F4-A5E2-666121181B6C}"/>
            </a:ext>
          </a:extLst>
        </xdr:cNvPr>
        <xdr:cNvSpPr/>
      </xdr:nvSpPr>
      <xdr:spPr>
        <a:xfrm>
          <a:off x="1051560" y="4274820"/>
          <a:ext cx="563880" cy="2743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13EF64A-DD0B-4D0D-96DF-BC341CB82897}" type="TxLink">
            <a:rPr lang="en-US" sz="1400" b="1" i="0" u="none" strike="noStrike">
              <a:solidFill>
                <a:schemeClr val="bg1"/>
              </a:solidFill>
              <a:latin typeface="Aptos Narrow"/>
            </a:rPr>
            <a:pPr algn="l"/>
            <a:t>3.9</a:t>
          </a:fld>
          <a:endParaRPr lang="en-US" sz="1400" b="1">
            <a:solidFill>
              <a:schemeClr val="bg1"/>
            </a:solidFill>
          </a:endParaRPr>
        </a:p>
      </xdr:txBody>
    </xdr:sp>
    <xdr:clientData/>
  </xdr:twoCellAnchor>
  <xdr:twoCellAnchor>
    <xdr:from>
      <xdr:col>1</xdr:col>
      <xdr:colOff>114300</xdr:colOff>
      <xdr:row>26</xdr:row>
      <xdr:rowOff>15240</xdr:rowOff>
    </xdr:from>
    <xdr:to>
      <xdr:col>2</xdr:col>
      <xdr:colOff>563880</xdr:colOff>
      <xdr:row>31</xdr:row>
      <xdr:rowOff>7620</xdr:rowOff>
    </xdr:to>
    <xdr:sp macro="" textlink="Pivots!E4">
      <xdr:nvSpPr>
        <xdr:cNvPr id="21" name="Rectangle 20">
          <a:extLst>
            <a:ext uri="{FF2B5EF4-FFF2-40B4-BE49-F238E27FC236}">
              <a16:creationId xmlns:a16="http://schemas.microsoft.com/office/drawing/2014/main" id="{1E7D04CC-D2B1-40D6-AD0D-C96C8AA4B64C}"/>
            </a:ext>
          </a:extLst>
        </xdr:cNvPr>
        <xdr:cNvSpPr/>
      </xdr:nvSpPr>
      <xdr:spPr>
        <a:xfrm>
          <a:off x="723900" y="4770120"/>
          <a:ext cx="1059180" cy="906780"/>
        </a:xfrm>
        <a:prstGeom prst="rect">
          <a:avLst/>
        </a:prstGeom>
        <a:ln>
          <a:noFill/>
        </a:ln>
        <a:effectLst>
          <a:outerShdw blurRad="254000" dist="127000" dir="2700000" algn="b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BE1386-57F5-4DAA-B59F-4B590B507823}" type="TxLink">
            <a:rPr lang="en-US" sz="1800" b="1" i="0" u="none" strike="noStrike">
              <a:solidFill>
                <a:schemeClr val="bg1"/>
              </a:solidFill>
              <a:latin typeface="Aptos Narrow"/>
            </a:rPr>
            <a:pPr algn="ctr"/>
            <a:t>307</a:t>
          </a:fld>
          <a:endParaRPr lang="en-IN" sz="1800" b="1">
            <a:solidFill>
              <a:schemeClr val="bg1"/>
            </a:solidFill>
            <a:latin typeface="Arial Black" panose="020B0A04020102020204" pitchFamily="34" charset="0"/>
          </a:endParaRPr>
        </a:p>
      </xdr:txBody>
    </xdr:sp>
    <xdr:clientData/>
  </xdr:twoCellAnchor>
  <xdr:twoCellAnchor>
    <xdr:from>
      <xdr:col>1</xdr:col>
      <xdr:colOff>129540</xdr:colOff>
      <xdr:row>26</xdr:row>
      <xdr:rowOff>53340</xdr:rowOff>
    </xdr:from>
    <xdr:to>
      <xdr:col>2</xdr:col>
      <xdr:colOff>563880</xdr:colOff>
      <xdr:row>27</xdr:row>
      <xdr:rowOff>76200</xdr:rowOff>
    </xdr:to>
    <xdr:sp macro="" textlink="">
      <xdr:nvSpPr>
        <xdr:cNvPr id="22" name="Rectangle 21">
          <a:extLst>
            <a:ext uri="{FF2B5EF4-FFF2-40B4-BE49-F238E27FC236}">
              <a16:creationId xmlns:a16="http://schemas.microsoft.com/office/drawing/2014/main" id="{D0C7B19A-3424-47A3-A9AE-AC459880E7BA}"/>
            </a:ext>
          </a:extLst>
        </xdr:cNvPr>
        <xdr:cNvSpPr/>
      </xdr:nvSpPr>
      <xdr:spPr>
        <a:xfrm>
          <a:off x="739140" y="4808220"/>
          <a:ext cx="1043940" cy="2057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t>   </a:t>
          </a:r>
          <a:r>
            <a:rPr lang="en-IN" sz="1050" b="1"/>
            <a:t>Happy Callers</a:t>
          </a:r>
        </a:p>
      </xdr:txBody>
    </xdr:sp>
    <xdr:clientData/>
  </xdr:twoCellAnchor>
  <xdr:twoCellAnchor>
    <xdr:from>
      <xdr:col>1</xdr:col>
      <xdr:colOff>472440</xdr:colOff>
      <xdr:row>29</xdr:row>
      <xdr:rowOff>22860</xdr:rowOff>
    </xdr:from>
    <xdr:to>
      <xdr:col>2</xdr:col>
      <xdr:colOff>426720</xdr:colOff>
      <xdr:row>30</xdr:row>
      <xdr:rowOff>114300</xdr:rowOff>
    </xdr:to>
    <xdr:sp macro="" textlink="Pivots!E8">
      <xdr:nvSpPr>
        <xdr:cNvPr id="23" name="Rectangle 22">
          <a:extLst>
            <a:ext uri="{FF2B5EF4-FFF2-40B4-BE49-F238E27FC236}">
              <a16:creationId xmlns:a16="http://schemas.microsoft.com/office/drawing/2014/main" id="{51F550C8-E0F1-4F51-BA77-D592D3C91163}"/>
            </a:ext>
          </a:extLst>
        </xdr:cNvPr>
        <xdr:cNvSpPr/>
      </xdr:nvSpPr>
      <xdr:spPr>
        <a:xfrm>
          <a:off x="1082040" y="5326380"/>
          <a:ext cx="563880" cy="2743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2E82455-DD94-42D6-BB86-BAE7E9CE406B}" type="TxLink">
            <a:rPr lang="en-US" sz="1400" b="1" i="0" u="none" strike="noStrike">
              <a:solidFill>
                <a:schemeClr val="bg1"/>
              </a:solidFill>
              <a:latin typeface="Aptos Narrow"/>
            </a:rPr>
            <a:pPr algn="l"/>
            <a:t>51</a:t>
          </a:fld>
          <a:endParaRPr lang="en-US" sz="1400" b="1">
            <a:solidFill>
              <a:schemeClr val="bg1"/>
            </a:solidFill>
          </a:endParaRPr>
        </a:p>
      </xdr:txBody>
    </xdr:sp>
    <xdr:clientData/>
  </xdr:twoCellAnchor>
  <xdr:twoCellAnchor editAs="oneCell">
    <xdr:from>
      <xdr:col>10</xdr:col>
      <xdr:colOff>312420</xdr:colOff>
      <xdr:row>17</xdr:row>
      <xdr:rowOff>83821</xdr:rowOff>
    </xdr:from>
    <xdr:to>
      <xdr:col>12</xdr:col>
      <xdr:colOff>76200</xdr:colOff>
      <xdr:row>27</xdr:row>
      <xdr:rowOff>7621</xdr:rowOff>
    </xdr:to>
    <mc:AlternateContent xmlns:mc="http://schemas.openxmlformats.org/markup-compatibility/2006" xmlns:a14="http://schemas.microsoft.com/office/drawing/2010/main">
      <mc:Choice Requires="a14">
        <xdr:graphicFrame macro="">
          <xdr:nvGraphicFramePr>
            <xdr:cNvPr id="24" name="Representative 3">
              <a:extLst>
                <a:ext uri="{FF2B5EF4-FFF2-40B4-BE49-F238E27FC236}">
                  <a16:creationId xmlns:a16="http://schemas.microsoft.com/office/drawing/2014/main" id="{2EEED3B6-C67E-4C9E-A1C5-BA4B9290BC83}"/>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6408420" y="3192781"/>
              <a:ext cx="98298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200219</xdr:colOff>
      <xdr:row>2</xdr:row>
      <xdr:rowOff>163958</xdr:rowOff>
    </xdr:from>
    <xdr:to>
      <xdr:col>1</xdr:col>
      <xdr:colOff>359048</xdr:colOff>
      <xdr:row>4</xdr:row>
      <xdr:rowOff>74423</xdr:rowOff>
    </xdr:to>
    <xdr:pic>
      <xdr:nvPicPr>
        <xdr:cNvPr id="26" name="Graphic 25" descr="Receiver with solid fill">
          <a:extLst>
            <a:ext uri="{FF2B5EF4-FFF2-40B4-BE49-F238E27FC236}">
              <a16:creationId xmlns:a16="http://schemas.microsoft.com/office/drawing/2014/main" id="{4B274745-F815-6178-85A7-ADB361092D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6463694">
          <a:off x="751121" y="588416"/>
          <a:ext cx="276225" cy="158829"/>
        </a:xfrm>
        <a:prstGeom prst="rect">
          <a:avLst/>
        </a:prstGeom>
      </xdr:spPr>
    </xdr:pic>
    <xdr:clientData/>
  </xdr:twoCellAnchor>
  <xdr:twoCellAnchor editAs="oneCell">
    <xdr:from>
      <xdr:col>1</xdr:col>
      <xdr:colOff>97478</xdr:colOff>
      <xdr:row>8</xdr:row>
      <xdr:rowOff>87110</xdr:rowOff>
    </xdr:from>
    <xdr:to>
      <xdr:col>1</xdr:col>
      <xdr:colOff>377051</xdr:colOff>
      <xdr:row>10</xdr:row>
      <xdr:rowOff>52545</xdr:rowOff>
    </xdr:to>
    <xdr:pic>
      <xdr:nvPicPr>
        <xdr:cNvPr id="28" name="Graphic 27" descr="Coins with solid fill">
          <a:extLst>
            <a:ext uri="{FF2B5EF4-FFF2-40B4-BE49-F238E27FC236}">
              <a16:creationId xmlns:a16="http://schemas.microsoft.com/office/drawing/2014/main" id="{D4E8CE58-7D82-C14F-9B53-04C204969FA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21195868" flipH="1">
          <a:off x="707078" y="1550150"/>
          <a:ext cx="279573" cy="331195"/>
        </a:xfrm>
        <a:prstGeom prst="rect">
          <a:avLst/>
        </a:prstGeom>
      </xdr:spPr>
    </xdr:pic>
    <xdr:clientData/>
  </xdr:twoCellAnchor>
  <xdr:twoCellAnchor editAs="oneCell">
    <xdr:from>
      <xdr:col>1</xdr:col>
      <xdr:colOff>106680</xdr:colOff>
      <xdr:row>15</xdr:row>
      <xdr:rowOff>15240</xdr:rowOff>
    </xdr:from>
    <xdr:to>
      <xdr:col>1</xdr:col>
      <xdr:colOff>388620</xdr:colOff>
      <xdr:row>16</xdr:row>
      <xdr:rowOff>68580</xdr:rowOff>
    </xdr:to>
    <xdr:pic>
      <xdr:nvPicPr>
        <xdr:cNvPr id="30" name="Graphic 29" descr="Hourglass Finished with solid fill">
          <a:extLst>
            <a:ext uri="{FF2B5EF4-FFF2-40B4-BE49-F238E27FC236}">
              <a16:creationId xmlns:a16="http://schemas.microsoft.com/office/drawing/2014/main" id="{11A9C16A-0ECD-F553-8E4C-271E9D1B970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6280" y="2758440"/>
          <a:ext cx="281940" cy="236220"/>
        </a:xfrm>
        <a:prstGeom prst="rect">
          <a:avLst/>
        </a:prstGeom>
      </xdr:spPr>
    </xdr:pic>
    <xdr:clientData/>
  </xdr:twoCellAnchor>
  <xdr:twoCellAnchor editAs="oneCell">
    <xdr:from>
      <xdr:col>1</xdr:col>
      <xdr:colOff>137160</xdr:colOff>
      <xdr:row>27</xdr:row>
      <xdr:rowOff>152400</xdr:rowOff>
    </xdr:from>
    <xdr:to>
      <xdr:col>1</xdr:col>
      <xdr:colOff>457200</xdr:colOff>
      <xdr:row>29</xdr:row>
      <xdr:rowOff>53340</xdr:rowOff>
    </xdr:to>
    <xdr:pic>
      <xdr:nvPicPr>
        <xdr:cNvPr id="32" name="Graphic 31" descr="Angel face outline with solid fill">
          <a:extLst>
            <a:ext uri="{FF2B5EF4-FFF2-40B4-BE49-F238E27FC236}">
              <a16:creationId xmlns:a16="http://schemas.microsoft.com/office/drawing/2014/main" id="{0E4B0EFB-F778-3A45-ADC3-D8E6B52543F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6760" y="5090160"/>
          <a:ext cx="320040" cy="266700"/>
        </a:xfrm>
        <a:prstGeom prst="rect">
          <a:avLst/>
        </a:prstGeom>
      </xdr:spPr>
    </xdr:pic>
    <xdr:clientData/>
  </xdr:twoCellAnchor>
  <xdr:twoCellAnchor editAs="oneCell">
    <xdr:from>
      <xdr:col>1</xdr:col>
      <xdr:colOff>106680</xdr:colOff>
      <xdr:row>21</xdr:row>
      <xdr:rowOff>99060</xdr:rowOff>
    </xdr:from>
    <xdr:to>
      <xdr:col>1</xdr:col>
      <xdr:colOff>487680</xdr:colOff>
      <xdr:row>23</xdr:row>
      <xdr:rowOff>45720</xdr:rowOff>
    </xdr:to>
    <xdr:pic>
      <xdr:nvPicPr>
        <xdr:cNvPr id="34" name="Graphic 33" descr="Upward trend with solid fill">
          <a:extLst>
            <a:ext uri="{FF2B5EF4-FFF2-40B4-BE49-F238E27FC236}">
              <a16:creationId xmlns:a16="http://schemas.microsoft.com/office/drawing/2014/main" id="{2AB15087-F4AF-F528-835D-D770BFA7133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6280" y="3939540"/>
          <a:ext cx="381000" cy="312420"/>
        </a:xfrm>
        <a:prstGeom prst="rect">
          <a:avLst/>
        </a:prstGeom>
      </xdr:spPr>
    </xdr:pic>
    <xdr:clientData/>
  </xdr:twoCellAnchor>
  <xdr:twoCellAnchor>
    <xdr:from>
      <xdr:col>3</xdr:col>
      <xdr:colOff>144780</xdr:colOff>
      <xdr:row>2</xdr:row>
      <xdr:rowOff>15240</xdr:rowOff>
    </xdr:from>
    <xdr:to>
      <xdr:col>9</xdr:col>
      <xdr:colOff>213360</xdr:colOff>
      <xdr:row>14</xdr:row>
      <xdr:rowOff>114300</xdr:rowOff>
    </xdr:to>
    <xdr:graphicFrame macro="">
      <xdr:nvGraphicFramePr>
        <xdr:cNvPr id="37" name="Chart 36">
          <a:extLst>
            <a:ext uri="{FF2B5EF4-FFF2-40B4-BE49-F238E27FC236}">
              <a16:creationId xmlns:a16="http://schemas.microsoft.com/office/drawing/2014/main" id="{75081951-8121-46CC-BFE6-93A78D5EE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297180</xdr:colOff>
      <xdr:row>1</xdr:row>
      <xdr:rowOff>152400</xdr:rowOff>
    </xdr:from>
    <xdr:to>
      <xdr:col>13</xdr:col>
      <xdr:colOff>381000</xdr:colOff>
      <xdr:row>14</xdr:row>
      <xdr:rowOff>175260</xdr:rowOff>
    </xdr:to>
    <xdr:graphicFrame macro="">
      <xdr:nvGraphicFramePr>
        <xdr:cNvPr id="38" name="Chart 37">
          <a:extLst>
            <a:ext uri="{FF2B5EF4-FFF2-40B4-BE49-F238E27FC236}">
              <a16:creationId xmlns:a16="http://schemas.microsoft.com/office/drawing/2014/main" id="{FDC35688-92CE-496B-8C08-3C9A85851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243840</xdr:colOff>
      <xdr:row>16</xdr:row>
      <xdr:rowOff>121920</xdr:rowOff>
    </xdr:from>
    <xdr:to>
      <xdr:col>10</xdr:col>
      <xdr:colOff>99060</xdr:colOff>
      <xdr:row>28</xdr:row>
      <xdr:rowOff>152400</xdr:rowOff>
    </xdr:to>
    <xdr:sp macro="" textlink="">
      <xdr:nvSpPr>
        <xdr:cNvPr id="43" name="Rectangle 42">
          <a:extLst>
            <a:ext uri="{FF2B5EF4-FFF2-40B4-BE49-F238E27FC236}">
              <a16:creationId xmlns:a16="http://schemas.microsoft.com/office/drawing/2014/main" id="{A0512B94-D8E7-A7B3-3FA4-6403C85A3667}"/>
            </a:ext>
          </a:extLst>
        </xdr:cNvPr>
        <xdr:cNvSpPr/>
      </xdr:nvSpPr>
      <xdr:spPr>
        <a:xfrm>
          <a:off x="2072640" y="3048000"/>
          <a:ext cx="4122420" cy="22250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259080</xdr:colOff>
      <xdr:row>16</xdr:row>
      <xdr:rowOff>99060</xdr:rowOff>
    </xdr:from>
    <xdr:to>
      <xdr:col>7</xdr:col>
      <xdr:colOff>106680</xdr:colOff>
      <xdr:row>28</xdr:row>
      <xdr:rowOff>144780</xdr:rowOff>
    </xdr:to>
    <xdr:graphicFrame macro="">
      <xdr:nvGraphicFramePr>
        <xdr:cNvPr id="41" name="Chart 40">
          <a:extLst>
            <a:ext uri="{FF2B5EF4-FFF2-40B4-BE49-F238E27FC236}">
              <a16:creationId xmlns:a16="http://schemas.microsoft.com/office/drawing/2014/main" id="{93FED836-FABD-4679-BD7C-75CE48803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556260</xdr:colOff>
      <xdr:row>16</xdr:row>
      <xdr:rowOff>106680</xdr:rowOff>
    </xdr:from>
    <xdr:to>
      <xdr:col>10</xdr:col>
      <xdr:colOff>144780</xdr:colOff>
      <xdr:row>28</xdr:row>
      <xdr:rowOff>129540</xdr:rowOff>
    </xdr:to>
    <xdr:graphicFrame macro="">
      <xdr:nvGraphicFramePr>
        <xdr:cNvPr id="42" name="Chart 41">
          <a:extLst>
            <a:ext uri="{FF2B5EF4-FFF2-40B4-BE49-F238E27FC236}">
              <a16:creationId xmlns:a16="http://schemas.microsoft.com/office/drawing/2014/main" id="{C224F276-EFB0-4EB2-B8C0-2596DA3FD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411480</xdr:colOff>
      <xdr:row>1</xdr:row>
      <xdr:rowOff>160020</xdr:rowOff>
    </xdr:from>
    <xdr:to>
      <xdr:col>18</xdr:col>
      <xdr:colOff>266700</xdr:colOff>
      <xdr:row>13</xdr:row>
      <xdr:rowOff>83820</xdr:rowOff>
    </xdr:to>
    <xdr:graphicFrame macro="">
      <xdr:nvGraphicFramePr>
        <xdr:cNvPr id="44" name="Chart 43">
          <a:extLst>
            <a:ext uri="{FF2B5EF4-FFF2-40B4-BE49-F238E27FC236}">
              <a16:creationId xmlns:a16="http://schemas.microsoft.com/office/drawing/2014/main" id="{F8DC51A1-AFBF-409E-81ED-5C6482078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312420</xdr:colOff>
      <xdr:row>1</xdr:row>
      <xdr:rowOff>160020</xdr:rowOff>
    </xdr:from>
    <xdr:to>
      <xdr:col>23</xdr:col>
      <xdr:colOff>198120</xdr:colOff>
      <xdr:row>13</xdr:row>
      <xdr:rowOff>121920</xdr:rowOff>
    </xdr:to>
    <xdr:graphicFrame macro="">
      <xdr:nvGraphicFramePr>
        <xdr:cNvPr id="45" name="Chart 44">
          <a:extLst>
            <a:ext uri="{FF2B5EF4-FFF2-40B4-BE49-F238E27FC236}">
              <a16:creationId xmlns:a16="http://schemas.microsoft.com/office/drawing/2014/main" id="{8778FD15-37FC-4568-B447-350B1CC3D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Y" refreshedDate="46260.946363773146" createdVersion="8" refreshedVersion="8" minRefreshableVersion="3" recordCount="1000" xr:uid="{A08D5A3E-1706-4CA0-BA73-1FE7AF967033}">
  <cacheSource type="worksheet">
    <worksheetSource name="Data__2"/>
  </cacheSource>
  <cacheFields count="22">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9"/>
    </cacheField>
    <cacheField name="Representative" numFmtId="0">
      <sharedItems count="5">
        <s v="R05"/>
        <s v="R02"/>
        <s v="R01"/>
        <s v="R04"/>
        <s v="R03"/>
      </sharedItems>
    </cacheField>
    <cacheField name="Date of Call" numFmtId="1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21"/>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employee tpe" numFmtId="0">
      <sharedItems containsNonDate="0" containsString="0" containsBlank="1"/>
    </cacheField>
    <cacheField name="Column2" numFmtId="0">
      <sharedItems containsNonDate="0" containsString="0" containsBlank="1"/>
    </cacheField>
    <cacheField name="Column3" numFmtId="0">
      <sharedItems containsNonDate="0" containsString="0" containsBlank="1"/>
    </cacheField>
    <cacheField name="Column4" numFmtId="0">
      <sharedItems containsNonDate="0" containsString="0" containsBlank="1"/>
    </cacheField>
    <cacheField name="Customer ID2" numFmtId="0">
      <sharedItems containsBlank="1"/>
    </cacheField>
    <cacheField name="Gedner" numFmtId="0">
      <sharedItems containsBlank="1"/>
    </cacheField>
    <cacheField name="Age" numFmtId="0">
      <sharedItems containsString="0" containsBlank="1" containsNumber="1" containsInteger="1" minValue="22" maxValue="43"/>
    </cacheField>
    <cacheField name="City" numFmtId="0">
      <sharedItems containsBlank="1"/>
    </cacheField>
    <cacheField name="Duration2" numFmtId="0" databaseField="0">
      <fieldGroup base="2">
        <discretePr count="164">
          <x v="3"/>
          <x v="3"/>
          <x v="2"/>
          <x v="3"/>
          <x v="1"/>
          <x v="2"/>
          <x v="3"/>
          <x v="1"/>
          <x v="1"/>
          <x v="3"/>
          <x v="3"/>
          <x v="3"/>
          <x v="3"/>
          <x v="1"/>
          <x v="3"/>
          <x v="3"/>
          <x v="0"/>
          <x v="1"/>
          <x v="1"/>
          <x v="2"/>
          <x v="1"/>
          <x v="2"/>
          <x v="2"/>
          <x v="3"/>
          <x v="2"/>
          <x v="2"/>
          <x v="0"/>
          <x v="3"/>
          <x v="3"/>
          <x v="2"/>
          <x v="3"/>
          <x v="2"/>
          <x v="3"/>
          <x v="2"/>
          <x v="2"/>
          <x v="3"/>
          <x v="0"/>
          <x v="3"/>
          <x v="3"/>
          <x v="1"/>
          <x v="3"/>
          <x v="3"/>
          <x v="2"/>
          <x v="3"/>
          <x v="1"/>
          <x v="2"/>
          <x v="3"/>
          <x v="2"/>
          <x v="3"/>
          <x v="3"/>
          <x v="3"/>
          <x v="2"/>
          <x v="3"/>
          <x v="2"/>
          <x v="1"/>
          <x v="3"/>
          <x v="3"/>
          <x v="3"/>
          <x v="3"/>
          <x v="3"/>
          <x v="1"/>
          <x v="3"/>
          <x v="1"/>
          <x v="2"/>
          <x v="1"/>
          <x v="3"/>
          <x v="3"/>
          <x v="2"/>
          <x v="1"/>
          <x v="2"/>
          <x v="3"/>
          <x v="1"/>
          <x v="3"/>
          <x v="1"/>
          <x v="3"/>
          <x v="3"/>
          <x v="3"/>
          <x v="2"/>
          <x v="0"/>
          <x v="0"/>
          <x v="0"/>
          <x v="1"/>
          <x v="1"/>
          <x v="2"/>
          <x v="2"/>
          <x v="3"/>
          <x v="3"/>
          <x v="3"/>
          <x v="3"/>
          <x v="3"/>
          <x v="2"/>
          <x v="0"/>
          <x v="3"/>
          <x v="1"/>
          <x v="3"/>
          <x v="2"/>
          <x v="2"/>
          <x v="3"/>
          <x v="0"/>
          <x v="3"/>
          <x v="0"/>
          <x v="1"/>
          <x v="3"/>
          <x v="1"/>
          <x v="3"/>
          <x v="0"/>
          <x v="2"/>
          <x v="3"/>
          <x v="1"/>
          <x v="1"/>
          <x v="3"/>
          <x v="3"/>
          <x v="3"/>
          <x v="2"/>
          <x v="3"/>
          <x v="3"/>
          <x v="3"/>
          <x v="2"/>
          <x v="3"/>
          <x v="3"/>
          <x v="2"/>
          <x v="1"/>
          <x v="3"/>
          <x v="0"/>
          <x v="3"/>
          <x v="1"/>
          <x v="0"/>
          <x v="3"/>
          <x v="0"/>
          <x v="3"/>
          <x v="3"/>
          <x v="2"/>
          <x v="0"/>
          <x v="3"/>
          <x v="3"/>
          <x v="0"/>
          <x v="3"/>
          <x v="0"/>
          <x v="0"/>
          <x v="3"/>
          <x v="0"/>
          <x v="3"/>
          <x v="1"/>
          <x v="1"/>
          <x v="1"/>
          <x v="1"/>
          <x v="3"/>
          <x v="1"/>
          <x v="3"/>
          <x v="3"/>
          <x v="3"/>
          <x v="3"/>
          <x v="3"/>
          <x v="3"/>
          <x v="0"/>
          <x v="3"/>
          <x v="3"/>
          <x v="0"/>
          <x v="0"/>
          <x v="0"/>
          <x v="3"/>
          <x v="3"/>
          <x v="0"/>
          <x v="0"/>
        </discretePr>
        <groupItems count="4">
          <s v="Group1"/>
          <s v="Group2"/>
          <s v="Group3"/>
          <s v="Group4"/>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9435136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65.49435173611" backgroundQuery="1" createdVersion="8" refreshedVersion="8" minRefreshableVersion="3" recordCount="0" supportSubquery="1" supportAdvancedDrill="1" xr:uid="{4F908B8C-80F9-48E6-A447-D42FE7320642}">
  <cacheSource type="external" connectionId="20"/>
  <cacheFields count="3">
    <cacheField name="[Data__2].[Representative].[Representative]" caption="Representative" numFmtId="0" hierarchy="7" level="1">
      <sharedItems count="5">
        <s v="R01"/>
        <s v="R02"/>
        <s v="R03"/>
        <s v="R04"/>
        <s v="R05"/>
      </sharedItems>
    </cacheField>
    <cacheField name="[Measures].[call count]" caption="call count" numFmtId="0" hierarchy="25" level="32767"/>
    <cacheField name="[Measures].[Total Amount]" caption="Total Amount" numFmtId="0" hierarchy="26" level="32767"/>
  </cacheFields>
  <cacheHierarchies count="3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ata__2].[Call number]" caption="Call number" attribute="1" defaultMemberUniqueName="[Data__2].[Call number].[All]" allUniqueName="[Data__2].[Call number].[All]" dimensionUniqueName="[Data__2]" displayFolder="" count="0" memberValueDatatype="130" unbalanced="0"/>
    <cacheHierarchy uniqueName="[Data__2].[Customer ID]" caption="Customer ID" attribute="1" defaultMemberUniqueName="[Data__2].[Customer ID].[All]" allUniqueName="[Data__2].[Customer ID].[All]" dimensionUniqueName="[Data__2]" displayFolder="" count="0" memberValueDatatype="130" unbalanced="0"/>
    <cacheHierarchy uniqueName="[Data__2].[Duration]" caption="Duration" attribute="1" defaultMemberUniqueName="[Data__2].[Duration].[All]" allUniqueName="[Data__2].[Duration].[All]" dimensionUniqueName="[Data__2]" displayFolder="" count="0" memberValueDatatype="20" unbalanced="0"/>
    <cacheHierarchy uniqueName="[Data__2].[Representative]" caption="Representative" attribute="1" defaultMemberUniqueName="[Data__2].[Representative].[All]" allUniqueName="[Data__2].[Representative].[All]" dimensionUniqueName="[Data__2]" displayFolder="" count="2" memberValueDatatype="130" unbalanced="0">
      <fieldsUsage count="2">
        <fieldUsage x="-1"/>
        <fieldUsage x="0"/>
      </fieldsUsage>
    </cacheHierarchy>
    <cacheHierarchy uniqueName="[Data__2].[Date of Call]" caption="Date of Call" attribute="1" time="1" defaultMemberUniqueName="[Data__2].[Date of Call].[All]" allUniqueName="[Data__2].[Date of Call].[All]" dimensionUniqueName="[Data__2]" displayFolder="" count="0" memberValueDatatype="7" unbalanced="0"/>
    <cacheHierarchy uniqueName="[Data__2].[Purchase Amount]" caption="Purchase Amount" attribute="1" defaultMemberUniqueName="[Data__2].[Purchase Amount].[All]" allUniqueName="[Data__2].[Purchase Amount].[All]" dimensionUniqueName="[Data__2]" displayFolder="" count="0" memberValueDatatype="20" unbalanced="0"/>
    <cacheHierarchy uniqueName="[Data__2].[Satisfaction Rating]" caption="Satisfaction Rating" attribute="1" defaultMemberUniqueName="[Data__2].[Satisfaction Rating].[All]" allUniqueName="[Data__2].[Satisfaction Rating].[All]" dimensionUniqueName="[Data__2]" displayFolder="" count="0" memberValueDatatype="5" unbalanced="0"/>
    <cacheHierarchy uniqueName="[Data__2].[FY]" caption="FY" attribute="1" defaultMemberUniqueName="[Data__2].[FY].[All]" allUniqueName="[Data__2].[FY].[All]" dimensionUniqueName="[Data__2]" displayFolder="" count="0" memberValueDatatype="20" unbalanced="0"/>
    <cacheHierarchy uniqueName="[Data__2].[Day of week]" caption="Day of week" attribute="1" defaultMemberUniqueName="[Data__2].[Day of week].[All]" allUniqueName="[Data__2].[Day of week].[All]" dimensionUniqueName="[Data__2]" displayFolder="" count="0" memberValueDatatype="130" unbalanced="0"/>
    <cacheHierarchy uniqueName="[Data__2].[Duration Bucket]" caption="Duration Bucket" attribute="1" defaultMemberUniqueName="[Data__2].[Duration Bucket].[All]" allUniqueName="[Data__2].[Duration Bucket].[All]" dimensionUniqueName="[Data__2]" displayFolder="" count="0" memberValueDatatype="130" unbalanced="0"/>
    <cacheHierarchy uniqueName="[Data__2].[Rating rounded]" caption="Rating rounded" attribute="1" defaultMemberUniqueName="[Data__2].[Rating rounded].[All]" allUniqueName="[Data__2].[Rating rounded].[All]" dimensionUniqueName="[Data__2]" displayFolder="" count="0" memberValueDatatype="20" unbalanced="0"/>
    <cacheHierarchy uniqueName="[Data__2].[employee tpe]" caption="employee tpe" attribute="1" defaultMemberUniqueName="[Data__2].[employee tpe].[All]" allUniqueName="[Data__2].[employee tpe].[All]" dimensionUniqueName="[Data__2]" displayFolder="" count="0" memberValueDatatype="130" unbalanced="0"/>
    <cacheHierarchy uniqueName="[Data__2].[Column2]" caption="Column2" attribute="1" defaultMemberUniqueName="[Data__2].[Column2].[All]" allUniqueName="[Data__2].[Column2].[All]" dimensionUniqueName="[Data__2]" displayFolder="" count="0" memberValueDatatype="130" unbalanced="0"/>
    <cacheHierarchy uniqueName="[Data__2].[Column3]" caption="Column3" attribute="1" defaultMemberUniqueName="[Data__2].[Column3].[All]" allUniqueName="[Data__2].[Column3].[All]" dimensionUniqueName="[Data__2]" displayFolder="" count="0" memberValueDatatype="130" unbalanced="0"/>
    <cacheHierarchy uniqueName="[Data__2].[Column4]" caption="Column4" attribute="1" defaultMemberUniqueName="[Data__2].[Column4].[All]" allUniqueName="[Data__2].[Column4].[All]" dimensionUniqueName="[Data__2]" displayFolder="" count="0" memberValueDatatype="130" unbalanced="0"/>
    <cacheHierarchy uniqueName="[Data__2].[Customer ID2]" caption="Customer ID2" attribute="1" defaultMemberUniqueName="[Data__2].[Customer ID2].[All]" allUniqueName="[Data__2].[Customer ID2].[All]" dimensionUniqueName="[Data__2]" displayFolder="" count="0" memberValueDatatype="130" unbalanced="0"/>
    <cacheHierarchy uniqueName="[Data__2].[Gedner]" caption="Gedner" attribute="1" defaultMemberUniqueName="[Data__2].[Gedner].[All]" allUniqueName="[Data__2].[Gedner].[All]" dimensionUniqueName="[Data__2]" displayFolder="" count="0" memberValueDatatype="130" unbalanced="0"/>
    <cacheHierarchy uniqueName="[Data__2].[Age]" caption="Age" attribute="1" defaultMemberUniqueName="[Data__2].[Age].[All]" allUniqueName="[Data__2].[Age].[All]" dimensionUniqueName="[Data__2]" displayFolder="" count="0" memberValueDatatype="20" unbalanced="0"/>
    <cacheHierarchy uniqueName="[Data__2].[City]" caption="City" attribute="1" defaultMemberUniqueName="[Data__2].[City].[All]" allUniqueName="[Data__2].[City].[All]" dimensionUniqueName="[Data__2]" displayFolder="" count="0" memberValueDatatype="130" unbalanced="0"/>
    <cacheHierarchy uniqueName="[Data__2].[Date of Call (Month)]" caption="Date of Call (Month)" attribute="1" defaultMemberUniqueName="[Data__2].[Date of Call (Month)].[All]" allUniqueName="[Data__2].[Date of Call (Month)].[All]" dimensionUniqueName="[Data__2]" displayFolder="" count="0" memberValueDatatype="130" unbalanced="0"/>
    <cacheHierarchy uniqueName="[Data__2].[Date of Call (Month Index)]" caption="Date of Call (Month Index)" attribute="1" defaultMemberUniqueName="[Data__2].[Date of Call (Month Index)].[All]" allUniqueName="[Data__2].[Date of Call (Month Index)].[All]" dimensionUniqueName="[Data__2]" displayFolder="" count="0" memberValueDatatype="20" unbalanced="0" hidden="1"/>
    <cacheHierarchy uniqueName="[Measures].[call count]" caption="call count" measure="1" displayFolder="" measureGroup="Data__2" count="0" oneField="1">
      <fieldsUsage count="1">
        <fieldUsage x="1"/>
      </fieldsUsage>
    </cacheHierarchy>
    <cacheHierarchy uniqueName="[Measures].[Total Amount]" caption="Total Amount" measure="1" displayFolder="" measureGroup="Data__2" count="0" oneField="1">
      <fieldsUsage count="1">
        <fieldUsage x="2"/>
      </fieldsUsage>
    </cacheHierarchy>
    <cacheHierarchy uniqueName="[Measures].[Total Duration]" caption="Total Duration" measure="1" displayFolder="" measureGroup="Data__2" count="0"/>
    <cacheHierarchy uniqueName="[Measures].[Avg.Rating]" caption="Avg.Rating" measure="1" displayFolder="" measureGroup="Data__2" count="0"/>
    <cacheHierarchy uniqueName="[Measures].[5*Calls]" caption="5*Calls" measure="1" displayFolder="" measureGroup="Data__2" count="0"/>
    <cacheHierarchy uniqueName="[Measures].[__XL_Count customers]" caption="__XL_Count customers" measure="1" displayFolder="" measureGroup="customers"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ies>
  <kpis count="0"/>
  <dimensions count="3">
    <dimension name="customers" uniqueName="[customers]" caption="customers"/>
    <dimension name="Data__2" uniqueName="[Data__2]" caption="Data__2"/>
    <dimension measure="1" name="Measures" uniqueName="[Measures]" caption="Measures"/>
  </dimensions>
  <measureGroups count="2">
    <measureGroup name="customers" caption="customers"/>
    <measureGroup name="Data__2" caption="Data_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65.494352662034" backgroundQuery="1" createdVersion="8" refreshedVersion="8" minRefreshableVersion="3" recordCount="0" supportSubquery="1" supportAdvancedDrill="1" xr:uid="{7BCCED47-797B-4A21-9126-ED86EC2BE2AB}">
  <cacheSource type="external" connectionId="20"/>
  <cacheFields count="5">
    <cacheField name="[Measures].[call count]" caption="call count" numFmtId="0" hierarchy="25" level="32767"/>
    <cacheField name="[Measures].[Total Amount]" caption="Total Amount" numFmtId="0" hierarchy="26" level="32767"/>
    <cacheField name="[Measures].[Total Duration]" caption="Total Duration" numFmtId="0" hierarchy="27" level="32767"/>
    <cacheField name="[Measures].[Avg.Rating]" caption="Avg.Rating" numFmtId="0" hierarchy="28" level="32767"/>
    <cacheField name="[Measures].[5*Calls]" caption="5*Calls" numFmtId="0" hierarchy="29" level="32767"/>
  </cacheFields>
  <cacheHierarchies count="3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ata__2].[Call number]" caption="Call number" attribute="1" defaultMemberUniqueName="[Data__2].[Call number].[All]" allUniqueName="[Data__2].[Call number].[All]" dimensionUniqueName="[Data__2]" displayFolder="" count="0" memberValueDatatype="130" unbalanced="0"/>
    <cacheHierarchy uniqueName="[Data__2].[Customer ID]" caption="Customer ID" attribute="1" defaultMemberUniqueName="[Data__2].[Customer ID].[All]" allUniqueName="[Data__2].[Customer ID].[All]" dimensionUniqueName="[Data__2]" displayFolder="" count="0" memberValueDatatype="130" unbalanced="0"/>
    <cacheHierarchy uniqueName="[Data__2].[Duration]" caption="Duration" attribute="1" defaultMemberUniqueName="[Data__2].[Duration].[All]" allUniqueName="[Data__2].[Duration].[All]" dimensionUniqueName="[Data__2]" displayFolder="" count="0" memberValueDatatype="20" unbalanced="0"/>
    <cacheHierarchy uniqueName="[Data__2].[Representative]" caption="Representative" attribute="1" defaultMemberUniqueName="[Data__2].[Representative].[All]" allUniqueName="[Data__2].[Representative].[All]" dimensionUniqueName="[Data__2]" displayFolder="" count="0" memberValueDatatype="130" unbalanced="0"/>
    <cacheHierarchy uniqueName="[Data__2].[Date of Call]" caption="Date of Call" attribute="1" time="1" defaultMemberUniqueName="[Data__2].[Date of Call].[All]" allUniqueName="[Data__2].[Date of Call].[All]" dimensionUniqueName="[Data__2]" displayFolder="" count="0" memberValueDatatype="7" unbalanced="0"/>
    <cacheHierarchy uniqueName="[Data__2].[Purchase Amount]" caption="Purchase Amount" attribute="1" defaultMemberUniqueName="[Data__2].[Purchase Amount].[All]" allUniqueName="[Data__2].[Purchase Amount].[All]" dimensionUniqueName="[Data__2]" displayFolder="" count="0" memberValueDatatype="20" unbalanced="0"/>
    <cacheHierarchy uniqueName="[Data__2].[Satisfaction Rating]" caption="Satisfaction Rating" attribute="1" defaultMemberUniqueName="[Data__2].[Satisfaction Rating].[All]" allUniqueName="[Data__2].[Satisfaction Rating].[All]" dimensionUniqueName="[Data__2]" displayFolder="" count="0" memberValueDatatype="5" unbalanced="0"/>
    <cacheHierarchy uniqueName="[Data__2].[FY]" caption="FY" attribute="1" defaultMemberUniqueName="[Data__2].[FY].[All]" allUniqueName="[Data__2].[FY].[All]" dimensionUniqueName="[Data__2]" displayFolder="" count="0" memberValueDatatype="20" unbalanced="0"/>
    <cacheHierarchy uniqueName="[Data__2].[Day of week]" caption="Day of week" attribute="1" defaultMemberUniqueName="[Data__2].[Day of week].[All]" allUniqueName="[Data__2].[Day of week].[All]" dimensionUniqueName="[Data__2]" displayFolder="" count="0" memberValueDatatype="130" unbalanced="0"/>
    <cacheHierarchy uniqueName="[Data__2].[Duration Bucket]" caption="Duration Bucket" attribute="1" defaultMemberUniqueName="[Data__2].[Duration Bucket].[All]" allUniqueName="[Data__2].[Duration Bucket].[All]" dimensionUniqueName="[Data__2]" displayFolder="" count="0" memberValueDatatype="130" unbalanced="0"/>
    <cacheHierarchy uniqueName="[Data__2].[Rating rounded]" caption="Rating rounded" attribute="1" defaultMemberUniqueName="[Data__2].[Rating rounded].[All]" allUniqueName="[Data__2].[Rating rounded].[All]" dimensionUniqueName="[Data__2]" displayFolder="" count="0" memberValueDatatype="20" unbalanced="0"/>
    <cacheHierarchy uniqueName="[Data__2].[employee tpe]" caption="employee tpe" attribute="1" defaultMemberUniqueName="[Data__2].[employee tpe].[All]" allUniqueName="[Data__2].[employee tpe].[All]" dimensionUniqueName="[Data__2]" displayFolder="" count="0" memberValueDatatype="130" unbalanced="0"/>
    <cacheHierarchy uniqueName="[Data__2].[Column2]" caption="Column2" attribute="1" defaultMemberUniqueName="[Data__2].[Column2].[All]" allUniqueName="[Data__2].[Column2].[All]" dimensionUniqueName="[Data__2]" displayFolder="" count="0" memberValueDatatype="130" unbalanced="0"/>
    <cacheHierarchy uniqueName="[Data__2].[Column3]" caption="Column3" attribute="1" defaultMemberUniqueName="[Data__2].[Column3].[All]" allUniqueName="[Data__2].[Column3].[All]" dimensionUniqueName="[Data__2]" displayFolder="" count="0" memberValueDatatype="130" unbalanced="0"/>
    <cacheHierarchy uniqueName="[Data__2].[Column4]" caption="Column4" attribute="1" defaultMemberUniqueName="[Data__2].[Column4].[All]" allUniqueName="[Data__2].[Column4].[All]" dimensionUniqueName="[Data__2]" displayFolder="" count="0" memberValueDatatype="130" unbalanced="0"/>
    <cacheHierarchy uniqueName="[Data__2].[Customer ID2]" caption="Customer ID2" attribute="1" defaultMemberUniqueName="[Data__2].[Customer ID2].[All]" allUniqueName="[Data__2].[Customer ID2].[All]" dimensionUniqueName="[Data__2]" displayFolder="" count="0" memberValueDatatype="130" unbalanced="0"/>
    <cacheHierarchy uniqueName="[Data__2].[Gedner]" caption="Gedner" attribute="1" defaultMemberUniqueName="[Data__2].[Gedner].[All]" allUniqueName="[Data__2].[Gedner].[All]" dimensionUniqueName="[Data__2]" displayFolder="" count="0" memberValueDatatype="130" unbalanced="0"/>
    <cacheHierarchy uniqueName="[Data__2].[Age]" caption="Age" attribute="1" defaultMemberUniqueName="[Data__2].[Age].[All]" allUniqueName="[Data__2].[Age].[All]" dimensionUniqueName="[Data__2]" displayFolder="" count="0" memberValueDatatype="20" unbalanced="0"/>
    <cacheHierarchy uniqueName="[Data__2].[City]" caption="City" attribute="1" defaultMemberUniqueName="[Data__2].[City].[All]" allUniqueName="[Data__2].[City].[All]" dimensionUniqueName="[Data__2]" displayFolder="" count="0" memberValueDatatype="130" unbalanced="0"/>
    <cacheHierarchy uniqueName="[Data__2].[Date of Call (Month)]" caption="Date of Call (Month)" attribute="1" defaultMemberUniqueName="[Data__2].[Date of Call (Month)].[All]" allUniqueName="[Data__2].[Date of Call (Month)].[All]" dimensionUniqueName="[Data__2]" displayFolder="" count="0" memberValueDatatype="130" unbalanced="0"/>
    <cacheHierarchy uniqueName="[Data__2].[Date of Call (Month Index)]" caption="Date of Call (Month Index)" attribute="1" defaultMemberUniqueName="[Data__2].[Date of Call (Month Index)].[All]" allUniqueName="[Data__2].[Date of Call (Month Index)].[All]" dimensionUniqueName="[Data__2]" displayFolder="" count="0" memberValueDatatype="20" unbalanced="0" hidden="1"/>
    <cacheHierarchy uniqueName="[Measures].[call count]" caption="call count" measure="1" displayFolder="" measureGroup="Data__2" count="0" oneField="1">
      <fieldsUsage count="1">
        <fieldUsage x="0"/>
      </fieldsUsage>
    </cacheHierarchy>
    <cacheHierarchy uniqueName="[Measures].[Total Amount]" caption="Total Amount" measure="1" displayFolder="" measureGroup="Data__2" count="0" oneField="1">
      <fieldsUsage count="1">
        <fieldUsage x="1"/>
      </fieldsUsage>
    </cacheHierarchy>
    <cacheHierarchy uniqueName="[Measures].[Total Duration]" caption="Total Duration" measure="1" displayFolder="" measureGroup="Data__2" count="0" oneField="1">
      <fieldsUsage count="1">
        <fieldUsage x="2"/>
      </fieldsUsage>
    </cacheHierarchy>
    <cacheHierarchy uniqueName="[Measures].[Avg.Rating]" caption="Avg.Rating" measure="1" displayFolder="" measureGroup="Data__2" count="0" oneField="1">
      <fieldsUsage count="1">
        <fieldUsage x="3"/>
      </fieldsUsage>
    </cacheHierarchy>
    <cacheHierarchy uniqueName="[Measures].[5*Calls]" caption="5*Calls" measure="1" displayFolder="" measureGroup="Data__2" count="0" oneField="1">
      <fieldsUsage count="1">
        <fieldUsage x="4"/>
      </fieldsUsage>
    </cacheHierarchy>
    <cacheHierarchy uniqueName="[Measures].[__XL_Count customers]" caption="__XL_Count customers" measure="1" displayFolder="" measureGroup="customers"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ies>
  <kpis count="0"/>
  <dimensions count="3">
    <dimension name="customers" uniqueName="[customers]" caption="customers"/>
    <dimension name="Data__2" uniqueName="[Data__2]" caption="Data__2"/>
    <dimension measure="1" name="Measures" uniqueName="[Measures]" caption="Measures"/>
  </dimensions>
  <measureGroups count="2">
    <measureGroup name="customers" caption="customers"/>
    <measureGroup name="Data__2" caption="Data_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65.494684953701" backgroundQuery="1" createdVersion="8" refreshedVersion="8" minRefreshableVersion="3" recordCount="0" supportSubquery="1" supportAdvancedDrill="1" xr:uid="{3703E666-FD8E-44A0-A36F-E022B782D852}">
  <cacheSource type="external" connectionId="20"/>
  <cacheFields count="3">
    <cacheField name="[Measures].[call count]" caption="call count" numFmtId="0" hierarchy="25" level="32767"/>
    <cacheField name="[customers].[City].[City]" caption="City" numFmtId="0" hierarchy="3" level="1">
      <sharedItems count="3">
        <s v="Cincinnati"/>
        <s v="Cleveland"/>
        <s v="Columbus"/>
      </sharedItems>
    </cacheField>
    <cacheField name="[customers].[Gedner].[Gedner]" caption="Gedner" numFmtId="0" hierarchy="1" level="1">
      <sharedItems count="2">
        <s v="Female"/>
        <s v="Male"/>
      </sharedItems>
    </cacheField>
  </cacheFields>
  <cacheHierarchies count="3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Data__2].[Call number]" caption="Call number" attribute="1" defaultMemberUniqueName="[Data__2].[Call number].[All]" allUniqueName="[Data__2].[Call number].[All]" dimensionUniqueName="[Data__2]" displayFolder="" count="0" memberValueDatatype="130" unbalanced="0"/>
    <cacheHierarchy uniqueName="[Data__2].[Customer ID]" caption="Customer ID" attribute="1" defaultMemberUniqueName="[Data__2].[Customer ID].[All]" allUniqueName="[Data__2].[Customer ID].[All]" dimensionUniqueName="[Data__2]" displayFolder="" count="0" memberValueDatatype="130" unbalanced="0"/>
    <cacheHierarchy uniqueName="[Data__2].[Duration]" caption="Duration" attribute="1" defaultMemberUniqueName="[Data__2].[Duration].[All]" allUniqueName="[Data__2].[Duration].[All]" dimensionUniqueName="[Data__2]" displayFolder="" count="0" memberValueDatatype="20" unbalanced="0"/>
    <cacheHierarchy uniqueName="[Data__2].[Representative]" caption="Representative" attribute="1" defaultMemberUniqueName="[Data__2].[Representative].[All]" allUniqueName="[Data__2].[Representative].[All]" dimensionUniqueName="[Data__2]" displayFolder="" count="0" memberValueDatatype="130" unbalanced="0"/>
    <cacheHierarchy uniqueName="[Data__2].[Date of Call]" caption="Date of Call" attribute="1" time="1" defaultMemberUniqueName="[Data__2].[Date of Call].[All]" allUniqueName="[Data__2].[Date of Call].[All]" dimensionUniqueName="[Data__2]" displayFolder="" count="0" memberValueDatatype="7" unbalanced="0"/>
    <cacheHierarchy uniqueName="[Data__2].[Purchase Amount]" caption="Purchase Amount" attribute="1" defaultMemberUniqueName="[Data__2].[Purchase Amount].[All]" allUniqueName="[Data__2].[Purchase Amount].[All]" dimensionUniqueName="[Data__2]" displayFolder="" count="0" memberValueDatatype="20" unbalanced="0"/>
    <cacheHierarchy uniqueName="[Data__2].[Satisfaction Rating]" caption="Satisfaction Rating" attribute="1" defaultMemberUniqueName="[Data__2].[Satisfaction Rating].[All]" allUniqueName="[Data__2].[Satisfaction Rating].[All]" dimensionUniqueName="[Data__2]" displayFolder="" count="0" memberValueDatatype="5" unbalanced="0"/>
    <cacheHierarchy uniqueName="[Data__2].[FY]" caption="FY" attribute="1" defaultMemberUniqueName="[Data__2].[FY].[All]" allUniqueName="[Data__2].[FY].[All]" dimensionUniqueName="[Data__2]" displayFolder="" count="0" memberValueDatatype="20" unbalanced="0"/>
    <cacheHierarchy uniqueName="[Data__2].[Day of week]" caption="Day of week" attribute="1" defaultMemberUniqueName="[Data__2].[Day of week].[All]" allUniqueName="[Data__2].[Day of week].[All]" dimensionUniqueName="[Data__2]" displayFolder="" count="0" memberValueDatatype="130" unbalanced="0"/>
    <cacheHierarchy uniqueName="[Data__2].[Duration Bucket]" caption="Duration Bucket" attribute="1" defaultMemberUniqueName="[Data__2].[Duration Bucket].[All]" allUniqueName="[Data__2].[Duration Bucket].[All]" dimensionUniqueName="[Data__2]" displayFolder="" count="0" memberValueDatatype="130" unbalanced="0"/>
    <cacheHierarchy uniqueName="[Data__2].[Rating rounded]" caption="Rating rounded" attribute="1" defaultMemberUniqueName="[Data__2].[Rating rounded].[All]" allUniqueName="[Data__2].[Rating rounded].[All]" dimensionUniqueName="[Data__2]" displayFolder="" count="0" memberValueDatatype="20" unbalanced="0"/>
    <cacheHierarchy uniqueName="[Data__2].[employee tpe]" caption="employee tpe" attribute="1" defaultMemberUniqueName="[Data__2].[employee tpe].[All]" allUniqueName="[Data__2].[employee tpe].[All]" dimensionUniqueName="[Data__2]" displayFolder="" count="0" memberValueDatatype="130" unbalanced="0"/>
    <cacheHierarchy uniqueName="[Data__2].[Column2]" caption="Column2" attribute="1" defaultMemberUniqueName="[Data__2].[Column2].[All]" allUniqueName="[Data__2].[Column2].[All]" dimensionUniqueName="[Data__2]" displayFolder="" count="0" memberValueDatatype="130" unbalanced="0"/>
    <cacheHierarchy uniqueName="[Data__2].[Column3]" caption="Column3" attribute="1" defaultMemberUniqueName="[Data__2].[Column3].[All]" allUniqueName="[Data__2].[Column3].[All]" dimensionUniqueName="[Data__2]" displayFolder="" count="0" memberValueDatatype="130" unbalanced="0"/>
    <cacheHierarchy uniqueName="[Data__2].[Column4]" caption="Column4" attribute="1" defaultMemberUniqueName="[Data__2].[Column4].[All]" allUniqueName="[Data__2].[Column4].[All]" dimensionUniqueName="[Data__2]" displayFolder="" count="0" memberValueDatatype="130" unbalanced="0"/>
    <cacheHierarchy uniqueName="[Data__2].[Customer ID2]" caption="Customer ID2" attribute="1" defaultMemberUniqueName="[Data__2].[Customer ID2].[All]" allUniqueName="[Data__2].[Customer ID2].[All]" dimensionUniqueName="[Data__2]" displayFolder="" count="0" memberValueDatatype="130" unbalanced="0"/>
    <cacheHierarchy uniqueName="[Data__2].[Gedner]" caption="Gedner" attribute="1" defaultMemberUniqueName="[Data__2].[Gedner].[All]" allUniqueName="[Data__2].[Gedner].[All]" dimensionUniqueName="[Data__2]" displayFolder="" count="0" memberValueDatatype="130" unbalanced="0"/>
    <cacheHierarchy uniqueName="[Data__2].[Age]" caption="Age" attribute="1" defaultMemberUniqueName="[Data__2].[Age].[All]" allUniqueName="[Data__2].[Age].[All]" dimensionUniqueName="[Data__2]" displayFolder="" count="0" memberValueDatatype="20" unbalanced="0"/>
    <cacheHierarchy uniqueName="[Data__2].[City]" caption="City" attribute="1" defaultMemberUniqueName="[Data__2].[City].[All]" allUniqueName="[Data__2].[City].[All]" dimensionUniqueName="[Data__2]" displayFolder="" count="0" memberValueDatatype="130" unbalanced="0"/>
    <cacheHierarchy uniqueName="[Data__2].[Date of Call (Month)]" caption="Date of Call (Month)" attribute="1" defaultMemberUniqueName="[Data__2].[Date of Call (Month)].[All]" allUniqueName="[Data__2].[Date of Call (Month)].[All]" dimensionUniqueName="[Data__2]" displayFolder="" count="0" memberValueDatatype="130" unbalanced="0"/>
    <cacheHierarchy uniqueName="[Data__2].[Date of Call (Month Index)]" caption="Date of Call (Month Index)" attribute="1" defaultMemberUniqueName="[Data__2].[Date of Call (Month Index)].[All]" allUniqueName="[Data__2].[Date of Call (Month Index)].[All]" dimensionUniqueName="[Data__2]" displayFolder="" count="0" memberValueDatatype="20" unbalanced="0" hidden="1"/>
    <cacheHierarchy uniqueName="[Measures].[call count]" caption="call count" measure="1" displayFolder="" measureGroup="Data__2" count="0" oneField="1">
      <fieldsUsage count="1">
        <fieldUsage x="0"/>
      </fieldsUsage>
    </cacheHierarchy>
    <cacheHierarchy uniqueName="[Measures].[Total Amount]" caption="Total Amount" measure="1" displayFolder="" measureGroup="Data__2" count="0"/>
    <cacheHierarchy uniqueName="[Measures].[Total Duration]" caption="Total Duration" measure="1" displayFolder="" measureGroup="Data__2" count="0"/>
    <cacheHierarchy uniqueName="[Measures].[Avg.Rating]" caption="Avg.Rating" measure="1" displayFolder="" measureGroup="Data__2" count="0"/>
    <cacheHierarchy uniqueName="[Measures].[5*Calls]" caption="5*Calls" measure="1" displayFolder="" measureGroup="Data__2" count="0"/>
    <cacheHierarchy uniqueName="[Measures].[__XL_Count customers]" caption="__XL_Count customers" measure="1" displayFolder="" measureGroup="customers"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ies>
  <kpis count="0"/>
  <dimensions count="3">
    <dimension name="customers" uniqueName="[customers]" caption="customers"/>
    <dimension name="Data__2" uniqueName="[Data__2]" caption="Data__2"/>
    <dimension measure="1" name="Measures" uniqueName="[Measures]" caption="Measures"/>
  </dimensions>
  <measureGroups count="2">
    <measureGroup name="customers" caption="customers"/>
    <measureGroup name="Data__2" caption="Data_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65.823975231484" backgroundQuery="1" createdVersion="8" refreshedVersion="8" minRefreshableVersion="3" recordCount="0" supportSubquery="1" supportAdvancedDrill="1" xr:uid="{4F0A1DED-ADE2-42F3-97BA-3C6C8F91BE3E}">
  <cacheSource type="external" connectionId="20"/>
  <cacheFields count="6">
    <cacheField name="[Measures].[call count]" caption="call count" numFmtId="0" hierarchy="25" level="32767"/>
    <cacheField name="[Measures].[Total Amount]" caption="Total Amount" numFmtId="0" hierarchy="26" level="32767"/>
    <cacheField name="[Measures].[Total Duration]" caption="Total Duration" numFmtId="0" hierarchy="27" level="32767"/>
    <cacheField name="[Measures].[Avg.Rating]" caption="Avg.Rating" numFmtId="0" hierarchy="28" level="32767"/>
    <cacheField name="[Measures].[5*Calls]" caption="5*Calls" numFmtId="0" hierarchy="29" level="32767"/>
    <cacheField name="[Data__2].[Representative].[Representative]" caption="Representative" numFmtId="0" hierarchy="7" level="1">
      <sharedItems containsSemiMixedTypes="0" containsNonDate="0" containsString="0"/>
    </cacheField>
  </cacheFields>
  <cacheHierarchies count="3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ata__2].[Call number]" caption="Call number" attribute="1" defaultMemberUniqueName="[Data__2].[Call number].[All]" allUniqueName="[Data__2].[Call number].[All]" dimensionUniqueName="[Data__2]" displayFolder="" count="0" memberValueDatatype="130" unbalanced="0"/>
    <cacheHierarchy uniqueName="[Data__2].[Customer ID]" caption="Customer ID" attribute="1" defaultMemberUniqueName="[Data__2].[Customer ID].[All]" allUniqueName="[Data__2].[Customer ID].[All]" dimensionUniqueName="[Data__2]" displayFolder="" count="0" memberValueDatatype="130" unbalanced="0"/>
    <cacheHierarchy uniqueName="[Data__2].[Duration]" caption="Duration" attribute="1" defaultMemberUniqueName="[Data__2].[Duration].[All]" allUniqueName="[Data__2].[Duration].[All]" dimensionUniqueName="[Data__2]" displayFolder="" count="0" memberValueDatatype="20" unbalanced="0"/>
    <cacheHierarchy uniqueName="[Data__2].[Representative]" caption="Representative" attribute="1" defaultMemberUniqueName="[Data__2].[Representative].[All]" allUniqueName="[Data__2].[Representative].[All]" dimensionUniqueName="[Data__2]" displayFolder="" count="2" memberValueDatatype="130" unbalanced="0">
      <fieldsUsage count="2">
        <fieldUsage x="-1"/>
        <fieldUsage x="5"/>
      </fieldsUsage>
    </cacheHierarchy>
    <cacheHierarchy uniqueName="[Data__2].[Date of Call]" caption="Date of Call" attribute="1" time="1" defaultMemberUniqueName="[Data__2].[Date of Call].[All]" allUniqueName="[Data__2].[Date of Call].[All]" dimensionUniqueName="[Data__2]" displayFolder="" count="0" memberValueDatatype="7" unbalanced="0"/>
    <cacheHierarchy uniqueName="[Data__2].[Purchase Amount]" caption="Purchase Amount" attribute="1" defaultMemberUniqueName="[Data__2].[Purchase Amount].[All]" allUniqueName="[Data__2].[Purchase Amount].[All]" dimensionUniqueName="[Data__2]" displayFolder="" count="0" memberValueDatatype="20" unbalanced="0"/>
    <cacheHierarchy uniqueName="[Data__2].[Satisfaction Rating]" caption="Satisfaction Rating" attribute="1" defaultMemberUniqueName="[Data__2].[Satisfaction Rating].[All]" allUniqueName="[Data__2].[Satisfaction Rating].[All]" dimensionUniqueName="[Data__2]" displayFolder="" count="0" memberValueDatatype="5" unbalanced="0"/>
    <cacheHierarchy uniqueName="[Data__2].[FY]" caption="FY" attribute="1" defaultMemberUniqueName="[Data__2].[FY].[All]" allUniqueName="[Data__2].[FY].[All]" dimensionUniqueName="[Data__2]" displayFolder="" count="0" memberValueDatatype="20" unbalanced="0"/>
    <cacheHierarchy uniqueName="[Data__2].[Day of week]" caption="Day of week" attribute="1" defaultMemberUniqueName="[Data__2].[Day of week].[All]" allUniqueName="[Data__2].[Day of week].[All]" dimensionUniqueName="[Data__2]" displayFolder="" count="0" memberValueDatatype="130" unbalanced="0"/>
    <cacheHierarchy uniqueName="[Data__2].[Duration Bucket]" caption="Duration Bucket" attribute="1" defaultMemberUniqueName="[Data__2].[Duration Bucket].[All]" allUniqueName="[Data__2].[Duration Bucket].[All]" dimensionUniqueName="[Data__2]" displayFolder="" count="0" memberValueDatatype="130" unbalanced="0"/>
    <cacheHierarchy uniqueName="[Data__2].[Rating rounded]" caption="Rating rounded" attribute="1" defaultMemberUniqueName="[Data__2].[Rating rounded].[All]" allUniqueName="[Data__2].[Rating rounded].[All]" dimensionUniqueName="[Data__2]" displayFolder="" count="0" memberValueDatatype="20" unbalanced="0"/>
    <cacheHierarchy uniqueName="[Data__2].[employee tpe]" caption="employee tpe" attribute="1" defaultMemberUniqueName="[Data__2].[employee tpe].[All]" allUniqueName="[Data__2].[employee tpe].[All]" dimensionUniqueName="[Data__2]" displayFolder="" count="0" memberValueDatatype="130" unbalanced="0"/>
    <cacheHierarchy uniqueName="[Data__2].[Column2]" caption="Column2" attribute="1" defaultMemberUniqueName="[Data__2].[Column2].[All]" allUniqueName="[Data__2].[Column2].[All]" dimensionUniqueName="[Data__2]" displayFolder="" count="0" memberValueDatatype="130" unbalanced="0"/>
    <cacheHierarchy uniqueName="[Data__2].[Column3]" caption="Column3" attribute="1" defaultMemberUniqueName="[Data__2].[Column3].[All]" allUniqueName="[Data__2].[Column3].[All]" dimensionUniqueName="[Data__2]" displayFolder="" count="0" memberValueDatatype="130" unbalanced="0"/>
    <cacheHierarchy uniqueName="[Data__2].[Column4]" caption="Column4" attribute="1" defaultMemberUniqueName="[Data__2].[Column4].[All]" allUniqueName="[Data__2].[Column4].[All]" dimensionUniqueName="[Data__2]" displayFolder="" count="0" memberValueDatatype="130" unbalanced="0"/>
    <cacheHierarchy uniqueName="[Data__2].[Customer ID2]" caption="Customer ID2" attribute="1" defaultMemberUniqueName="[Data__2].[Customer ID2].[All]" allUniqueName="[Data__2].[Customer ID2].[All]" dimensionUniqueName="[Data__2]" displayFolder="" count="0" memberValueDatatype="130" unbalanced="0"/>
    <cacheHierarchy uniqueName="[Data__2].[Gedner]" caption="Gedner" attribute="1" defaultMemberUniqueName="[Data__2].[Gedner].[All]" allUniqueName="[Data__2].[Gedner].[All]" dimensionUniqueName="[Data__2]" displayFolder="" count="0" memberValueDatatype="130" unbalanced="0"/>
    <cacheHierarchy uniqueName="[Data__2].[Age]" caption="Age" attribute="1" defaultMemberUniqueName="[Data__2].[Age].[All]" allUniqueName="[Data__2].[Age].[All]" dimensionUniqueName="[Data__2]" displayFolder="" count="0" memberValueDatatype="20" unbalanced="0"/>
    <cacheHierarchy uniqueName="[Data__2].[City]" caption="City" attribute="1" defaultMemberUniqueName="[Data__2].[City].[All]" allUniqueName="[Data__2].[City].[All]" dimensionUniqueName="[Data__2]" displayFolder="" count="0" memberValueDatatype="130" unbalanced="0"/>
    <cacheHierarchy uniqueName="[Data__2].[Date of Call (Month)]" caption="Date of Call (Month)" attribute="1" defaultMemberUniqueName="[Data__2].[Date of Call (Month)].[All]" allUniqueName="[Data__2].[Date of Call (Month)].[All]" dimensionUniqueName="[Data__2]" displayFolder="" count="0" memberValueDatatype="130" unbalanced="0"/>
    <cacheHierarchy uniqueName="[Data__2].[Date of Call (Month Index)]" caption="Date of Call (Month Index)" attribute="1" defaultMemberUniqueName="[Data__2].[Date of Call (Month Index)].[All]" allUniqueName="[Data__2].[Date of Call (Month Index)].[All]" dimensionUniqueName="[Data__2]" displayFolder="" count="0" memberValueDatatype="20" unbalanced="0" hidden="1"/>
    <cacheHierarchy uniqueName="[Measures].[call count]" caption="call count" measure="1" displayFolder="" measureGroup="Data__2" count="0" oneField="1">
      <fieldsUsage count="1">
        <fieldUsage x="0"/>
      </fieldsUsage>
    </cacheHierarchy>
    <cacheHierarchy uniqueName="[Measures].[Total Amount]" caption="Total Amount" measure="1" displayFolder="" measureGroup="Data__2" count="0" oneField="1">
      <fieldsUsage count="1">
        <fieldUsage x="1"/>
      </fieldsUsage>
    </cacheHierarchy>
    <cacheHierarchy uniqueName="[Measures].[Total Duration]" caption="Total Duration" measure="1" displayFolder="" measureGroup="Data__2" count="0" oneField="1">
      <fieldsUsage count="1">
        <fieldUsage x="2"/>
      </fieldsUsage>
    </cacheHierarchy>
    <cacheHierarchy uniqueName="[Measures].[Avg.Rating]" caption="Avg.Rating" measure="1" displayFolder="" measureGroup="Data__2" count="0" oneField="1">
      <fieldsUsage count="1">
        <fieldUsage x="3"/>
      </fieldsUsage>
    </cacheHierarchy>
    <cacheHierarchy uniqueName="[Measures].[5*Calls]" caption="5*Calls" measure="1" displayFolder="" measureGroup="Data__2" count="0" oneField="1">
      <fieldsUsage count="1">
        <fieldUsage x="4"/>
      </fieldsUsage>
    </cacheHierarchy>
    <cacheHierarchy uniqueName="[Measures].[__XL_Count customers]" caption="__XL_Count customers" measure="1" displayFolder="" measureGroup="customers"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ies>
  <kpis count="0"/>
  <dimensions count="3">
    <dimension name="customers" uniqueName="[customers]" caption="customers"/>
    <dimension name="Data__2" uniqueName="[Data__2]" caption="Data__2"/>
    <dimension measure="1" name="Measures" uniqueName="[Measures]" caption="Measures"/>
  </dimensions>
  <measureGroups count="2">
    <measureGroup name="customers" caption="customers"/>
    <measureGroup name="Data__2" caption="Data_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65.823975810184" backgroundQuery="1" createdVersion="8" refreshedVersion="8" minRefreshableVersion="3" recordCount="0" supportSubquery="1" supportAdvancedDrill="1" xr:uid="{2D8D7BA7-BA2E-4159-8D61-7A72AF1AE884}">
  <cacheSource type="external" connectionId="20"/>
  <cacheFields count="5">
    <cacheField name="[Data__2].[Representative].[Representative]" caption="Representative" numFmtId="0" hierarchy="7" level="1">
      <sharedItems containsSemiMixedTypes="0" containsNonDate="0" containsString="0"/>
    </cacheField>
    <cacheField name="[Data__2].[Date of Call].[Date of Call]" caption="Date of Call" numFmtId="0" hierarchy="8" level="1">
      <sharedItems containsSemiMixedTypes="0" containsNonDate="0" containsDate="1" containsString="0" minDate="2023-01-01T00:00:00" maxDate="2023-12-31T00:00:00" count="48">
        <d v="2023-01-01T00:00:00"/>
        <d v="2023-01-03T00:00:00"/>
        <d v="2023-01-05T00:00:00"/>
        <d v="2023-01-06T00:00:00"/>
        <d v="2023-01-10T00:00:00"/>
        <d v="2023-01-15T00:00:00"/>
        <d v="2023-01-17T00:00:00"/>
        <d v="2023-01-22T00:00:00"/>
        <d v="2023-02-02T00:00:00"/>
        <d v="2023-02-09T00:00:00"/>
        <d v="2023-02-10T00:00:00"/>
        <d v="2023-02-27T00:00:00"/>
        <d v="2023-03-03T00:00:00"/>
        <d v="2023-03-16T00:00:00"/>
        <d v="2023-03-21T00:00:00"/>
        <d v="2023-03-29T00:00:00"/>
        <d v="2023-04-02T00:00:00"/>
        <d v="2023-04-12T00:00:00"/>
        <d v="2023-04-26T00:00:00"/>
        <d v="2023-06-13T00:00:00"/>
        <d v="2023-06-21T00:00:00"/>
        <d v="2023-06-24T00:00:00"/>
        <d v="2023-07-08T00:00:00"/>
        <d v="2023-07-14T00:00:00"/>
        <d v="2023-07-22T00:00:00"/>
        <d v="2023-07-31T00:00:00"/>
        <d v="2023-08-10T00:00:00"/>
        <d v="2023-08-16T00:00:00"/>
        <d v="2023-08-18T00:00:00"/>
        <d v="2023-09-04T00:00:00"/>
        <d v="2023-09-06T00:00:00"/>
        <d v="2023-09-08T00:00:00"/>
        <d v="2023-09-15T00:00:00"/>
        <d v="2023-09-23T00:00:00"/>
        <d v="2023-09-24T00:00:00"/>
        <d v="2023-09-26T00:00:00"/>
        <d v="2023-10-01T00:00:00"/>
        <d v="2023-10-10T00:00:00"/>
        <d v="2023-10-14T00:00:00"/>
        <d v="2023-10-26T00:00:00"/>
        <d v="2023-11-11T00:00:00"/>
        <d v="2023-11-12T00:00:00"/>
        <d v="2023-11-24T00:00:00"/>
        <d v="2023-12-01T00:00:00"/>
        <d v="2023-12-16T00:00:00"/>
        <d v="2023-12-27T00:00:00"/>
        <d v="2023-12-28T00:00:00"/>
        <d v="2023-12-30T00:00:00"/>
      </sharedItems>
    </cacheField>
    <cacheField name="[Data__2].[Date of Call (Month)].[Date of Call (Month)]" caption="Date of Call (Month)" numFmtId="0" hierarchy="23" level="1">
      <sharedItems count="12">
        <s v="Jan"/>
        <s v="Feb"/>
        <s v="Mar"/>
        <s v="Apr"/>
        <s v="May"/>
        <s v="Jun"/>
        <s v="Jul"/>
        <s v="Aug"/>
        <s v="Sep"/>
        <s v="Oct"/>
        <s v="Nov"/>
        <s v="Dec"/>
      </sharedItems>
    </cacheField>
    <cacheField name="[Measures].[call count]" caption="call count" numFmtId="0" hierarchy="25" level="32767"/>
    <cacheField name="Unsupported0" numFmtId="0" hierarchy="33" level="32767">
      <extLst>
        <ext xmlns:x14="http://schemas.microsoft.com/office/spreadsheetml/2009/9/main" uri="{63CAB8AC-B538-458d-9737-405883B0398D}">
          <x14:cacheField ignore="1"/>
        </ext>
      </extLst>
    </cacheField>
  </cacheFields>
  <cacheHierarchies count="34">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ata__2].[Call number]" caption="Call number" attribute="1" defaultMemberUniqueName="[Data__2].[Call number].[All]" allUniqueName="[Data__2].[Call number].[All]" dimensionUniqueName="[Data__2]" displayFolder="" count="0" memberValueDatatype="130" unbalanced="0"/>
    <cacheHierarchy uniqueName="[Data__2].[Customer ID]" caption="Customer ID" attribute="1" defaultMemberUniqueName="[Data__2].[Customer ID].[All]" allUniqueName="[Data__2].[Customer ID].[All]" dimensionUniqueName="[Data__2]" displayFolder="" count="0" memberValueDatatype="130" unbalanced="0"/>
    <cacheHierarchy uniqueName="[Data__2].[Duration]" caption="Duration" attribute="1" defaultMemberUniqueName="[Data__2].[Duration].[All]" allUniqueName="[Data__2].[Duration].[All]" dimensionUniqueName="[Data__2]" displayFolder="" count="0" memberValueDatatype="20" unbalanced="0"/>
    <cacheHierarchy uniqueName="[Data__2].[Representative]" caption="Representative" attribute="1" defaultMemberUniqueName="[Data__2].[Representative].[All]" allUniqueName="[Data__2].[Representative].[All]" dimensionUniqueName="[Data__2]" displayFolder="" count="2" memberValueDatatype="130" unbalanced="0">
      <fieldsUsage count="2">
        <fieldUsage x="-1"/>
        <fieldUsage x="0"/>
      </fieldsUsage>
    </cacheHierarchy>
    <cacheHierarchy uniqueName="[Data__2].[Date of Call]" caption="Date of Call" attribute="1" time="1" defaultMemberUniqueName="[Data__2].[Date of Call].[All]" allUniqueName="[Data__2].[Date of Call].[All]" dimensionUniqueName="[Data__2]" displayFolder="" count="2" memberValueDatatype="7" unbalanced="0">
      <fieldsUsage count="2">
        <fieldUsage x="-1"/>
        <fieldUsage x="1"/>
      </fieldsUsage>
    </cacheHierarchy>
    <cacheHierarchy uniqueName="[Data__2].[Purchase Amount]" caption="Purchase Amount" attribute="1" defaultMemberUniqueName="[Data__2].[Purchase Amount].[All]" allUniqueName="[Data__2].[Purchase Amount].[All]" dimensionUniqueName="[Data__2]" displayFolder="" count="0" memberValueDatatype="20" unbalanced="0"/>
    <cacheHierarchy uniqueName="[Data__2].[Satisfaction Rating]" caption="Satisfaction Rating" attribute="1" defaultMemberUniqueName="[Data__2].[Satisfaction Rating].[All]" allUniqueName="[Data__2].[Satisfaction Rating].[All]" dimensionUniqueName="[Data__2]" displayFolder="" count="0" memberValueDatatype="5" unbalanced="0"/>
    <cacheHierarchy uniqueName="[Data__2].[FY]" caption="FY" attribute="1" defaultMemberUniqueName="[Data__2].[FY].[All]" allUniqueName="[Data__2].[FY].[All]" dimensionUniqueName="[Data__2]" displayFolder="" count="0" memberValueDatatype="20" unbalanced="0"/>
    <cacheHierarchy uniqueName="[Data__2].[Day of week]" caption="Day of week" attribute="1" defaultMemberUniqueName="[Data__2].[Day of week].[All]" allUniqueName="[Data__2].[Day of week].[All]" dimensionUniqueName="[Data__2]" displayFolder="" count="0" memberValueDatatype="130" unbalanced="0"/>
    <cacheHierarchy uniqueName="[Data__2].[Duration Bucket]" caption="Duration Bucket" attribute="1" defaultMemberUniqueName="[Data__2].[Duration Bucket].[All]" allUniqueName="[Data__2].[Duration Bucket].[All]" dimensionUniqueName="[Data__2]" displayFolder="" count="0" memberValueDatatype="130" unbalanced="0"/>
    <cacheHierarchy uniqueName="[Data__2].[Rating rounded]" caption="Rating rounded" attribute="1" defaultMemberUniqueName="[Data__2].[Rating rounded].[All]" allUniqueName="[Data__2].[Rating rounded].[All]" dimensionUniqueName="[Data__2]" displayFolder="" count="0" memberValueDatatype="20" unbalanced="0"/>
    <cacheHierarchy uniqueName="[Data__2].[employee tpe]" caption="employee tpe" attribute="1" defaultMemberUniqueName="[Data__2].[employee tpe].[All]" allUniqueName="[Data__2].[employee tpe].[All]" dimensionUniqueName="[Data__2]" displayFolder="" count="0" memberValueDatatype="130" unbalanced="0"/>
    <cacheHierarchy uniqueName="[Data__2].[Column2]" caption="Column2" attribute="1" defaultMemberUniqueName="[Data__2].[Column2].[All]" allUniqueName="[Data__2].[Column2].[All]" dimensionUniqueName="[Data__2]" displayFolder="" count="0" memberValueDatatype="130" unbalanced="0"/>
    <cacheHierarchy uniqueName="[Data__2].[Column3]" caption="Column3" attribute="1" defaultMemberUniqueName="[Data__2].[Column3].[All]" allUniqueName="[Data__2].[Column3].[All]" dimensionUniqueName="[Data__2]" displayFolder="" count="0" memberValueDatatype="130" unbalanced="0"/>
    <cacheHierarchy uniqueName="[Data__2].[Column4]" caption="Column4" attribute="1" defaultMemberUniqueName="[Data__2].[Column4].[All]" allUniqueName="[Data__2].[Column4].[All]" dimensionUniqueName="[Data__2]" displayFolder="" count="0" memberValueDatatype="130" unbalanced="0"/>
    <cacheHierarchy uniqueName="[Data__2].[Customer ID2]" caption="Customer ID2" attribute="1" defaultMemberUniqueName="[Data__2].[Customer ID2].[All]" allUniqueName="[Data__2].[Customer ID2].[All]" dimensionUniqueName="[Data__2]" displayFolder="" count="0" memberValueDatatype="130" unbalanced="0"/>
    <cacheHierarchy uniqueName="[Data__2].[Gedner]" caption="Gedner" attribute="1" defaultMemberUniqueName="[Data__2].[Gedner].[All]" allUniqueName="[Data__2].[Gedner].[All]" dimensionUniqueName="[Data__2]" displayFolder="" count="0" memberValueDatatype="130" unbalanced="0"/>
    <cacheHierarchy uniqueName="[Data__2].[Age]" caption="Age" attribute="1" defaultMemberUniqueName="[Data__2].[Age].[All]" allUniqueName="[Data__2].[Age].[All]" dimensionUniqueName="[Data__2]" displayFolder="" count="0" memberValueDatatype="20" unbalanced="0"/>
    <cacheHierarchy uniqueName="[Data__2].[City]" caption="City" attribute="1" defaultMemberUniqueName="[Data__2].[City].[All]" allUniqueName="[Data__2].[City].[All]" dimensionUniqueName="[Data__2]" displayFolder="" count="0" memberValueDatatype="130" unbalanced="0"/>
    <cacheHierarchy uniqueName="[Data__2].[Date of Call (Month)]" caption="Date of Call (Month)" attribute="1" defaultMemberUniqueName="[Data__2].[Date of Call (Month)].[All]" allUniqueName="[Data__2].[Date of Call (Month)].[All]" dimensionUniqueName="[Data__2]" displayFolder="" count="2" memberValueDatatype="130" unbalanced="0">
      <fieldsUsage count="2">
        <fieldUsage x="-1"/>
        <fieldUsage x="2"/>
      </fieldsUsage>
    </cacheHierarchy>
    <cacheHierarchy uniqueName="[Data__2].[Date of Call (Month Index)]" caption="Date of Call (Month Index)" attribute="1" defaultMemberUniqueName="[Data__2].[Date of Call (Month Index)].[All]" allUniqueName="[Data__2].[Date of Call (Month Index)].[All]" dimensionUniqueName="[Data__2]" displayFolder="" count="0" memberValueDatatype="20" unbalanced="0" hidden="1"/>
    <cacheHierarchy uniqueName="[Measures].[call count]" caption="call count" measure="1" displayFolder="" measureGroup="Data__2" count="0" oneField="1">
      <fieldsUsage count="1">
        <fieldUsage x="3"/>
      </fieldsUsage>
    </cacheHierarchy>
    <cacheHierarchy uniqueName="[Measures].[Total Amount]" caption="Total Amount" measure="1" displayFolder="" measureGroup="Data__2" count="0"/>
    <cacheHierarchy uniqueName="[Measures].[Total Duration]" caption="Total Duration" measure="1" displayFolder="" measureGroup="Data__2" count="0"/>
    <cacheHierarchy uniqueName="[Measures].[Avg.Rating]" caption="Avg.Rating" measure="1" displayFolder="" measureGroup="Data__2" count="0"/>
    <cacheHierarchy uniqueName="[Measures].[5*Calls]" caption="5*Calls" measure="1" displayFolder="" measureGroup="Data__2" count="0"/>
    <cacheHierarchy uniqueName="[Measures].[__XL_Count customers]" caption="__XL_Count customers" measure="1" displayFolder="" measureGroup="customers"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y uniqueName="Unsupported0" caption="Customer ID" measure="1" count="0">
      <extLst>
        <ext xmlns:x14="http://schemas.microsoft.com/office/spreadsheetml/2009/9/main" uri="{8CF416AD-EC4C-4aba-99F5-12A058AE0983}">
          <x14:cacheHierarchy ignore="1"/>
        </ext>
      </extLst>
    </cacheHierarchy>
  </cacheHierarchies>
  <kpis count="0"/>
  <dimensions count="3">
    <dimension name="customers" uniqueName="[customers]" caption="customers"/>
    <dimension name="Data__2" uniqueName="[Data__2]" caption="Data__2"/>
    <dimension measure="1" name="Measures" uniqueName="[Measures]" caption="Measures"/>
  </dimensions>
  <measureGroups count="2">
    <measureGroup name="customers" caption="customers"/>
    <measureGroup name="Data__2" caption="Data_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65.823976273146" backgroundQuery="1" createdVersion="8" refreshedVersion="8" minRefreshableVersion="3" recordCount="0" supportSubquery="1" supportAdvancedDrill="1" xr:uid="{27A5EB75-F26A-4950-BEFA-55707775AFC9}">
  <cacheSource type="external" connectionId="20"/>
  <cacheFields count="3">
    <cacheField name="[Data__2].[Day of week].[Day of week]" caption="Day of week" numFmtId="0" hierarchy="12" level="1">
      <sharedItems count="7">
        <s v="Friday"/>
        <s v="Monday"/>
        <s v="Saturday"/>
        <s v="Sunday"/>
        <s v="Thursday"/>
        <s v="Tuesday"/>
        <s v="Wednesday"/>
      </sharedItems>
    </cacheField>
    <cacheField name="[Measures].[call count]" caption="call count" numFmtId="0" hierarchy="25" level="32767"/>
    <cacheField name="[Data__2].[Representative].[Representative]" caption="Representative" numFmtId="0" hierarchy="7" level="1">
      <sharedItems containsSemiMixedTypes="0" containsNonDate="0" containsString="0"/>
    </cacheField>
  </cacheFields>
  <cacheHierarchies count="3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ata__2].[Call number]" caption="Call number" attribute="1" defaultMemberUniqueName="[Data__2].[Call number].[All]" allUniqueName="[Data__2].[Call number].[All]" dimensionUniqueName="[Data__2]" displayFolder="" count="0" memberValueDatatype="130" unbalanced="0"/>
    <cacheHierarchy uniqueName="[Data__2].[Customer ID]" caption="Customer ID" attribute="1" defaultMemberUniqueName="[Data__2].[Customer ID].[All]" allUniqueName="[Data__2].[Customer ID].[All]" dimensionUniqueName="[Data__2]" displayFolder="" count="0" memberValueDatatype="130" unbalanced="0"/>
    <cacheHierarchy uniqueName="[Data__2].[Duration]" caption="Duration" attribute="1" defaultMemberUniqueName="[Data__2].[Duration].[All]" allUniqueName="[Data__2].[Duration].[All]" dimensionUniqueName="[Data__2]" displayFolder="" count="0" memberValueDatatype="20" unbalanced="0"/>
    <cacheHierarchy uniqueName="[Data__2].[Representative]" caption="Representative" attribute="1" defaultMemberUniqueName="[Data__2].[Representative].[All]" allUniqueName="[Data__2].[Representative].[All]" dimensionUniqueName="[Data__2]" displayFolder="" count="2" memberValueDatatype="130" unbalanced="0">
      <fieldsUsage count="2">
        <fieldUsage x="-1"/>
        <fieldUsage x="2"/>
      </fieldsUsage>
    </cacheHierarchy>
    <cacheHierarchy uniqueName="[Data__2].[Date of Call]" caption="Date of Call" attribute="1" time="1" defaultMemberUniqueName="[Data__2].[Date of Call].[All]" allUniqueName="[Data__2].[Date of Call].[All]" dimensionUniqueName="[Data__2]" displayFolder="" count="0" memberValueDatatype="7" unbalanced="0"/>
    <cacheHierarchy uniqueName="[Data__2].[Purchase Amount]" caption="Purchase Amount" attribute="1" defaultMemberUniqueName="[Data__2].[Purchase Amount].[All]" allUniqueName="[Data__2].[Purchase Amount].[All]" dimensionUniqueName="[Data__2]" displayFolder="" count="0" memberValueDatatype="20" unbalanced="0"/>
    <cacheHierarchy uniqueName="[Data__2].[Satisfaction Rating]" caption="Satisfaction Rating" attribute="1" defaultMemberUniqueName="[Data__2].[Satisfaction Rating].[All]" allUniqueName="[Data__2].[Satisfaction Rating].[All]" dimensionUniqueName="[Data__2]" displayFolder="" count="0" memberValueDatatype="5" unbalanced="0"/>
    <cacheHierarchy uniqueName="[Data__2].[FY]" caption="FY" attribute="1" defaultMemberUniqueName="[Data__2].[FY].[All]" allUniqueName="[Data__2].[FY].[All]" dimensionUniqueName="[Data__2]" displayFolder="" count="0" memberValueDatatype="20" unbalanced="0"/>
    <cacheHierarchy uniqueName="[Data__2].[Day of week]" caption="Day of week" attribute="1" defaultMemberUniqueName="[Data__2].[Day of week].[All]" allUniqueName="[Data__2].[Day of week].[All]" dimensionUniqueName="[Data__2]" displayFolder="" count="2" memberValueDatatype="130" unbalanced="0">
      <fieldsUsage count="2">
        <fieldUsage x="-1"/>
        <fieldUsage x="0"/>
      </fieldsUsage>
    </cacheHierarchy>
    <cacheHierarchy uniqueName="[Data__2].[Duration Bucket]" caption="Duration Bucket" attribute="1" defaultMemberUniqueName="[Data__2].[Duration Bucket].[All]" allUniqueName="[Data__2].[Duration Bucket].[All]" dimensionUniqueName="[Data__2]" displayFolder="" count="0" memberValueDatatype="130" unbalanced="0"/>
    <cacheHierarchy uniqueName="[Data__2].[Rating rounded]" caption="Rating rounded" attribute="1" defaultMemberUniqueName="[Data__2].[Rating rounded].[All]" allUniqueName="[Data__2].[Rating rounded].[All]" dimensionUniqueName="[Data__2]" displayFolder="" count="0" memberValueDatatype="20" unbalanced="0"/>
    <cacheHierarchy uniqueName="[Data__2].[employee tpe]" caption="employee tpe" attribute="1" defaultMemberUniqueName="[Data__2].[employee tpe].[All]" allUniqueName="[Data__2].[employee tpe].[All]" dimensionUniqueName="[Data__2]" displayFolder="" count="0" memberValueDatatype="130" unbalanced="0"/>
    <cacheHierarchy uniqueName="[Data__2].[Column2]" caption="Column2" attribute="1" defaultMemberUniqueName="[Data__2].[Column2].[All]" allUniqueName="[Data__2].[Column2].[All]" dimensionUniqueName="[Data__2]" displayFolder="" count="0" memberValueDatatype="130" unbalanced="0"/>
    <cacheHierarchy uniqueName="[Data__2].[Column3]" caption="Column3" attribute="1" defaultMemberUniqueName="[Data__2].[Column3].[All]" allUniqueName="[Data__2].[Column3].[All]" dimensionUniqueName="[Data__2]" displayFolder="" count="0" memberValueDatatype="130" unbalanced="0"/>
    <cacheHierarchy uniqueName="[Data__2].[Column4]" caption="Column4" attribute="1" defaultMemberUniqueName="[Data__2].[Column4].[All]" allUniqueName="[Data__2].[Column4].[All]" dimensionUniqueName="[Data__2]" displayFolder="" count="0" memberValueDatatype="130" unbalanced="0"/>
    <cacheHierarchy uniqueName="[Data__2].[Customer ID2]" caption="Customer ID2" attribute="1" defaultMemberUniqueName="[Data__2].[Customer ID2].[All]" allUniqueName="[Data__2].[Customer ID2].[All]" dimensionUniqueName="[Data__2]" displayFolder="" count="0" memberValueDatatype="130" unbalanced="0"/>
    <cacheHierarchy uniqueName="[Data__2].[Gedner]" caption="Gedner" attribute="1" defaultMemberUniqueName="[Data__2].[Gedner].[All]" allUniqueName="[Data__2].[Gedner].[All]" dimensionUniqueName="[Data__2]" displayFolder="" count="0" memberValueDatatype="130" unbalanced="0"/>
    <cacheHierarchy uniqueName="[Data__2].[Age]" caption="Age" attribute="1" defaultMemberUniqueName="[Data__2].[Age].[All]" allUniqueName="[Data__2].[Age].[All]" dimensionUniqueName="[Data__2]" displayFolder="" count="0" memberValueDatatype="20" unbalanced="0"/>
    <cacheHierarchy uniqueName="[Data__2].[City]" caption="City" attribute="1" defaultMemberUniqueName="[Data__2].[City].[All]" allUniqueName="[Data__2].[City].[All]" dimensionUniqueName="[Data__2]" displayFolder="" count="0" memberValueDatatype="130" unbalanced="0"/>
    <cacheHierarchy uniqueName="[Data__2].[Date of Call (Month)]" caption="Date of Call (Month)" attribute="1" defaultMemberUniqueName="[Data__2].[Date of Call (Month)].[All]" allUniqueName="[Data__2].[Date of Call (Month)].[All]" dimensionUniqueName="[Data__2]" displayFolder="" count="0" memberValueDatatype="130" unbalanced="0"/>
    <cacheHierarchy uniqueName="[Data__2].[Date of Call (Month Index)]" caption="Date of Call (Month Index)" attribute="1" defaultMemberUniqueName="[Data__2].[Date of Call (Month Index)].[All]" allUniqueName="[Data__2].[Date of Call (Month Index)].[All]" dimensionUniqueName="[Data__2]" displayFolder="" count="0" memberValueDatatype="20" unbalanced="0" hidden="1"/>
    <cacheHierarchy uniqueName="[Measures].[call count]" caption="call count" measure="1" displayFolder="" measureGroup="Data__2" count="0" oneField="1">
      <fieldsUsage count="1">
        <fieldUsage x="1"/>
      </fieldsUsage>
    </cacheHierarchy>
    <cacheHierarchy uniqueName="[Measures].[Total Amount]" caption="Total Amount" measure="1" displayFolder="" measureGroup="Data__2" count="0"/>
    <cacheHierarchy uniqueName="[Measures].[Total Duration]" caption="Total Duration" measure="1" displayFolder="" measureGroup="Data__2" count="0"/>
    <cacheHierarchy uniqueName="[Measures].[Avg.Rating]" caption="Avg.Rating" measure="1" displayFolder="" measureGroup="Data__2" count="0"/>
    <cacheHierarchy uniqueName="[Measures].[5*Calls]" caption="5*Calls" measure="1" displayFolder="" measureGroup="Data__2" count="0"/>
    <cacheHierarchy uniqueName="[Measures].[__XL_Count customers]" caption="__XL_Count customers" measure="1" displayFolder="" measureGroup="customers"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ies>
  <kpis count="0"/>
  <dimensions count="3">
    <dimension name="customers" uniqueName="[customers]" caption="customers"/>
    <dimension name="Data__2" uniqueName="[Data__2]" caption="Data__2"/>
    <dimension measure="1" name="Measures" uniqueName="[Measures]" caption="Measures"/>
  </dimensions>
  <measureGroups count="2">
    <measureGroup name="customers" caption="customers"/>
    <measureGroup name="Data__2" caption="Data_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65.823976736108" backgroundQuery="1" createdVersion="8" refreshedVersion="8" minRefreshableVersion="3" recordCount="0" supportSubquery="1" supportAdvancedDrill="1" xr:uid="{71CA0725-C237-4093-9A07-58636E6AB0AA}">
  <cacheSource type="external" connectionId="20"/>
  <cacheFields count="1">
    <cacheField name="[Data__2].[Representative].[Representative]" caption="Representative" numFmtId="0" hierarchy="7" level="1">
      <sharedItems count="1">
        <s v="R05"/>
      </sharedItems>
    </cacheField>
  </cacheFields>
  <cacheHierarchies count="3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ata__2].[Call number]" caption="Call number" attribute="1" defaultMemberUniqueName="[Data__2].[Call number].[All]" allUniqueName="[Data__2].[Call number].[All]" dimensionUniqueName="[Data__2]" displayFolder="" count="0" memberValueDatatype="130" unbalanced="0"/>
    <cacheHierarchy uniqueName="[Data__2].[Customer ID]" caption="Customer ID" attribute="1" defaultMemberUniqueName="[Data__2].[Customer ID].[All]" allUniqueName="[Data__2].[Customer ID].[All]" dimensionUniqueName="[Data__2]" displayFolder="" count="0" memberValueDatatype="130" unbalanced="0"/>
    <cacheHierarchy uniqueName="[Data__2].[Duration]" caption="Duration" attribute="1" defaultMemberUniqueName="[Data__2].[Duration].[All]" allUniqueName="[Data__2].[Duration].[All]" dimensionUniqueName="[Data__2]" displayFolder="" count="0" memberValueDatatype="20" unbalanced="0"/>
    <cacheHierarchy uniqueName="[Data__2].[Representative]" caption="Representative" attribute="1" defaultMemberUniqueName="[Data__2].[Representative].[All]" allUniqueName="[Data__2].[Representative].[All]" dimensionUniqueName="[Data__2]" displayFolder="" count="2" memberValueDatatype="130" unbalanced="0">
      <fieldsUsage count="2">
        <fieldUsage x="-1"/>
        <fieldUsage x="0"/>
      </fieldsUsage>
    </cacheHierarchy>
    <cacheHierarchy uniqueName="[Data__2].[Date of Call]" caption="Date of Call" attribute="1" time="1" defaultMemberUniqueName="[Data__2].[Date of Call].[All]" allUniqueName="[Data__2].[Date of Call].[All]" dimensionUniqueName="[Data__2]" displayFolder="" count="0" memberValueDatatype="7" unbalanced="0"/>
    <cacheHierarchy uniqueName="[Data__2].[Purchase Amount]" caption="Purchase Amount" attribute="1" defaultMemberUniqueName="[Data__2].[Purchase Amount].[All]" allUniqueName="[Data__2].[Purchase Amount].[All]" dimensionUniqueName="[Data__2]" displayFolder="" count="0" memberValueDatatype="20" unbalanced="0"/>
    <cacheHierarchy uniqueName="[Data__2].[Satisfaction Rating]" caption="Satisfaction Rating" attribute="1" defaultMemberUniqueName="[Data__2].[Satisfaction Rating].[All]" allUniqueName="[Data__2].[Satisfaction Rating].[All]" dimensionUniqueName="[Data__2]" displayFolder="" count="0" memberValueDatatype="5" unbalanced="0"/>
    <cacheHierarchy uniqueName="[Data__2].[FY]" caption="FY" attribute="1" defaultMemberUniqueName="[Data__2].[FY].[All]" allUniqueName="[Data__2].[FY].[All]" dimensionUniqueName="[Data__2]" displayFolder="" count="0" memberValueDatatype="20" unbalanced="0"/>
    <cacheHierarchy uniqueName="[Data__2].[Day of week]" caption="Day of week" attribute="1" defaultMemberUniqueName="[Data__2].[Day of week].[All]" allUniqueName="[Data__2].[Day of week].[All]" dimensionUniqueName="[Data__2]" displayFolder="" count="0" memberValueDatatype="130" unbalanced="0"/>
    <cacheHierarchy uniqueName="[Data__2].[Duration Bucket]" caption="Duration Bucket" attribute="1" defaultMemberUniqueName="[Data__2].[Duration Bucket].[All]" allUniqueName="[Data__2].[Duration Bucket].[All]" dimensionUniqueName="[Data__2]" displayFolder="" count="0" memberValueDatatype="130" unbalanced="0"/>
    <cacheHierarchy uniqueName="[Data__2].[Rating rounded]" caption="Rating rounded" attribute="1" defaultMemberUniqueName="[Data__2].[Rating rounded].[All]" allUniqueName="[Data__2].[Rating rounded].[All]" dimensionUniqueName="[Data__2]" displayFolder="" count="0" memberValueDatatype="20" unbalanced="0"/>
    <cacheHierarchy uniqueName="[Data__2].[employee tpe]" caption="employee tpe" attribute="1" defaultMemberUniqueName="[Data__2].[employee tpe].[All]" allUniqueName="[Data__2].[employee tpe].[All]" dimensionUniqueName="[Data__2]" displayFolder="" count="0" memberValueDatatype="130" unbalanced="0"/>
    <cacheHierarchy uniqueName="[Data__2].[Column2]" caption="Column2" attribute="1" defaultMemberUniqueName="[Data__2].[Column2].[All]" allUniqueName="[Data__2].[Column2].[All]" dimensionUniqueName="[Data__2]" displayFolder="" count="0" memberValueDatatype="130" unbalanced="0"/>
    <cacheHierarchy uniqueName="[Data__2].[Column3]" caption="Column3" attribute="1" defaultMemberUniqueName="[Data__2].[Column3].[All]" allUniqueName="[Data__2].[Column3].[All]" dimensionUniqueName="[Data__2]" displayFolder="" count="0" memberValueDatatype="130" unbalanced="0"/>
    <cacheHierarchy uniqueName="[Data__2].[Column4]" caption="Column4" attribute="1" defaultMemberUniqueName="[Data__2].[Column4].[All]" allUniqueName="[Data__2].[Column4].[All]" dimensionUniqueName="[Data__2]" displayFolder="" count="0" memberValueDatatype="130" unbalanced="0"/>
    <cacheHierarchy uniqueName="[Data__2].[Customer ID2]" caption="Customer ID2" attribute="1" defaultMemberUniqueName="[Data__2].[Customer ID2].[All]" allUniqueName="[Data__2].[Customer ID2].[All]" dimensionUniqueName="[Data__2]" displayFolder="" count="0" memberValueDatatype="130" unbalanced="0"/>
    <cacheHierarchy uniqueName="[Data__2].[Gedner]" caption="Gedner" attribute="1" defaultMemberUniqueName="[Data__2].[Gedner].[All]" allUniqueName="[Data__2].[Gedner].[All]" dimensionUniqueName="[Data__2]" displayFolder="" count="0" memberValueDatatype="130" unbalanced="0"/>
    <cacheHierarchy uniqueName="[Data__2].[Age]" caption="Age" attribute="1" defaultMemberUniqueName="[Data__2].[Age].[All]" allUniqueName="[Data__2].[Age].[All]" dimensionUniqueName="[Data__2]" displayFolder="" count="0" memberValueDatatype="20" unbalanced="0"/>
    <cacheHierarchy uniqueName="[Data__2].[City]" caption="City" attribute="1" defaultMemberUniqueName="[Data__2].[City].[All]" allUniqueName="[Data__2].[City].[All]" dimensionUniqueName="[Data__2]" displayFolder="" count="0" memberValueDatatype="130" unbalanced="0"/>
    <cacheHierarchy uniqueName="[Data__2].[Date of Call (Month)]" caption="Date of Call (Month)" attribute="1" defaultMemberUniqueName="[Data__2].[Date of Call (Month)].[All]" allUniqueName="[Data__2].[Date of Call (Month)].[All]" dimensionUniqueName="[Data__2]" displayFolder="" count="0" memberValueDatatype="130" unbalanced="0"/>
    <cacheHierarchy uniqueName="[Data__2].[Date of Call (Month Index)]" caption="Date of Call (Month Index)" attribute="1" defaultMemberUniqueName="[Data__2].[Date of Call (Month Index)].[All]" allUniqueName="[Data__2].[Date of Call (Month Index)].[All]" dimensionUniqueName="[Data__2]" displayFolder="" count="0" memberValueDatatype="20" unbalanced="0" hidden="1"/>
    <cacheHierarchy uniqueName="[Measures].[call count]" caption="call count" measure="1" displayFolder="" measureGroup="Data__2" count="0"/>
    <cacheHierarchy uniqueName="[Measures].[Total Amount]" caption="Total Amount" measure="1" displayFolder="" measureGroup="Data__2" count="0"/>
    <cacheHierarchy uniqueName="[Measures].[Total Duration]" caption="Total Duration" measure="1" displayFolder="" measureGroup="Data__2" count="0"/>
    <cacheHierarchy uniqueName="[Measures].[Avg.Rating]" caption="Avg.Rating" measure="1" displayFolder="" measureGroup="Data__2" count="0"/>
    <cacheHierarchy uniqueName="[Measures].[5*Calls]" caption="5*Calls" measure="1" displayFolder="" measureGroup="Data__2" count="0"/>
    <cacheHierarchy uniqueName="[Measures].[__XL_Count customers]" caption="__XL_Count customers" measure="1" displayFolder="" measureGroup="customers"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ies>
  <kpis count="0"/>
  <dimensions count="3">
    <dimension name="customers" uniqueName="[customers]" caption="customers"/>
    <dimension name="Data__2" uniqueName="[Data__2]" caption="Data__2"/>
    <dimension measure="1" name="Measures" uniqueName="[Measures]" caption="Measures"/>
  </dimensions>
  <measureGroups count="2">
    <measureGroup name="customers" caption="customers"/>
    <measureGroup name="Data__2" caption="Data_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65.823977314816" backgroundQuery="1" createdVersion="8" refreshedVersion="8" minRefreshableVersion="3" recordCount="0" supportSubquery="1" supportAdvancedDrill="1" xr:uid="{B546463B-7196-42F0-98F6-E2A1715286B7}">
  <cacheSource type="external" connectionId="20"/>
  <cacheFields count="3">
    <cacheField name="[Data__2].[Rating rounded].[Rating rounded]" caption="Rating rounded" numFmtId="0" hierarchy="14"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Data__2].[Rating rounded].&amp;[2]"/>
            <x15:cachedUniqueName index="1" name="[Data__2].[Rating rounded].&amp;[3]"/>
            <x15:cachedUniqueName index="2" name="[Data__2].[Rating rounded].&amp;[4]"/>
            <x15:cachedUniqueName index="3" name="[Data__2].[Rating rounded].&amp;[5]"/>
          </x15:cachedUniqueNames>
        </ext>
      </extLst>
    </cacheField>
    <cacheField name="[Measures].[call count]" caption="call count" numFmtId="0" hierarchy="25" level="32767"/>
    <cacheField name="[Data__2].[Representative].[Representative]" caption="Representative" numFmtId="0" hierarchy="7" level="1">
      <sharedItems containsSemiMixedTypes="0" containsNonDate="0" containsString="0"/>
    </cacheField>
  </cacheFields>
  <cacheHierarchies count="3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ata__2].[Call number]" caption="Call number" attribute="1" defaultMemberUniqueName="[Data__2].[Call number].[All]" allUniqueName="[Data__2].[Call number].[All]" dimensionUniqueName="[Data__2]" displayFolder="" count="0" memberValueDatatype="130" unbalanced="0"/>
    <cacheHierarchy uniqueName="[Data__2].[Customer ID]" caption="Customer ID" attribute="1" defaultMemberUniqueName="[Data__2].[Customer ID].[All]" allUniqueName="[Data__2].[Customer ID].[All]" dimensionUniqueName="[Data__2]" displayFolder="" count="0" memberValueDatatype="130" unbalanced="0"/>
    <cacheHierarchy uniqueName="[Data__2].[Duration]" caption="Duration" attribute="1" defaultMemberUniqueName="[Data__2].[Duration].[All]" allUniqueName="[Data__2].[Duration].[All]" dimensionUniqueName="[Data__2]" displayFolder="" count="0" memberValueDatatype="20" unbalanced="0"/>
    <cacheHierarchy uniqueName="[Data__2].[Representative]" caption="Representative" attribute="1" defaultMemberUniqueName="[Data__2].[Representative].[All]" allUniqueName="[Data__2].[Representative].[All]" dimensionUniqueName="[Data__2]" displayFolder="" count="2" memberValueDatatype="130" unbalanced="0">
      <fieldsUsage count="2">
        <fieldUsage x="-1"/>
        <fieldUsage x="2"/>
      </fieldsUsage>
    </cacheHierarchy>
    <cacheHierarchy uniqueName="[Data__2].[Date of Call]" caption="Date of Call" attribute="1" time="1" defaultMemberUniqueName="[Data__2].[Date of Call].[All]" allUniqueName="[Data__2].[Date of Call].[All]" dimensionUniqueName="[Data__2]" displayFolder="" count="0" memberValueDatatype="7" unbalanced="0"/>
    <cacheHierarchy uniqueName="[Data__2].[Purchase Amount]" caption="Purchase Amount" attribute="1" defaultMemberUniqueName="[Data__2].[Purchase Amount].[All]" allUniqueName="[Data__2].[Purchase Amount].[All]" dimensionUniqueName="[Data__2]" displayFolder="" count="0" memberValueDatatype="20" unbalanced="0"/>
    <cacheHierarchy uniqueName="[Data__2].[Satisfaction Rating]" caption="Satisfaction Rating" attribute="1" defaultMemberUniqueName="[Data__2].[Satisfaction Rating].[All]" allUniqueName="[Data__2].[Satisfaction Rating].[All]" dimensionUniqueName="[Data__2]" displayFolder="" count="0" memberValueDatatype="5" unbalanced="0"/>
    <cacheHierarchy uniqueName="[Data__2].[FY]" caption="FY" attribute="1" defaultMemberUniqueName="[Data__2].[FY].[All]" allUniqueName="[Data__2].[FY].[All]" dimensionUniqueName="[Data__2]" displayFolder="" count="0" memberValueDatatype="20" unbalanced="0"/>
    <cacheHierarchy uniqueName="[Data__2].[Day of week]" caption="Day of week" attribute="1" defaultMemberUniqueName="[Data__2].[Day of week].[All]" allUniqueName="[Data__2].[Day of week].[All]" dimensionUniqueName="[Data__2]" displayFolder="" count="0" memberValueDatatype="130" unbalanced="0"/>
    <cacheHierarchy uniqueName="[Data__2].[Duration Bucket]" caption="Duration Bucket" attribute="1" defaultMemberUniqueName="[Data__2].[Duration Bucket].[All]" allUniqueName="[Data__2].[Duration Bucket].[All]" dimensionUniqueName="[Data__2]" displayFolder="" count="0" memberValueDatatype="130" unbalanced="0"/>
    <cacheHierarchy uniqueName="[Data__2].[Rating rounded]" caption="Rating rounded" attribute="1" defaultMemberUniqueName="[Data__2].[Rating rounded].[All]" allUniqueName="[Data__2].[Rating rounded].[All]" dimensionUniqueName="[Data__2]" displayFolder="" count="2" memberValueDatatype="20" unbalanced="0">
      <fieldsUsage count="2">
        <fieldUsage x="-1"/>
        <fieldUsage x="0"/>
      </fieldsUsage>
    </cacheHierarchy>
    <cacheHierarchy uniqueName="[Data__2].[employee tpe]" caption="employee tpe" attribute="1" defaultMemberUniqueName="[Data__2].[employee tpe].[All]" allUniqueName="[Data__2].[employee tpe].[All]" dimensionUniqueName="[Data__2]" displayFolder="" count="0" memberValueDatatype="130" unbalanced="0"/>
    <cacheHierarchy uniqueName="[Data__2].[Column2]" caption="Column2" attribute="1" defaultMemberUniqueName="[Data__2].[Column2].[All]" allUniqueName="[Data__2].[Column2].[All]" dimensionUniqueName="[Data__2]" displayFolder="" count="0" memberValueDatatype="130" unbalanced="0"/>
    <cacheHierarchy uniqueName="[Data__2].[Column3]" caption="Column3" attribute="1" defaultMemberUniqueName="[Data__2].[Column3].[All]" allUniqueName="[Data__2].[Column3].[All]" dimensionUniqueName="[Data__2]" displayFolder="" count="0" memberValueDatatype="130" unbalanced="0"/>
    <cacheHierarchy uniqueName="[Data__2].[Column4]" caption="Column4" attribute="1" defaultMemberUniqueName="[Data__2].[Column4].[All]" allUniqueName="[Data__2].[Column4].[All]" dimensionUniqueName="[Data__2]" displayFolder="" count="0" memberValueDatatype="130" unbalanced="0"/>
    <cacheHierarchy uniqueName="[Data__2].[Customer ID2]" caption="Customer ID2" attribute="1" defaultMemberUniqueName="[Data__2].[Customer ID2].[All]" allUniqueName="[Data__2].[Customer ID2].[All]" dimensionUniqueName="[Data__2]" displayFolder="" count="0" memberValueDatatype="130" unbalanced="0"/>
    <cacheHierarchy uniqueName="[Data__2].[Gedner]" caption="Gedner" attribute="1" defaultMemberUniqueName="[Data__2].[Gedner].[All]" allUniqueName="[Data__2].[Gedner].[All]" dimensionUniqueName="[Data__2]" displayFolder="" count="0" memberValueDatatype="130" unbalanced="0"/>
    <cacheHierarchy uniqueName="[Data__2].[Age]" caption="Age" attribute="1" defaultMemberUniqueName="[Data__2].[Age].[All]" allUniqueName="[Data__2].[Age].[All]" dimensionUniqueName="[Data__2]" displayFolder="" count="0" memberValueDatatype="20" unbalanced="0"/>
    <cacheHierarchy uniqueName="[Data__2].[City]" caption="City" attribute="1" defaultMemberUniqueName="[Data__2].[City].[All]" allUniqueName="[Data__2].[City].[All]" dimensionUniqueName="[Data__2]" displayFolder="" count="0" memberValueDatatype="130" unbalanced="0"/>
    <cacheHierarchy uniqueName="[Data__2].[Date of Call (Month)]" caption="Date of Call (Month)" attribute="1" defaultMemberUniqueName="[Data__2].[Date of Call (Month)].[All]" allUniqueName="[Data__2].[Date of Call (Month)].[All]" dimensionUniqueName="[Data__2]" displayFolder="" count="0" memberValueDatatype="130" unbalanced="0"/>
    <cacheHierarchy uniqueName="[Data__2].[Date of Call (Month Index)]" caption="Date of Call (Month Index)" attribute="1" defaultMemberUniqueName="[Data__2].[Date of Call (Month Index)].[All]" allUniqueName="[Data__2].[Date of Call (Month Index)].[All]" dimensionUniqueName="[Data__2]" displayFolder="" count="0" memberValueDatatype="20" unbalanced="0" hidden="1"/>
    <cacheHierarchy uniqueName="[Measures].[call count]" caption="call count" measure="1" displayFolder="" measureGroup="Data__2" count="0" oneField="1">
      <fieldsUsage count="1">
        <fieldUsage x="1"/>
      </fieldsUsage>
    </cacheHierarchy>
    <cacheHierarchy uniqueName="[Measures].[Total Amount]" caption="Total Amount" measure="1" displayFolder="" measureGroup="Data__2" count="0"/>
    <cacheHierarchy uniqueName="[Measures].[Total Duration]" caption="Total Duration" measure="1" displayFolder="" measureGroup="Data__2" count="0"/>
    <cacheHierarchy uniqueName="[Measures].[Avg.Rating]" caption="Avg.Rating" measure="1" displayFolder="" measureGroup="Data__2" count="0"/>
    <cacheHierarchy uniqueName="[Measures].[5*Calls]" caption="5*Calls" measure="1" displayFolder="" measureGroup="Data__2" count="0"/>
    <cacheHierarchy uniqueName="[Measures].[__XL_Count customers]" caption="__XL_Count customers" measure="1" displayFolder="" measureGroup="customers"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ies>
  <kpis count="0"/>
  <dimensions count="3">
    <dimension name="customers" uniqueName="[customers]" caption="customers"/>
    <dimension name="Data__2" uniqueName="[Data__2]" caption="Data__2"/>
    <dimension measure="1" name="Measures" uniqueName="[Measures]" caption="Measures"/>
  </dimensions>
  <measureGroups count="2">
    <measureGroup name="customers" caption="customers"/>
    <measureGroup name="Data__2" caption="Data_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65.823978009263" backgroundQuery="1" createdVersion="8" refreshedVersion="8" minRefreshableVersion="3" recordCount="0" supportSubquery="1" supportAdvancedDrill="1" xr:uid="{46F6D7FD-F5E0-48E2-BFA5-1CD752489179}">
  <cacheSource type="external" connectionId="20"/>
  <cacheFields count="4">
    <cacheField name="[customers].[City].[City]" caption="City" numFmtId="0" hierarchy="3" level="1">
      <sharedItems count="3">
        <s v="Cincinnati"/>
        <s v="Cleveland"/>
        <s v="Columbus"/>
      </sharedItems>
    </cacheField>
    <cacheField name="[customers].[Customer ID].[Customer ID]" caption="Customer ID" numFmtId="0" level="1">
      <sharedItems count="15">
        <s v="C0003"/>
        <s v="C0004"/>
        <s v="C0011"/>
        <s v="C0012"/>
        <s v="C0002"/>
        <s v="C0007"/>
        <s v="C0008"/>
        <s v="C0010"/>
        <s v="C0013"/>
        <s v="C0015"/>
        <s v="C0001"/>
        <s v="C0005"/>
        <s v="C0006"/>
        <s v="C0009"/>
        <s v="C0014"/>
      </sharedItems>
    </cacheField>
    <cacheField name="[Data__2].[Representative].[Representative]" caption="Representative" numFmtId="0" hierarchy="7" level="1">
      <sharedItems count="1">
        <s v="R05"/>
      </sharedItems>
    </cacheField>
    <cacheField name="[Measures].[Total Amount]" caption="Total Amount" numFmtId="0" hierarchy="26" level="32767"/>
  </cacheFields>
  <cacheHierarchies count="33">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Data__2].[Call number]" caption="Call number" attribute="1" defaultMemberUniqueName="[Data__2].[Call number].[All]" allUniqueName="[Data__2].[Call number].[All]" dimensionUniqueName="[Data__2]" displayFolder="" count="0" memberValueDatatype="130" unbalanced="0"/>
    <cacheHierarchy uniqueName="[Data__2].[Customer ID]" caption="Customer ID" attribute="1" defaultMemberUniqueName="[Data__2].[Customer ID].[All]" allUniqueName="[Data__2].[Customer ID].[All]" dimensionUniqueName="[Data__2]" displayFolder="" count="0" memberValueDatatype="130" unbalanced="0"/>
    <cacheHierarchy uniqueName="[Data__2].[Duration]" caption="Duration" attribute="1" defaultMemberUniqueName="[Data__2].[Duration].[All]" allUniqueName="[Data__2].[Duration].[All]" dimensionUniqueName="[Data__2]" displayFolder="" count="0" memberValueDatatype="20" unbalanced="0"/>
    <cacheHierarchy uniqueName="[Data__2].[Representative]" caption="Representative" attribute="1" defaultMemberUniqueName="[Data__2].[Representative].[All]" allUniqueName="[Data__2].[Representative].[All]" dimensionUniqueName="[Data__2]" displayFolder="" count="2" memberValueDatatype="130" unbalanced="0">
      <fieldsUsage count="2">
        <fieldUsage x="-1"/>
        <fieldUsage x="2"/>
      </fieldsUsage>
    </cacheHierarchy>
    <cacheHierarchy uniqueName="[Data__2].[Date of Call]" caption="Date of Call" attribute="1" time="1" defaultMemberUniqueName="[Data__2].[Date of Call].[All]" allUniqueName="[Data__2].[Date of Call].[All]" dimensionUniqueName="[Data__2]" displayFolder="" count="0" memberValueDatatype="7" unbalanced="0"/>
    <cacheHierarchy uniqueName="[Data__2].[Purchase Amount]" caption="Purchase Amount" attribute="1" defaultMemberUniqueName="[Data__2].[Purchase Amount].[All]" allUniqueName="[Data__2].[Purchase Amount].[All]" dimensionUniqueName="[Data__2]" displayFolder="" count="0" memberValueDatatype="20" unbalanced="0"/>
    <cacheHierarchy uniqueName="[Data__2].[Satisfaction Rating]" caption="Satisfaction Rating" attribute="1" defaultMemberUniqueName="[Data__2].[Satisfaction Rating].[All]" allUniqueName="[Data__2].[Satisfaction Rating].[All]" dimensionUniqueName="[Data__2]" displayFolder="" count="0" memberValueDatatype="5" unbalanced="0"/>
    <cacheHierarchy uniqueName="[Data__2].[FY]" caption="FY" attribute="1" defaultMemberUniqueName="[Data__2].[FY].[All]" allUniqueName="[Data__2].[FY].[All]" dimensionUniqueName="[Data__2]" displayFolder="" count="0" memberValueDatatype="20" unbalanced="0"/>
    <cacheHierarchy uniqueName="[Data__2].[Day of week]" caption="Day of week" attribute="1" defaultMemberUniqueName="[Data__2].[Day of week].[All]" allUniqueName="[Data__2].[Day of week].[All]" dimensionUniqueName="[Data__2]" displayFolder="" count="0" memberValueDatatype="130" unbalanced="0"/>
    <cacheHierarchy uniqueName="[Data__2].[Duration Bucket]" caption="Duration Bucket" attribute="1" defaultMemberUniqueName="[Data__2].[Duration Bucket].[All]" allUniqueName="[Data__2].[Duration Bucket].[All]" dimensionUniqueName="[Data__2]" displayFolder="" count="0" memberValueDatatype="130" unbalanced="0"/>
    <cacheHierarchy uniqueName="[Data__2].[Rating rounded]" caption="Rating rounded" attribute="1" defaultMemberUniqueName="[Data__2].[Rating rounded].[All]" allUniqueName="[Data__2].[Rating rounded].[All]" dimensionUniqueName="[Data__2]" displayFolder="" count="0" memberValueDatatype="20" unbalanced="0"/>
    <cacheHierarchy uniqueName="[Data__2].[employee tpe]" caption="employee tpe" attribute="1" defaultMemberUniqueName="[Data__2].[employee tpe].[All]" allUniqueName="[Data__2].[employee tpe].[All]" dimensionUniqueName="[Data__2]" displayFolder="" count="0" memberValueDatatype="130" unbalanced="0"/>
    <cacheHierarchy uniqueName="[Data__2].[Column2]" caption="Column2" attribute="1" defaultMemberUniqueName="[Data__2].[Column2].[All]" allUniqueName="[Data__2].[Column2].[All]" dimensionUniqueName="[Data__2]" displayFolder="" count="0" memberValueDatatype="130" unbalanced="0"/>
    <cacheHierarchy uniqueName="[Data__2].[Column3]" caption="Column3" attribute="1" defaultMemberUniqueName="[Data__2].[Column3].[All]" allUniqueName="[Data__2].[Column3].[All]" dimensionUniqueName="[Data__2]" displayFolder="" count="0" memberValueDatatype="130" unbalanced="0"/>
    <cacheHierarchy uniqueName="[Data__2].[Column4]" caption="Column4" attribute="1" defaultMemberUniqueName="[Data__2].[Column4].[All]" allUniqueName="[Data__2].[Column4].[All]" dimensionUniqueName="[Data__2]" displayFolder="" count="0" memberValueDatatype="130" unbalanced="0"/>
    <cacheHierarchy uniqueName="[Data__2].[Customer ID2]" caption="Customer ID2" attribute="1" defaultMemberUniqueName="[Data__2].[Customer ID2].[All]" allUniqueName="[Data__2].[Customer ID2].[All]" dimensionUniqueName="[Data__2]" displayFolder="" count="0" memberValueDatatype="130" unbalanced="0"/>
    <cacheHierarchy uniqueName="[Data__2].[Gedner]" caption="Gedner" attribute="1" defaultMemberUniqueName="[Data__2].[Gedner].[All]" allUniqueName="[Data__2].[Gedner].[All]" dimensionUniqueName="[Data__2]" displayFolder="" count="0" memberValueDatatype="130" unbalanced="0"/>
    <cacheHierarchy uniqueName="[Data__2].[Age]" caption="Age" attribute="1" defaultMemberUniqueName="[Data__2].[Age].[All]" allUniqueName="[Data__2].[Age].[All]" dimensionUniqueName="[Data__2]" displayFolder="" count="0" memberValueDatatype="20" unbalanced="0"/>
    <cacheHierarchy uniqueName="[Data__2].[City]" caption="City" attribute="1" defaultMemberUniqueName="[Data__2].[City].[All]" allUniqueName="[Data__2].[City].[All]" dimensionUniqueName="[Data__2]" displayFolder="" count="0" memberValueDatatype="130" unbalanced="0"/>
    <cacheHierarchy uniqueName="[Data__2].[Date of Call (Month)]" caption="Date of Call (Month)" attribute="1" defaultMemberUniqueName="[Data__2].[Date of Call (Month)].[All]" allUniqueName="[Data__2].[Date of Call (Month)].[All]" dimensionUniqueName="[Data__2]" displayFolder="" count="0" memberValueDatatype="130" unbalanced="0"/>
    <cacheHierarchy uniqueName="[Data__2].[Date of Call (Month Index)]" caption="Date of Call (Month Index)" attribute="1" defaultMemberUniqueName="[Data__2].[Date of Call (Month Index)].[All]" allUniqueName="[Data__2].[Date of Call (Month Index)].[All]" dimensionUniqueName="[Data__2]" displayFolder="" count="0" memberValueDatatype="20" unbalanced="0" hidden="1"/>
    <cacheHierarchy uniqueName="[Measures].[call count]" caption="call count" measure="1" displayFolder="" measureGroup="Data__2" count="0"/>
    <cacheHierarchy uniqueName="[Measures].[Total Amount]" caption="Total Amount" measure="1" displayFolder="" measureGroup="Data__2" count="0" oneField="1">
      <fieldsUsage count="1">
        <fieldUsage x="3"/>
      </fieldsUsage>
    </cacheHierarchy>
    <cacheHierarchy uniqueName="[Measures].[Total Duration]" caption="Total Duration" measure="1" displayFolder="" measureGroup="Data__2" count="0"/>
    <cacheHierarchy uniqueName="[Measures].[Avg.Rating]" caption="Avg.Rating" measure="1" displayFolder="" measureGroup="Data__2" count="0"/>
    <cacheHierarchy uniqueName="[Measures].[5*Calls]" caption="5*Calls" measure="1" displayFolder="" measureGroup="Data__2" count="0"/>
    <cacheHierarchy uniqueName="[Measures].[__XL_Count customers]" caption="__XL_Count customers" measure="1" displayFolder="" measureGroup="customers"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ies>
  <kpis count="0"/>
  <dimensions count="3">
    <dimension name="customers" uniqueName="[customers]" caption="customers"/>
    <dimension name="Data__2" uniqueName="[Data__2]" caption="Data__2"/>
    <dimension measure="1" name="Measures" uniqueName="[Measures]" caption="Measures"/>
  </dimensions>
  <measureGroups count="2">
    <measureGroup name="customers" caption="customers"/>
    <measureGroup name="Data__2" caption="Data_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Y" refreshedDate="46265.494341435187" backgroundQuery="1" createdVersion="3" refreshedVersion="8" minRefreshableVersion="3" recordCount="0" supportSubquery="1" supportAdvancedDrill="1" xr:uid="{46C2B93F-61BA-4CA6-A01B-96E993398363}">
  <cacheSource type="external" connectionId="20">
    <extLst>
      <ext xmlns:x14="http://schemas.microsoft.com/office/spreadsheetml/2009/9/main" uri="{F057638F-6D5F-4e77-A914-E7F072B9BCA8}">
        <x14:sourceConnection name="ThisWorkbookDataModel"/>
      </ext>
    </extLst>
  </cacheSource>
  <cacheFields count="0"/>
  <cacheHierarchies count="3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ata__2].[Call number]" caption="Call number" attribute="1" defaultMemberUniqueName="[Data__2].[Call number].[All]" allUniqueName="[Data__2].[Call number].[All]" dimensionUniqueName="[Data__2]" displayFolder="" count="0" memberValueDatatype="130" unbalanced="0"/>
    <cacheHierarchy uniqueName="[Data__2].[Customer ID]" caption="Customer ID" attribute="1" defaultMemberUniqueName="[Data__2].[Customer ID].[All]" allUniqueName="[Data__2].[Customer ID].[All]" dimensionUniqueName="[Data__2]" displayFolder="" count="0" memberValueDatatype="130" unbalanced="0"/>
    <cacheHierarchy uniqueName="[Data__2].[Duration]" caption="Duration" attribute="1" defaultMemberUniqueName="[Data__2].[Duration].[All]" allUniqueName="[Data__2].[Duration].[All]" dimensionUniqueName="[Data__2]" displayFolder="" count="0" memberValueDatatype="20" unbalanced="0"/>
    <cacheHierarchy uniqueName="[Data__2].[Representative]" caption="Representative" attribute="1" defaultMemberUniqueName="[Data__2].[Representative].[All]" allUniqueName="[Data__2].[Representative].[All]" dimensionUniqueName="[Data__2]" displayFolder="" count="2" memberValueDatatype="130" unbalanced="0"/>
    <cacheHierarchy uniqueName="[Data__2].[Date of Call]" caption="Date of Call" attribute="1" time="1" defaultMemberUniqueName="[Data__2].[Date of Call].[All]" allUniqueName="[Data__2].[Date of Call].[All]" dimensionUniqueName="[Data__2]" displayFolder="" count="0" memberValueDatatype="7" unbalanced="0"/>
    <cacheHierarchy uniqueName="[Data__2].[Purchase Amount]" caption="Purchase Amount" attribute="1" defaultMemberUniqueName="[Data__2].[Purchase Amount].[All]" allUniqueName="[Data__2].[Purchase Amount].[All]" dimensionUniqueName="[Data__2]" displayFolder="" count="0" memberValueDatatype="20" unbalanced="0"/>
    <cacheHierarchy uniqueName="[Data__2].[Satisfaction Rating]" caption="Satisfaction Rating" attribute="1" defaultMemberUniqueName="[Data__2].[Satisfaction Rating].[All]" allUniqueName="[Data__2].[Satisfaction Rating].[All]" dimensionUniqueName="[Data__2]" displayFolder="" count="0" memberValueDatatype="5" unbalanced="0"/>
    <cacheHierarchy uniqueName="[Data__2].[FY]" caption="FY" attribute="1" defaultMemberUniqueName="[Data__2].[FY].[All]" allUniqueName="[Data__2].[FY].[All]" dimensionUniqueName="[Data__2]" displayFolder="" count="0" memberValueDatatype="20" unbalanced="0"/>
    <cacheHierarchy uniqueName="[Data__2].[Day of week]" caption="Day of week" attribute="1" defaultMemberUniqueName="[Data__2].[Day of week].[All]" allUniqueName="[Data__2].[Day of week].[All]" dimensionUniqueName="[Data__2]" displayFolder="" count="0" memberValueDatatype="130" unbalanced="0"/>
    <cacheHierarchy uniqueName="[Data__2].[Duration Bucket]" caption="Duration Bucket" attribute="1" defaultMemberUniqueName="[Data__2].[Duration Bucket].[All]" allUniqueName="[Data__2].[Duration Bucket].[All]" dimensionUniqueName="[Data__2]" displayFolder="" count="0" memberValueDatatype="130" unbalanced="0"/>
    <cacheHierarchy uniqueName="[Data__2].[Rating rounded]" caption="Rating rounded" attribute="1" defaultMemberUniqueName="[Data__2].[Rating rounded].[All]" allUniqueName="[Data__2].[Rating rounded].[All]" dimensionUniqueName="[Data__2]" displayFolder="" count="0" memberValueDatatype="20" unbalanced="0"/>
    <cacheHierarchy uniqueName="[Data__2].[employee tpe]" caption="employee tpe" attribute="1" defaultMemberUniqueName="[Data__2].[employee tpe].[All]" allUniqueName="[Data__2].[employee tpe].[All]" dimensionUniqueName="[Data__2]" displayFolder="" count="0" memberValueDatatype="130" unbalanced="0"/>
    <cacheHierarchy uniqueName="[Data__2].[Column2]" caption="Column2" attribute="1" defaultMemberUniqueName="[Data__2].[Column2].[All]" allUniqueName="[Data__2].[Column2].[All]" dimensionUniqueName="[Data__2]" displayFolder="" count="0" memberValueDatatype="130" unbalanced="0"/>
    <cacheHierarchy uniqueName="[Data__2].[Column3]" caption="Column3" attribute="1" defaultMemberUniqueName="[Data__2].[Column3].[All]" allUniqueName="[Data__2].[Column3].[All]" dimensionUniqueName="[Data__2]" displayFolder="" count="0" memberValueDatatype="130" unbalanced="0"/>
    <cacheHierarchy uniqueName="[Data__2].[Column4]" caption="Column4" attribute="1" defaultMemberUniqueName="[Data__2].[Column4].[All]" allUniqueName="[Data__2].[Column4].[All]" dimensionUniqueName="[Data__2]" displayFolder="" count="0" memberValueDatatype="130" unbalanced="0"/>
    <cacheHierarchy uniqueName="[Data__2].[Customer ID2]" caption="Customer ID2" attribute="1" defaultMemberUniqueName="[Data__2].[Customer ID2].[All]" allUniqueName="[Data__2].[Customer ID2].[All]" dimensionUniqueName="[Data__2]" displayFolder="" count="0" memberValueDatatype="130" unbalanced="0"/>
    <cacheHierarchy uniqueName="[Data__2].[Gedner]" caption="Gedner" attribute="1" defaultMemberUniqueName="[Data__2].[Gedner].[All]" allUniqueName="[Data__2].[Gedner].[All]" dimensionUniqueName="[Data__2]" displayFolder="" count="0" memberValueDatatype="130" unbalanced="0"/>
    <cacheHierarchy uniqueName="[Data__2].[Age]" caption="Age" attribute="1" defaultMemberUniqueName="[Data__2].[Age].[All]" allUniqueName="[Data__2].[Age].[All]" dimensionUniqueName="[Data__2]" displayFolder="" count="0" memberValueDatatype="20" unbalanced="0"/>
    <cacheHierarchy uniqueName="[Data__2].[City]" caption="City" attribute="1" defaultMemberUniqueName="[Data__2].[City].[All]" allUniqueName="[Data__2].[City].[All]" dimensionUniqueName="[Data__2]" displayFolder="" count="0" memberValueDatatype="130" unbalanced="0"/>
    <cacheHierarchy uniqueName="[Data__2].[Date of Call (Month)]" caption="Date of Call (Month)" attribute="1" defaultMemberUniqueName="[Data__2].[Date of Call (Month)].[All]" allUniqueName="[Data__2].[Date of Call (Month)].[All]" dimensionUniqueName="[Data__2]" displayFolder="" count="0" memberValueDatatype="130" unbalanced="0"/>
    <cacheHierarchy uniqueName="[Data__2].[Date of Call (Month Index)]" caption="Date of Call (Month Index)" attribute="1" defaultMemberUniqueName="[Data__2].[Date of Call (Month Index)].[All]" allUniqueName="[Data__2].[Date of Call (Month Index)].[All]" dimensionUniqueName="[Data__2]" displayFolder="" count="0" memberValueDatatype="20" unbalanced="0" hidden="1"/>
    <cacheHierarchy uniqueName="[Measures].[call count]" caption="call count" measure="1" displayFolder="" measureGroup="Data__2" count="0"/>
    <cacheHierarchy uniqueName="[Measures].[Total Amount]" caption="Total Amount" measure="1" displayFolder="" measureGroup="Data__2" count="0"/>
    <cacheHierarchy uniqueName="[Measures].[Total Duration]" caption="Total Duration" measure="1" displayFolder="" measureGroup="Data__2" count="0"/>
    <cacheHierarchy uniqueName="[Measures].[Avg.Rating]" caption="Avg.Rating" measure="1" displayFolder="" measureGroup="Data__2" count="0"/>
    <cacheHierarchy uniqueName="[Measures].[5*Calls]" caption="5*Calls" measure="1" displayFolder="" measureGroup="Data__2" count="0"/>
    <cacheHierarchy uniqueName="[Measures].[__XL_Count customers]" caption="__XL_Count customers" measure="1" displayFolder="" measureGroup="customers"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8513944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m/>
    <m/>
    <m/>
    <m/>
    <s v="C0001"/>
    <s v="Male"/>
    <n v="41"/>
    <s v="Columbus"/>
  </r>
  <r>
    <s v="Call_7272"/>
    <x v="1"/>
    <x v="1"/>
    <x v="0"/>
    <x v="0"/>
    <n v="135"/>
    <n v="2.9"/>
    <x v="0"/>
    <x v="0"/>
    <x v="0"/>
    <x v="1"/>
    <m/>
    <m/>
    <m/>
    <m/>
    <s v="C0002"/>
    <s v="Male"/>
    <n v="31"/>
    <s v="Cleveland"/>
  </r>
  <r>
    <s v="Call_7273"/>
    <x v="2"/>
    <x v="2"/>
    <x v="1"/>
    <x v="0"/>
    <n v="66"/>
    <n v="4.7"/>
    <x v="0"/>
    <x v="0"/>
    <x v="0"/>
    <x v="0"/>
    <m/>
    <m/>
    <m/>
    <m/>
    <s v="C0003"/>
    <s v="Male"/>
    <n v="26"/>
    <s v="Cincinnati"/>
  </r>
  <r>
    <s v="Call_7274"/>
    <x v="3"/>
    <x v="1"/>
    <x v="1"/>
    <x v="0"/>
    <n v="22"/>
    <n v="2.9"/>
    <x v="0"/>
    <x v="0"/>
    <x v="0"/>
    <x v="1"/>
    <m/>
    <m/>
    <m/>
    <m/>
    <s v="C0004"/>
    <s v="Male"/>
    <n v="36"/>
    <s v="Cincinnati"/>
  </r>
  <r>
    <s v="Call_7275"/>
    <x v="4"/>
    <x v="3"/>
    <x v="2"/>
    <x v="1"/>
    <n v="31"/>
    <n v="2.8"/>
    <x v="0"/>
    <x v="1"/>
    <x v="1"/>
    <x v="1"/>
    <m/>
    <m/>
    <m/>
    <m/>
    <s v="C0005"/>
    <s v="Male"/>
    <n v="37"/>
    <s v="Columbus"/>
  </r>
  <r>
    <s v="Call_7276"/>
    <x v="4"/>
    <x v="4"/>
    <x v="1"/>
    <x v="2"/>
    <n v="135"/>
    <n v="4.8"/>
    <x v="0"/>
    <x v="2"/>
    <x v="2"/>
    <x v="0"/>
    <m/>
    <m/>
    <m/>
    <m/>
    <s v="C0006"/>
    <s v="Male"/>
    <n v="23"/>
    <s v="Columbus"/>
  </r>
  <r>
    <s v="Call_7277"/>
    <x v="5"/>
    <x v="5"/>
    <x v="0"/>
    <x v="2"/>
    <n v="60"/>
    <n v="4.7"/>
    <x v="0"/>
    <x v="2"/>
    <x v="0"/>
    <x v="0"/>
    <m/>
    <m/>
    <m/>
    <m/>
    <s v="C0007"/>
    <s v="Female"/>
    <n v="22"/>
    <s v="Cleveland"/>
  </r>
  <r>
    <s v="Call_7278"/>
    <x v="0"/>
    <x v="6"/>
    <x v="3"/>
    <x v="2"/>
    <n v="148"/>
    <n v="4.4000000000000004"/>
    <x v="0"/>
    <x v="2"/>
    <x v="0"/>
    <x v="2"/>
    <m/>
    <m/>
    <m/>
    <m/>
    <s v="C0008"/>
    <s v="Female"/>
    <n v="42"/>
    <s v="Cleveland"/>
  </r>
  <r>
    <s v="Call_7279"/>
    <x v="2"/>
    <x v="7"/>
    <x v="1"/>
    <x v="2"/>
    <n v="135"/>
    <n v="3.6"/>
    <x v="0"/>
    <x v="2"/>
    <x v="2"/>
    <x v="2"/>
    <m/>
    <m/>
    <m/>
    <m/>
    <s v="C0009"/>
    <s v="Female"/>
    <n v="25"/>
    <s v="Columbus"/>
  </r>
  <r>
    <s v="Call_7280"/>
    <x v="6"/>
    <x v="8"/>
    <x v="4"/>
    <x v="2"/>
    <n v="105"/>
    <n v="2.9"/>
    <x v="0"/>
    <x v="2"/>
    <x v="2"/>
    <x v="1"/>
    <m/>
    <m/>
    <m/>
    <m/>
    <s v="C0010"/>
    <s v="Female"/>
    <n v="30"/>
    <s v="Cleveland"/>
  </r>
  <r>
    <s v="Call_7281"/>
    <x v="4"/>
    <x v="9"/>
    <x v="1"/>
    <x v="2"/>
    <n v="69"/>
    <n v="4.9000000000000004"/>
    <x v="0"/>
    <x v="2"/>
    <x v="0"/>
    <x v="0"/>
    <m/>
    <m/>
    <m/>
    <m/>
    <s v="C0011"/>
    <s v="Female"/>
    <n v="30"/>
    <s v="Cincinnati"/>
  </r>
  <r>
    <s v="Call_7282"/>
    <x v="7"/>
    <x v="10"/>
    <x v="0"/>
    <x v="2"/>
    <n v="46"/>
    <n v="3.4"/>
    <x v="0"/>
    <x v="2"/>
    <x v="1"/>
    <x v="1"/>
    <m/>
    <m/>
    <m/>
    <m/>
    <s v="C0012"/>
    <s v="Female"/>
    <n v="28"/>
    <s v="Cincinnati"/>
  </r>
  <r>
    <s v="Call_7283"/>
    <x v="8"/>
    <x v="11"/>
    <x v="1"/>
    <x v="3"/>
    <n v="108"/>
    <n v="3.5"/>
    <x v="0"/>
    <x v="3"/>
    <x v="0"/>
    <x v="2"/>
    <m/>
    <m/>
    <m/>
    <m/>
    <s v="C0013"/>
    <s v="Female"/>
    <n v="37"/>
    <s v="Cleveland"/>
  </r>
  <r>
    <s v="Call_7284"/>
    <x v="6"/>
    <x v="12"/>
    <x v="1"/>
    <x v="3"/>
    <n v="96"/>
    <n v="4"/>
    <x v="0"/>
    <x v="3"/>
    <x v="1"/>
    <x v="2"/>
    <m/>
    <m/>
    <m/>
    <m/>
    <s v="C0014"/>
    <s v="Female"/>
    <n v="38"/>
    <s v="Columbus"/>
  </r>
  <r>
    <s v="Call_7285"/>
    <x v="7"/>
    <x v="13"/>
    <x v="2"/>
    <x v="3"/>
    <n v="68"/>
    <n v="4.9000000000000004"/>
    <x v="0"/>
    <x v="3"/>
    <x v="2"/>
    <x v="0"/>
    <m/>
    <m/>
    <m/>
    <m/>
    <s v="C0015"/>
    <s v="Female"/>
    <n v="43"/>
    <s v="Cleveland"/>
  </r>
  <r>
    <s v="Call_7286"/>
    <x v="6"/>
    <x v="14"/>
    <x v="0"/>
    <x v="4"/>
    <n v="24"/>
    <n v="4.8"/>
    <x v="0"/>
    <x v="4"/>
    <x v="1"/>
    <x v="0"/>
    <m/>
    <m/>
    <m/>
    <m/>
    <m/>
    <m/>
    <m/>
    <m/>
  </r>
  <r>
    <s v="Call_7287"/>
    <x v="6"/>
    <x v="15"/>
    <x v="2"/>
    <x v="4"/>
    <n v="195"/>
    <n v="3.9"/>
    <x v="0"/>
    <x v="4"/>
    <x v="0"/>
    <x v="2"/>
    <m/>
    <m/>
    <m/>
    <m/>
    <m/>
    <m/>
    <m/>
    <m/>
  </r>
  <r>
    <s v="Call_7288"/>
    <x v="9"/>
    <x v="16"/>
    <x v="4"/>
    <x v="4"/>
    <n v="28"/>
    <n v="3.8"/>
    <x v="0"/>
    <x v="4"/>
    <x v="3"/>
    <x v="2"/>
    <m/>
    <m/>
    <m/>
    <m/>
    <m/>
    <m/>
    <m/>
    <m/>
  </r>
  <r>
    <s v="Call_7289"/>
    <x v="5"/>
    <x v="17"/>
    <x v="1"/>
    <x v="4"/>
    <n v="170"/>
    <n v="4.3"/>
    <x v="0"/>
    <x v="4"/>
    <x v="2"/>
    <x v="2"/>
    <m/>
    <m/>
    <m/>
    <m/>
    <m/>
    <m/>
    <m/>
    <m/>
  </r>
  <r>
    <s v="Call_7290"/>
    <x v="10"/>
    <x v="13"/>
    <x v="0"/>
    <x v="5"/>
    <n v="30"/>
    <n v="4.4000000000000004"/>
    <x v="0"/>
    <x v="5"/>
    <x v="2"/>
    <x v="2"/>
    <m/>
    <m/>
    <m/>
    <m/>
    <m/>
    <m/>
    <m/>
    <m/>
  </r>
  <r>
    <s v="Call_7291"/>
    <x v="1"/>
    <x v="3"/>
    <x v="0"/>
    <x v="5"/>
    <n v="72"/>
    <n v="5"/>
    <x v="0"/>
    <x v="5"/>
    <x v="1"/>
    <x v="0"/>
    <m/>
    <m/>
    <m/>
    <m/>
    <m/>
    <m/>
    <m/>
    <m/>
  </r>
  <r>
    <s v="Call_7292"/>
    <x v="1"/>
    <x v="18"/>
    <x v="3"/>
    <x v="6"/>
    <n v="92"/>
    <n v="4.9000000000000004"/>
    <x v="0"/>
    <x v="6"/>
    <x v="2"/>
    <x v="0"/>
    <m/>
    <m/>
    <m/>
    <m/>
    <m/>
    <m/>
    <m/>
    <m/>
  </r>
  <r>
    <s v="Call_7293"/>
    <x v="0"/>
    <x v="19"/>
    <x v="3"/>
    <x v="7"/>
    <n v="165"/>
    <n v="4.5"/>
    <x v="0"/>
    <x v="0"/>
    <x v="0"/>
    <x v="0"/>
    <m/>
    <m/>
    <m/>
    <m/>
    <m/>
    <m/>
    <m/>
    <m/>
  </r>
  <r>
    <s v="Call_7294"/>
    <x v="11"/>
    <x v="20"/>
    <x v="1"/>
    <x v="7"/>
    <n v="140"/>
    <n v="2.1"/>
    <x v="0"/>
    <x v="0"/>
    <x v="2"/>
    <x v="3"/>
    <m/>
    <m/>
    <m/>
    <m/>
    <m/>
    <m/>
    <m/>
    <m/>
  </r>
  <r>
    <s v="Call_7295"/>
    <x v="6"/>
    <x v="17"/>
    <x v="2"/>
    <x v="7"/>
    <n v="111"/>
    <n v="3.3"/>
    <x v="0"/>
    <x v="0"/>
    <x v="2"/>
    <x v="1"/>
    <m/>
    <m/>
    <m/>
    <m/>
    <m/>
    <m/>
    <m/>
    <m/>
  </r>
  <r>
    <s v="Call_7296"/>
    <x v="12"/>
    <x v="16"/>
    <x v="0"/>
    <x v="8"/>
    <n v="63"/>
    <n v="4.0999999999999996"/>
    <x v="0"/>
    <x v="1"/>
    <x v="3"/>
    <x v="2"/>
    <m/>
    <m/>
    <m/>
    <m/>
    <m/>
    <m/>
    <m/>
    <m/>
  </r>
  <r>
    <s v="Call_7297"/>
    <x v="8"/>
    <x v="21"/>
    <x v="0"/>
    <x v="8"/>
    <n v="80"/>
    <n v="4.2"/>
    <x v="0"/>
    <x v="1"/>
    <x v="0"/>
    <x v="2"/>
    <m/>
    <m/>
    <m/>
    <m/>
    <m/>
    <m/>
    <m/>
    <m/>
  </r>
  <r>
    <s v="Call_7298"/>
    <x v="4"/>
    <x v="22"/>
    <x v="0"/>
    <x v="9"/>
    <n v="50"/>
    <n v="4.5999999999999996"/>
    <x v="0"/>
    <x v="2"/>
    <x v="0"/>
    <x v="0"/>
    <m/>
    <m/>
    <m/>
    <m/>
    <m/>
    <m/>
    <m/>
    <m/>
  </r>
  <r>
    <s v="Call_7299"/>
    <x v="9"/>
    <x v="7"/>
    <x v="3"/>
    <x v="9"/>
    <n v="123"/>
    <n v="2.9"/>
    <x v="0"/>
    <x v="2"/>
    <x v="2"/>
    <x v="1"/>
    <m/>
    <m/>
    <m/>
    <m/>
    <m/>
    <m/>
    <m/>
    <m/>
  </r>
  <r>
    <s v="Call_7300"/>
    <x v="11"/>
    <x v="23"/>
    <x v="2"/>
    <x v="9"/>
    <n v="110"/>
    <n v="4.8"/>
    <x v="0"/>
    <x v="2"/>
    <x v="1"/>
    <x v="0"/>
    <m/>
    <m/>
    <m/>
    <m/>
    <m/>
    <m/>
    <m/>
    <m/>
  </r>
  <r>
    <s v="Call_7301"/>
    <x v="9"/>
    <x v="24"/>
    <x v="0"/>
    <x v="9"/>
    <n v="140"/>
    <n v="4.2"/>
    <x v="0"/>
    <x v="2"/>
    <x v="0"/>
    <x v="2"/>
    <m/>
    <m/>
    <m/>
    <m/>
    <m/>
    <m/>
    <m/>
    <m/>
  </r>
  <r>
    <s v="Call_7302"/>
    <x v="4"/>
    <x v="25"/>
    <x v="0"/>
    <x v="10"/>
    <n v="42"/>
    <n v="3.7"/>
    <x v="0"/>
    <x v="4"/>
    <x v="0"/>
    <x v="2"/>
    <m/>
    <m/>
    <m/>
    <m/>
    <m/>
    <m/>
    <m/>
    <m/>
  </r>
  <r>
    <s v="Call_7303"/>
    <x v="4"/>
    <x v="26"/>
    <x v="2"/>
    <x v="10"/>
    <n v="170"/>
    <n v="5"/>
    <x v="0"/>
    <x v="4"/>
    <x v="3"/>
    <x v="0"/>
    <m/>
    <m/>
    <m/>
    <m/>
    <m/>
    <m/>
    <m/>
    <m/>
  </r>
  <r>
    <s v="Call_7304"/>
    <x v="10"/>
    <x v="27"/>
    <x v="1"/>
    <x v="11"/>
    <n v="105"/>
    <n v="5"/>
    <x v="0"/>
    <x v="6"/>
    <x v="1"/>
    <x v="0"/>
    <m/>
    <m/>
    <m/>
    <m/>
    <m/>
    <m/>
    <m/>
    <m/>
  </r>
  <r>
    <s v="Call_7305"/>
    <x v="13"/>
    <x v="28"/>
    <x v="0"/>
    <x v="12"/>
    <n v="125"/>
    <n v="4.8"/>
    <x v="0"/>
    <x v="0"/>
    <x v="0"/>
    <x v="0"/>
    <m/>
    <m/>
    <m/>
    <m/>
    <m/>
    <m/>
    <m/>
    <m/>
  </r>
  <r>
    <s v="Call_7306"/>
    <x v="9"/>
    <x v="29"/>
    <x v="4"/>
    <x v="12"/>
    <n v="26"/>
    <n v="2.4"/>
    <x v="0"/>
    <x v="0"/>
    <x v="0"/>
    <x v="3"/>
    <m/>
    <m/>
    <m/>
    <m/>
    <m/>
    <m/>
    <m/>
    <m/>
  </r>
  <r>
    <s v="Call_7307"/>
    <x v="11"/>
    <x v="30"/>
    <x v="4"/>
    <x v="13"/>
    <n v="120"/>
    <n v="3.1"/>
    <x v="0"/>
    <x v="1"/>
    <x v="0"/>
    <x v="1"/>
    <m/>
    <m/>
    <m/>
    <m/>
    <m/>
    <m/>
    <m/>
    <m/>
  </r>
  <r>
    <s v="Call_7308"/>
    <x v="1"/>
    <x v="31"/>
    <x v="1"/>
    <x v="13"/>
    <n v="132"/>
    <n v="3.2"/>
    <x v="0"/>
    <x v="1"/>
    <x v="0"/>
    <x v="1"/>
    <m/>
    <m/>
    <m/>
    <m/>
    <m/>
    <m/>
    <m/>
    <m/>
  </r>
  <r>
    <s v="Call_7309"/>
    <x v="11"/>
    <x v="22"/>
    <x v="3"/>
    <x v="14"/>
    <n v="86"/>
    <n v="2.4"/>
    <x v="0"/>
    <x v="2"/>
    <x v="0"/>
    <x v="3"/>
    <m/>
    <m/>
    <m/>
    <m/>
    <m/>
    <m/>
    <m/>
    <m/>
  </r>
  <r>
    <s v="Call_7310"/>
    <x v="9"/>
    <x v="32"/>
    <x v="0"/>
    <x v="14"/>
    <n v="108"/>
    <n v="5"/>
    <x v="0"/>
    <x v="2"/>
    <x v="0"/>
    <x v="0"/>
    <m/>
    <m/>
    <m/>
    <m/>
    <m/>
    <m/>
    <m/>
    <m/>
  </r>
  <r>
    <s v="Call_7311"/>
    <x v="1"/>
    <x v="33"/>
    <x v="3"/>
    <x v="14"/>
    <n v="96"/>
    <n v="4.7"/>
    <x v="0"/>
    <x v="2"/>
    <x v="0"/>
    <x v="0"/>
    <m/>
    <m/>
    <m/>
    <m/>
    <m/>
    <m/>
    <m/>
    <m/>
  </r>
  <r>
    <s v="Call_7312"/>
    <x v="6"/>
    <x v="28"/>
    <x v="1"/>
    <x v="15"/>
    <n v="80"/>
    <n v="4.7"/>
    <x v="0"/>
    <x v="3"/>
    <x v="0"/>
    <x v="0"/>
    <m/>
    <m/>
    <m/>
    <m/>
    <m/>
    <m/>
    <m/>
    <m/>
  </r>
  <r>
    <s v="Call_7313"/>
    <x v="9"/>
    <x v="34"/>
    <x v="0"/>
    <x v="15"/>
    <n v="155"/>
    <n v="4.0999999999999996"/>
    <x v="0"/>
    <x v="3"/>
    <x v="0"/>
    <x v="2"/>
    <m/>
    <m/>
    <m/>
    <m/>
    <m/>
    <m/>
    <m/>
    <m/>
  </r>
  <r>
    <s v="Call_7314"/>
    <x v="7"/>
    <x v="35"/>
    <x v="4"/>
    <x v="15"/>
    <n v="168"/>
    <n v="4.0999999999999996"/>
    <x v="0"/>
    <x v="3"/>
    <x v="1"/>
    <x v="2"/>
    <m/>
    <m/>
    <m/>
    <m/>
    <m/>
    <m/>
    <m/>
    <m/>
  </r>
  <r>
    <s v="Call_7315"/>
    <x v="13"/>
    <x v="28"/>
    <x v="2"/>
    <x v="15"/>
    <n v="56"/>
    <n v="3.6"/>
    <x v="0"/>
    <x v="3"/>
    <x v="0"/>
    <x v="2"/>
    <m/>
    <m/>
    <m/>
    <m/>
    <m/>
    <m/>
    <m/>
    <m/>
  </r>
  <r>
    <s v="Call_7316"/>
    <x v="4"/>
    <x v="36"/>
    <x v="4"/>
    <x v="16"/>
    <n v="32"/>
    <n v="4.4000000000000004"/>
    <x v="0"/>
    <x v="4"/>
    <x v="3"/>
    <x v="2"/>
    <m/>
    <m/>
    <m/>
    <m/>
    <m/>
    <m/>
    <m/>
    <m/>
  </r>
  <r>
    <s v="Call_7317"/>
    <x v="3"/>
    <x v="37"/>
    <x v="2"/>
    <x v="16"/>
    <n v="78"/>
    <n v="4.4000000000000004"/>
    <x v="0"/>
    <x v="4"/>
    <x v="1"/>
    <x v="2"/>
    <m/>
    <m/>
    <m/>
    <m/>
    <m/>
    <m/>
    <m/>
    <m/>
  </r>
  <r>
    <s v="Call_7318"/>
    <x v="1"/>
    <x v="38"/>
    <x v="0"/>
    <x v="16"/>
    <n v="86"/>
    <n v="4"/>
    <x v="0"/>
    <x v="4"/>
    <x v="0"/>
    <x v="2"/>
    <m/>
    <m/>
    <m/>
    <m/>
    <m/>
    <m/>
    <m/>
    <m/>
  </r>
  <r>
    <s v="Call_7319"/>
    <x v="0"/>
    <x v="31"/>
    <x v="1"/>
    <x v="17"/>
    <n v="64"/>
    <n v="3.8"/>
    <x v="0"/>
    <x v="5"/>
    <x v="0"/>
    <x v="2"/>
    <m/>
    <m/>
    <m/>
    <m/>
    <m/>
    <m/>
    <m/>
    <m/>
  </r>
  <r>
    <s v="Call_7320"/>
    <x v="12"/>
    <x v="39"/>
    <x v="1"/>
    <x v="17"/>
    <n v="96"/>
    <n v="3.6"/>
    <x v="0"/>
    <x v="5"/>
    <x v="2"/>
    <x v="2"/>
    <m/>
    <m/>
    <m/>
    <m/>
    <m/>
    <m/>
    <m/>
    <m/>
  </r>
  <r>
    <s v="Call_7321"/>
    <x v="8"/>
    <x v="40"/>
    <x v="2"/>
    <x v="17"/>
    <n v="72"/>
    <n v="4.3"/>
    <x v="0"/>
    <x v="5"/>
    <x v="1"/>
    <x v="2"/>
    <m/>
    <m/>
    <m/>
    <m/>
    <m/>
    <m/>
    <m/>
    <m/>
  </r>
  <r>
    <s v="Call_7322"/>
    <x v="7"/>
    <x v="41"/>
    <x v="3"/>
    <x v="18"/>
    <n v="135"/>
    <n v="3.8"/>
    <x v="0"/>
    <x v="6"/>
    <x v="0"/>
    <x v="2"/>
    <m/>
    <m/>
    <m/>
    <m/>
    <m/>
    <m/>
    <m/>
    <m/>
  </r>
  <r>
    <s v="Call_7323"/>
    <x v="7"/>
    <x v="42"/>
    <x v="4"/>
    <x v="18"/>
    <n v="140"/>
    <n v="4.5"/>
    <x v="0"/>
    <x v="6"/>
    <x v="0"/>
    <x v="0"/>
    <m/>
    <m/>
    <m/>
    <m/>
    <m/>
    <m/>
    <m/>
    <m/>
  </r>
  <r>
    <s v="Call_7324"/>
    <x v="14"/>
    <x v="43"/>
    <x v="2"/>
    <x v="18"/>
    <n v="69"/>
    <n v="4.5"/>
    <x v="0"/>
    <x v="6"/>
    <x v="1"/>
    <x v="0"/>
    <m/>
    <m/>
    <m/>
    <m/>
    <m/>
    <m/>
    <m/>
    <m/>
  </r>
  <r>
    <s v="Call_7325"/>
    <x v="7"/>
    <x v="44"/>
    <x v="0"/>
    <x v="19"/>
    <n v="136"/>
    <n v="4.5999999999999996"/>
    <x v="0"/>
    <x v="0"/>
    <x v="2"/>
    <x v="0"/>
    <m/>
    <m/>
    <m/>
    <m/>
    <m/>
    <m/>
    <m/>
    <m/>
  </r>
  <r>
    <s v="Call_7326"/>
    <x v="12"/>
    <x v="45"/>
    <x v="2"/>
    <x v="19"/>
    <n v="28"/>
    <n v="4.5"/>
    <x v="0"/>
    <x v="0"/>
    <x v="0"/>
    <x v="0"/>
    <m/>
    <m/>
    <m/>
    <m/>
    <m/>
    <m/>
    <m/>
    <m/>
  </r>
  <r>
    <s v="Call_7327"/>
    <x v="14"/>
    <x v="20"/>
    <x v="1"/>
    <x v="20"/>
    <n v="135"/>
    <n v="3.3"/>
    <x v="0"/>
    <x v="1"/>
    <x v="2"/>
    <x v="1"/>
    <m/>
    <m/>
    <m/>
    <m/>
    <m/>
    <m/>
    <m/>
    <m/>
  </r>
  <r>
    <s v="Call_7328"/>
    <x v="11"/>
    <x v="46"/>
    <x v="1"/>
    <x v="20"/>
    <n v="126"/>
    <n v="2.2999999999999998"/>
    <x v="0"/>
    <x v="1"/>
    <x v="0"/>
    <x v="3"/>
    <m/>
    <m/>
    <m/>
    <m/>
    <m/>
    <m/>
    <m/>
    <m/>
  </r>
  <r>
    <s v="Call_7329"/>
    <x v="4"/>
    <x v="47"/>
    <x v="0"/>
    <x v="20"/>
    <n v="160"/>
    <n v="4.3"/>
    <x v="0"/>
    <x v="1"/>
    <x v="0"/>
    <x v="2"/>
    <m/>
    <m/>
    <m/>
    <m/>
    <m/>
    <m/>
    <m/>
    <m/>
  </r>
  <r>
    <s v="Call_7330"/>
    <x v="14"/>
    <x v="48"/>
    <x v="1"/>
    <x v="21"/>
    <n v="48"/>
    <n v="4.5999999999999996"/>
    <x v="0"/>
    <x v="2"/>
    <x v="0"/>
    <x v="0"/>
    <m/>
    <m/>
    <m/>
    <m/>
    <m/>
    <m/>
    <m/>
    <m/>
  </r>
  <r>
    <s v="Call_7331"/>
    <x v="7"/>
    <x v="33"/>
    <x v="2"/>
    <x v="21"/>
    <n v="66"/>
    <n v="4"/>
    <x v="0"/>
    <x v="2"/>
    <x v="0"/>
    <x v="2"/>
    <m/>
    <m/>
    <m/>
    <m/>
    <m/>
    <m/>
    <m/>
    <m/>
  </r>
  <r>
    <s v="Call_7332"/>
    <x v="6"/>
    <x v="49"/>
    <x v="3"/>
    <x v="21"/>
    <n v="126"/>
    <n v="2.5"/>
    <x v="0"/>
    <x v="2"/>
    <x v="1"/>
    <x v="1"/>
    <m/>
    <m/>
    <m/>
    <m/>
    <m/>
    <m/>
    <m/>
    <m/>
  </r>
  <r>
    <s v="Call_7333"/>
    <x v="11"/>
    <x v="50"/>
    <x v="4"/>
    <x v="21"/>
    <n v="96"/>
    <n v="5"/>
    <x v="0"/>
    <x v="2"/>
    <x v="0"/>
    <x v="0"/>
    <m/>
    <m/>
    <m/>
    <m/>
    <m/>
    <m/>
    <m/>
    <m/>
  </r>
  <r>
    <s v="Call_7334"/>
    <x v="7"/>
    <x v="51"/>
    <x v="0"/>
    <x v="22"/>
    <n v="90"/>
    <n v="3.8"/>
    <x v="0"/>
    <x v="3"/>
    <x v="0"/>
    <x v="2"/>
    <m/>
    <m/>
    <m/>
    <m/>
    <m/>
    <m/>
    <m/>
    <m/>
  </r>
  <r>
    <s v="Call_7335"/>
    <x v="13"/>
    <x v="52"/>
    <x v="3"/>
    <x v="22"/>
    <n v="105"/>
    <n v="4.4000000000000004"/>
    <x v="0"/>
    <x v="3"/>
    <x v="1"/>
    <x v="2"/>
    <m/>
    <m/>
    <m/>
    <m/>
    <m/>
    <m/>
    <m/>
    <m/>
  </r>
  <r>
    <s v="Call_7336"/>
    <x v="1"/>
    <x v="53"/>
    <x v="1"/>
    <x v="23"/>
    <n v="40"/>
    <n v="3.8"/>
    <x v="0"/>
    <x v="4"/>
    <x v="0"/>
    <x v="2"/>
    <m/>
    <m/>
    <m/>
    <m/>
    <m/>
    <m/>
    <m/>
    <m/>
  </r>
  <r>
    <s v="Call_7337"/>
    <x v="11"/>
    <x v="54"/>
    <x v="0"/>
    <x v="23"/>
    <n v="60"/>
    <n v="2"/>
    <x v="0"/>
    <x v="4"/>
    <x v="2"/>
    <x v="3"/>
    <m/>
    <m/>
    <m/>
    <m/>
    <m/>
    <m/>
    <m/>
    <m/>
  </r>
  <r>
    <s v="Call_7338"/>
    <x v="6"/>
    <x v="55"/>
    <x v="3"/>
    <x v="24"/>
    <n v="215"/>
    <n v="4.0999999999999996"/>
    <x v="0"/>
    <x v="5"/>
    <x v="1"/>
    <x v="2"/>
    <m/>
    <m/>
    <m/>
    <m/>
    <m/>
    <m/>
    <m/>
    <m/>
  </r>
  <r>
    <s v="Call_7339"/>
    <x v="2"/>
    <x v="22"/>
    <x v="2"/>
    <x v="24"/>
    <n v="156"/>
    <n v="2.6"/>
    <x v="0"/>
    <x v="5"/>
    <x v="0"/>
    <x v="1"/>
    <m/>
    <m/>
    <m/>
    <m/>
    <m/>
    <m/>
    <m/>
    <m/>
  </r>
  <r>
    <s v="Call_7340"/>
    <x v="10"/>
    <x v="56"/>
    <x v="4"/>
    <x v="24"/>
    <n v="54"/>
    <n v="0"/>
    <x v="0"/>
    <x v="5"/>
    <x v="1"/>
    <x v="4"/>
    <m/>
    <m/>
    <m/>
    <m/>
    <m/>
    <m/>
    <m/>
    <m/>
  </r>
  <r>
    <s v="Call_7341"/>
    <x v="10"/>
    <x v="57"/>
    <x v="4"/>
    <x v="25"/>
    <n v="160"/>
    <n v="3.9"/>
    <x v="0"/>
    <x v="6"/>
    <x v="1"/>
    <x v="2"/>
    <m/>
    <m/>
    <m/>
    <m/>
    <m/>
    <m/>
    <m/>
    <m/>
  </r>
  <r>
    <s v="Call_7342"/>
    <x v="13"/>
    <x v="58"/>
    <x v="2"/>
    <x v="25"/>
    <n v="80"/>
    <n v="4.8"/>
    <x v="0"/>
    <x v="6"/>
    <x v="0"/>
    <x v="0"/>
    <m/>
    <m/>
    <m/>
    <m/>
    <m/>
    <m/>
    <m/>
    <m/>
  </r>
  <r>
    <s v="Call_7343"/>
    <x v="7"/>
    <x v="19"/>
    <x v="2"/>
    <x v="25"/>
    <n v="168"/>
    <n v="2.6"/>
    <x v="0"/>
    <x v="6"/>
    <x v="0"/>
    <x v="1"/>
    <m/>
    <m/>
    <m/>
    <m/>
    <m/>
    <m/>
    <m/>
    <m/>
  </r>
  <r>
    <s v="Call_7344"/>
    <x v="14"/>
    <x v="59"/>
    <x v="4"/>
    <x v="26"/>
    <n v="42"/>
    <n v="2.6"/>
    <x v="0"/>
    <x v="1"/>
    <x v="0"/>
    <x v="1"/>
    <m/>
    <m/>
    <m/>
    <m/>
    <m/>
    <m/>
    <m/>
    <m/>
  </r>
  <r>
    <s v="Call_7345"/>
    <x v="2"/>
    <x v="60"/>
    <x v="2"/>
    <x v="26"/>
    <n v="205"/>
    <n v="3.6"/>
    <x v="0"/>
    <x v="1"/>
    <x v="2"/>
    <x v="2"/>
    <m/>
    <m/>
    <m/>
    <m/>
    <m/>
    <m/>
    <m/>
    <m/>
  </r>
  <r>
    <s v="Call_7346"/>
    <x v="4"/>
    <x v="53"/>
    <x v="4"/>
    <x v="26"/>
    <n v="108"/>
    <n v="3.3"/>
    <x v="0"/>
    <x v="1"/>
    <x v="0"/>
    <x v="1"/>
    <m/>
    <m/>
    <m/>
    <m/>
    <m/>
    <m/>
    <m/>
    <m/>
  </r>
  <r>
    <s v="Call_7347"/>
    <x v="6"/>
    <x v="61"/>
    <x v="1"/>
    <x v="26"/>
    <n v="78"/>
    <n v="1.9"/>
    <x v="0"/>
    <x v="1"/>
    <x v="1"/>
    <x v="3"/>
    <m/>
    <m/>
    <m/>
    <m/>
    <m/>
    <m/>
    <m/>
    <m/>
  </r>
  <r>
    <s v="Call_7348"/>
    <x v="1"/>
    <x v="62"/>
    <x v="4"/>
    <x v="26"/>
    <n v="23"/>
    <n v="4.9000000000000004"/>
    <x v="0"/>
    <x v="1"/>
    <x v="2"/>
    <x v="0"/>
    <m/>
    <m/>
    <m/>
    <m/>
    <m/>
    <m/>
    <m/>
    <m/>
  </r>
  <r>
    <s v="Call_7349"/>
    <x v="4"/>
    <x v="63"/>
    <x v="0"/>
    <x v="27"/>
    <n v="99"/>
    <n v="3.6"/>
    <x v="0"/>
    <x v="2"/>
    <x v="0"/>
    <x v="2"/>
    <m/>
    <m/>
    <m/>
    <m/>
    <m/>
    <m/>
    <m/>
    <m/>
  </r>
  <r>
    <s v="Call_7350"/>
    <x v="9"/>
    <x v="42"/>
    <x v="4"/>
    <x v="28"/>
    <n v="148"/>
    <n v="4.5"/>
    <x v="0"/>
    <x v="3"/>
    <x v="0"/>
    <x v="0"/>
    <m/>
    <m/>
    <m/>
    <m/>
    <m/>
    <m/>
    <m/>
    <m/>
  </r>
  <r>
    <s v="Call_7351"/>
    <x v="6"/>
    <x v="64"/>
    <x v="3"/>
    <x v="28"/>
    <n v="34"/>
    <n v="3.7"/>
    <x v="0"/>
    <x v="3"/>
    <x v="2"/>
    <x v="2"/>
    <m/>
    <m/>
    <m/>
    <m/>
    <m/>
    <m/>
    <m/>
    <m/>
  </r>
  <r>
    <s v="Call_7352"/>
    <x v="4"/>
    <x v="65"/>
    <x v="4"/>
    <x v="28"/>
    <n v="86"/>
    <n v="4.8"/>
    <x v="0"/>
    <x v="3"/>
    <x v="1"/>
    <x v="0"/>
    <m/>
    <m/>
    <m/>
    <m/>
    <m/>
    <m/>
    <m/>
    <m/>
  </r>
  <r>
    <s v="Call_7353"/>
    <x v="14"/>
    <x v="66"/>
    <x v="0"/>
    <x v="28"/>
    <n v="105"/>
    <n v="3.3"/>
    <x v="0"/>
    <x v="3"/>
    <x v="0"/>
    <x v="1"/>
    <m/>
    <m/>
    <m/>
    <m/>
    <m/>
    <m/>
    <m/>
    <m/>
  </r>
  <r>
    <s v="Call_7354"/>
    <x v="1"/>
    <x v="67"/>
    <x v="0"/>
    <x v="28"/>
    <n v="62"/>
    <n v="3.1"/>
    <x v="0"/>
    <x v="3"/>
    <x v="0"/>
    <x v="1"/>
    <m/>
    <m/>
    <m/>
    <m/>
    <m/>
    <m/>
    <m/>
    <m/>
  </r>
  <r>
    <s v="Call_7355"/>
    <x v="4"/>
    <x v="65"/>
    <x v="3"/>
    <x v="28"/>
    <n v="90"/>
    <n v="4.0999999999999996"/>
    <x v="0"/>
    <x v="3"/>
    <x v="1"/>
    <x v="2"/>
    <m/>
    <m/>
    <m/>
    <m/>
    <m/>
    <m/>
    <m/>
    <m/>
  </r>
  <r>
    <s v="Call_7356"/>
    <x v="3"/>
    <x v="15"/>
    <x v="0"/>
    <x v="29"/>
    <n v="112"/>
    <n v="4.9000000000000004"/>
    <x v="0"/>
    <x v="4"/>
    <x v="0"/>
    <x v="0"/>
    <m/>
    <m/>
    <m/>
    <m/>
    <m/>
    <m/>
    <m/>
    <m/>
  </r>
  <r>
    <s v="Call_7357"/>
    <x v="11"/>
    <x v="41"/>
    <x v="0"/>
    <x v="29"/>
    <n v="135"/>
    <n v="4"/>
    <x v="0"/>
    <x v="4"/>
    <x v="0"/>
    <x v="2"/>
    <m/>
    <m/>
    <m/>
    <m/>
    <m/>
    <m/>
    <m/>
    <m/>
  </r>
  <r>
    <s v="Call_7358"/>
    <x v="1"/>
    <x v="68"/>
    <x v="1"/>
    <x v="29"/>
    <n v="34"/>
    <n v="2.1"/>
    <x v="0"/>
    <x v="4"/>
    <x v="2"/>
    <x v="3"/>
    <m/>
    <m/>
    <m/>
    <m/>
    <m/>
    <m/>
    <m/>
    <m/>
  </r>
  <r>
    <s v="Call_7359"/>
    <x v="14"/>
    <x v="69"/>
    <x v="2"/>
    <x v="29"/>
    <n v="155"/>
    <n v="4.5"/>
    <x v="0"/>
    <x v="4"/>
    <x v="0"/>
    <x v="0"/>
    <m/>
    <m/>
    <m/>
    <m/>
    <m/>
    <m/>
    <m/>
    <m/>
  </r>
  <r>
    <s v="Call_7360"/>
    <x v="3"/>
    <x v="70"/>
    <x v="2"/>
    <x v="30"/>
    <n v="124"/>
    <n v="4.9000000000000004"/>
    <x v="0"/>
    <x v="6"/>
    <x v="1"/>
    <x v="0"/>
    <m/>
    <m/>
    <m/>
    <m/>
    <m/>
    <m/>
    <m/>
    <m/>
  </r>
  <r>
    <s v="Call_7361"/>
    <x v="11"/>
    <x v="5"/>
    <x v="0"/>
    <x v="30"/>
    <n v="195"/>
    <n v="4.0999999999999996"/>
    <x v="0"/>
    <x v="6"/>
    <x v="0"/>
    <x v="2"/>
    <m/>
    <m/>
    <m/>
    <m/>
    <m/>
    <m/>
    <m/>
    <m/>
  </r>
  <r>
    <s v="Call_7362"/>
    <x v="13"/>
    <x v="71"/>
    <x v="2"/>
    <x v="31"/>
    <n v="78"/>
    <n v="4.5"/>
    <x v="0"/>
    <x v="0"/>
    <x v="2"/>
    <x v="0"/>
    <m/>
    <m/>
    <m/>
    <m/>
    <m/>
    <m/>
    <m/>
    <m/>
  </r>
  <r>
    <s v="Call_7363"/>
    <x v="5"/>
    <x v="10"/>
    <x v="3"/>
    <x v="32"/>
    <n v="35"/>
    <n v="4.8"/>
    <x v="0"/>
    <x v="2"/>
    <x v="1"/>
    <x v="0"/>
    <m/>
    <m/>
    <m/>
    <m/>
    <m/>
    <m/>
    <m/>
    <m/>
  </r>
  <r>
    <s v="Call_7364"/>
    <x v="12"/>
    <x v="72"/>
    <x v="1"/>
    <x v="32"/>
    <n v="123"/>
    <n v="4.5999999999999996"/>
    <x v="0"/>
    <x v="2"/>
    <x v="1"/>
    <x v="0"/>
    <m/>
    <m/>
    <m/>
    <m/>
    <m/>
    <m/>
    <m/>
    <m/>
  </r>
  <r>
    <s v="Call_7365"/>
    <x v="2"/>
    <x v="35"/>
    <x v="1"/>
    <x v="32"/>
    <n v="43"/>
    <n v="4.5999999999999996"/>
    <x v="0"/>
    <x v="2"/>
    <x v="1"/>
    <x v="0"/>
    <m/>
    <m/>
    <m/>
    <m/>
    <m/>
    <m/>
    <m/>
    <m/>
  </r>
  <r>
    <s v="Call_7366"/>
    <x v="10"/>
    <x v="73"/>
    <x v="0"/>
    <x v="33"/>
    <n v="69"/>
    <n v="4.3"/>
    <x v="0"/>
    <x v="3"/>
    <x v="2"/>
    <x v="2"/>
    <m/>
    <m/>
    <m/>
    <m/>
    <m/>
    <m/>
    <m/>
    <m/>
  </r>
  <r>
    <s v="Call_7367"/>
    <x v="12"/>
    <x v="48"/>
    <x v="1"/>
    <x v="33"/>
    <n v="130"/>
    <n v="5"/>
    <x v="0"/>
    <x v="3"/>
    <x v="0"/>
    <x v="0"/>
    <m/>
    <m/>
    <m/>
    <m/>
    <m/>
    <m/>
    <m/>
    <m/>
  </r>
  <r>
    <s v="Call_7368"/>
    <x v="0"/>
    <x v="74"/>
    <x v="4"/>
    <x v="33"/>
    <n v="120"/>
    <n v="4"/>
    <x v="0"/>
    <x v="3"/>
    <x v="0"/>
    <x v="2"/>
    <m/>
    <m/>
    <m/>
    <m/>
    <m/>
    <m/>
    <m/>
    <m/>
  </r>
  <r>
    <s v="Call_7369"/>
    <x v="13"/>
    <x v="64"/>
    <x v="0"/>
    <x v="34"/>
    <n v="84"/>
    <n v="4.5999999999999996"/>
    <x v="0"/>
    <x v="4"/>
    <x v="2"/>
    <x v="0"/>
    <m/>
    <m/>
    <m/>
    <m/>
    <m/>
    <m/>
    <m/>
    <m/>
  </r>
  <r>
    <s v="Call_7370"/>
    <x v="0"/>
    <x v="35"/>
    <x v="4"/>
    <x v="35"/>
    <n v="112"/>
    <n v="4.5"/>
    <x v="0"/>
    <x v="5"/>
    <x v="1"/>
    <x v="0"/>
    <m/>
    <m/>
    <m/>
    <m/>
    <m/>
    <m/>
    <m/>
    <m/>
  </r>
  <r>
    <s v="Call_7371"/>
    <x v="7"/>
    <x v="48"/>
    <x v="0"/>
    <x v="35"/>
    <n v="66"/>
    <n v="4.5999999999999996"/>
    <x v="0"/>
    <x v="5"/>
    <x v="0"/>
    <x v="0"/>
    <m/>
    <m/>
    <m/>
    <m/>
    <m/>
    <m/>
    <m/>
    <m/>
  </r>
  <r>
    <s v="Call_7372"/>
    <x v="12"/>
    <x v="37"/>
    <x v="2"/>
    <x v="35"/>
    <n v="172"/>
    <n v="2.6"/>
    <x v="0"/>
    <x v="5"/>
    <x v="1"/>
    <x v="1"/>
    <m/>
    <m/>
    <m/>
    <m/>
    <m/>
    <m/>
    <m/>
    <m/>
  </r>
  <r>
    <s v="Call_7373"/>
    <x v="9"/>
    <x v="19"/>
    <x v="3"/>
    <x v="36"/>
    <n v="24"/>
    <n v="4.3"/>
    <x v="0"/>
    <x v="6"/>
    <x v="0"/>
    <x v="2"/>
    <m/>
    <m/>
    <m/>
    <m/>
    <m/>
    <m/>
    <m/>
    <m/>
  </r>
  <r>
    <s v="Call_7374"/>
    <x v="3"/>
    <x v="75"/>
    <x v="2"/>
    <x v="37"/>
    <n v="43"/>
    <n v="3.9"/>
    <x v="0"/>
    <x v="0"/>
    <x v="0"/>
    <x v="2"/>
    <m/>
    <m/>
    <m/>
    <m/>
    <m/>
    <m/>
    <m/>
    <m/>
  </r>
  <r>
    <s v="Call_7375"/>
    <x v="2"/>
    <x v="67"/>
    <x v="1"/>
    <x v="37"/>
    <n v="23"/>
    <n v="5"/>
    <x v="0"/>
    <x v="0"/>
    <x v="0"/>
    <x v="0"/>
    <m/>
    <m/>
    <m/>
    <m/>
    <m/>
    <m/>
    <m/>
    <m/>
  </r>
  <r>
    <s v="Call_7376"/>
    <x v="8"/>
    <x v="16"/>
    <x v="4"/>
    <x v="37"/>
    <n v="74"/>
    <n v="3.5"/>
    <x v="0"/>
    <x v="0"/>
    <x v="3"/>
    <x v="2"/>
    <m/>
    <m/>
    <m/>
    <m/>
    <m/>
    <m/>
    <m/>
    <m/>
  </r>
  <r>
    <s v="Call_7377"/>
    <x v="1"/>
    <x v="76"/>
    <x v="3"/>
    <x v="38"/>
    <n v="165"/>
    <n v="4.7"/>
    <x v="0"/>
    <x v="1"/>
    <x v="1"/>
    <x v="0"/>
    <m/>
    <m/>
    <m/>
    <m/>
    <m/>
    <m/>
    <m/>
    <m/>
  </r>
  <r>
    <s v="Call_7378"/>
    <x v="11"/>
    <x v="65"/>
    <x v="2"/>
    <x v="38"/>
    <n v="34"/>
    <n v="2.9"/>
    <x v="0"/>
    <x v="1"/>
    <x v="1"/>
    <x v="1"/>
    <m/>
    <m/>
    <m/>
    <m/>
    <m/>
    <m/>
    <m/>
    <m/>
  </r>
  <r>
    <s v="Call_7379"/>
    <x v="1"/>
    <x v="77"/>
    <x v="4"/>
    <x v="38"/>
    <n v="64"/>
    <n v="3.4"/>
    <x v="0"/>
    <x v="1"/>
    <x v="0"/>
    <x v="1"/>
    <m/>
    <m/>
    <m/>
    <m/>
    <m/>
    <m/>
    <m/>
    <m/>
  </r>
  <r>
    <s v="Call_7380"/>
    <x v="2"/>
    <x v="24"/>
    <x v="3"/>
    <x v="39"/>
    <n v="155"/>
    <n v="3.2"/>
    <x v="0"/>
    <x v="2"/>
    <x v="0"/>
    <x v="1"/>
    <m/>
    <m/>
    <m/>
    <m/>
    <m/>
    <m/>
    <m/>
    <m/>
  </r>
  <r>
    <s v="Call_7381"/>
    <x v="1"/>
    <x v="48"/>
    <x v="1"/>
    <x v="40"/>
    <n v="120"/>
    <n v="4.8"/>
    <x v="0"/>
    <x v="3"/>
    <x v="0"/>
    <x v="0"/>
    <m/>
    <m/>
    <m/>
    <m/>
    <m/>
    <m/>
    <m/>
    <m/>
  </r>
  <r>
    <s v="Call_7382"/>
    <x v="10"/>
    <x v="78"/>
    <x v="4"/>
    <x v="40"/>
    <n v="105"/>
    <n v="3.6"/>
    <x v="0"/>
    <x v="3"/>
    <x v="3"/>
    <x v="2"/>
    <m/>
    <m/>
    <m/>
    <m/>
    <m/>
    <m/>
    <m/>
    <m/>
  </r>
  <r>
    <s v="Call_7383"/>
    <x v="4"/>
    <x v="79"/>
    <x v="2"/>
    <x v="40"/>
    <n v="28"/>
    <n v="4.9000000000000004"/>
    <x v="0"/>
    <x v="3"/>
    <x v="3"/>
    <x v="0"/>
    <m/>
    <m/>
    <m/>
    <m/>
    <m/>
    <m/>
    <m/>
    <m/>
  </r>
  <r>
    <s v="Call_7384"/>
    <x v="6"/>
    <x v="18"/>
    <x v="3"/>
    <x v="40"/>
    <n v="100"/>
    <n v="4.8"/>
    <x v="0"/>
    <x v="3"/>
    <x v="2"/>
    <x v="0"/>
    <m/>
    <m/>
    <m/>
    <m/>
    <m/>
    <m/>
    <m/>
    <m/>
  </r>
  <r>
    <s v="Call_7385"/>
    <x v="7"/>
    <x v="71"/>
    <x v="2"/>
    <x v="40"/>
    <n v="23"/>
    <n v="3.6"/>
    <x v="0"/>
    <x v="3"/>
    <x v="2"/>
    <x v="2"/>
    <m/>
    <m/>
    <m/>
    <m/>
    <m/>
    <m/>
    <m/>
    <m/>
  </r>
  <r>
    <s v="Call_7386"/>
    <x v="9"/>
    <x v="80"/>
    <x v="4"/>
    <x v="41"/>
    <n v="70"/>
    <n v="3.9"/>
    <x v="0"/>
    <x v="4"/>
    <x v="3"/>
    <x v="2"/>
    <m/>
    <m/>
    <m/>
    <m/>
    <m/>
    <m/>
    <m/>
    <m/>
  </r>
  <r>
    <s v="Call_7387"/>
    <x v="9"/>
    <x v="81"/>
    <x v="4"/>
    <x v="41"/>
    <n v="37"/>
    <n v="1.9"/>
    <x v="0"/>
    <x v="4"/>
    <x v="2"/>
    <x v="3"/>
    <m/>
    <m/>
    <m/>
    <m/>
    <m/>
    <m/>
    <m/>
    <m/>
  </r>
  <r>
    <s v="Call_7388"/>
    <x v="8"/>
    <x v="0"/>
    <x v="0"/>
    <x v="41"/>
    <n v="140"/>
    <n v="3.6"/>
    <x v="0"/>
    <x v="4"/>
    <x v="0"/>
    <x v="2"/>
    <m/>
    <m/>
    <m/>
    <m/>
    <m/>
    <m/>
    <m/>
    <m/>
  </r>
  <r>
    <s v="Call_7389"/>
    <x v="0"/>
    <x v="15"/>
    <x v="1"/>
    <x v="41"/>
    <n v="78"/>
    <n v="4.0999999999999996"/>
    <x v="0"/>
    <x v="4"/>
    <x v="0"/>
    <x v="2"/>
    <m/>
    <m/>
    <m/>
    <m/>
    <m/>
    <m/>
    <m/>
    <m/>
  </r>
  <r>
    <s v="Call_7390"/>
    <x v="1"/>
    <x v="29"/>
    <x v="4"/>
    <x v="42"/>
    <n v="21"/>
    <n v="4.2"/>
    <x v="0"/>
    <x v="5"/>
    <x v="0"/>
    <x v="2"/>
    <m/>
    <m/>
    <m/>
    <m/>
    <m/>
    <m/>
    <m/>
    <m/>
  </r>
  <r>
    <s v="Call_7391"/>
    <x v="2"/>
    <x v="82"/>
    <x v="0"/>
    <x v="42"/>
    <n v="88"/>
    <n v="4.3"/>
    <x v="0"/>
    <x v="5"/>
    <x v="2"/>
    <x v="2"/>
    <m/>
    <m/>
    <m/>
    <m/>
    <m/>
    <m/>
    <m/>
    <m/>
  </r>
  <r>
    <s v="Call_7392"/>
    <x v="5"/>
    <x v="23"/>
    <x v="0"/>
    <x v="43"/>
    <n v="180"/>
    <n v="2.2000000000000002"/>
    <x v="0"/>
    <x v="6"/>
    <x v="1"/>
    <x v="3"/>
    <m/>
    <m/>
    <m/>
    <m/>
    <m/>
    <m/>
    <m/>
    <m/>
  </r>
  <r>
    <s v="Call_7393"/>
    <x v="0"/>
    <x v="2"/>
    <x v="1"/>
    <x v="43"/>
    <n v="22"/>
    <n v="3.3"/>
    <x v="0"/>
    <x v="6"/>
    <x v="0"/>
    <x v="1"/>
    <m/>
    <m/>
    <m/>
    <m/>
    <m/>
    <m/>
    <m/>
    <m/>
  </r>
  <r>
    <s v="Call_7394"/>
    <x v="6"/>
    <x v="48"/>
    <x v="1"/>
    <x v="43"/>
    <n v="52"/>
    <n v="4.8"/>
    <x v="0"/>
    <x v="6"/>
    <x v="0"/>
    <x v="0"/>
    <m/>
    <m/>
    <m/>
    <m/>
    <m/>
    <m/>
    <m/>
    <m/>
  </r>
  <r>
    <s v="Call_7395"/>
    <x v="11"/>
    <x v="83"/>
    <x v="0"/>
    <x v="44"/>
    <n v="80"/>
    <n v="4"/>
    <x v="0"/>
    <x v="0"/>
    <x v="0"/>
    <x v="2"/>
    <m/>
    <m/>
    <m/>
    <m/>
    <m/>
    <m/>
    <m/>
    <m/>
  </r>
  <r>
    <s v="Call_7396"/>
    <x v="4"/>
    <x v="59"/>
    <x v="2"/>
    <x v="44"/>
    <n v="54"/>
    <n v="1.1000000000000001"/>
    <x v="0"/>
    <x v="0"/>
    <x v="0"/>
    <x v="5"/>
    <m/>
    <m/>
    <m/>
    <m/>
    <m/>
    <m/>
    <m/>
    <m/>
  </r>
  <r>
    <s v="Call_7397"/>
    <x v="1"/>
    <x v="23"/>
    <x v="2"/>
    <x v="45"/>
    <n v="80"/>
    <n v="3.9"/>
    <x v="0"/>
    <x v="1"/>
    <x v="1"/>
    <x v="2"/>
    <m/>
    <m/>
    <m/>
    <m/>
    <m/>
    <m/>
    <m/>
    <m/>
  </r>
  <r>
    <s v="Call_7398"/>
    <x v="11"/>
    <x v="59"/>
    <x v="0"/>
    <x v="46"/>
    <n v="120"/>
    <n v="1.8"/>
    <x v="0"/>
    <x v="2"/>
    <x v="0"/>
    <x v="3"/>
    <m/>
    <m/>
    <m/>
    <m/>
    <m/>
    <m/>
    <m/>
    <m/>
  </r>
  <r>
    <s v="Call_7399"/>
    <x v="5"/>
    <x v="49"/>
    <x v="3"/>
    <x v="46"/>
    <n v="150"/>
    <n v="1"/>
    <x v="0"/>
    <x v="2"/>
    <x v="1"/>
    <x v="5"/>
    <m/>
    <m/>
    <m/>
    <m/>
    <m/>
    <m/>
    <m/>
    <m/>
  </r>
  <r>
    <s v="Call_7400"/>
    <x v="1"/>
    <x v="34"/>
    <x v="0"/>
    <x v="46"/>
    <n v="90"/>
    <n v="4.3"/>
    <x v="0"/>
    <x v="2"/>
    <x v="0"/>
    <x v="2"/>
    <m/>
    <m/>
    <m/>
    <m/>
    <m/>
    <m/>
    <m/>
    <m/>
  </r>
  <r>
    <s v="Call_7401"/>
    <x v="13"/>
    <x v="84"/>
    <x v="4"/>
    <x v="47"/>
    <n v="140"/>
    <n v="3.4"/>
    <x v="0"/>
    <x v="3"/>
    <x v="0"/>
    <x v="1"/>
    <m/>
    <m/>
    <m/>
    <m/>
    <m/>
    <m/>
    <m/>
    <m/>
  </r>
  <r>
    <s v="Call_7402"/>
    <x v="6"/>
    <x v="85"/>
    <x v="2"/>
    <x v="47"/>
    <n v="22"/>
    <n v="3.4"/>
    <x v="0"/>
    <x v="3"/>
    <x v="1"/>
    <x v="1"/>
    <m/>
    <m/>
    <m/>
    <m/>
    <m/>
    <m/>
    <m/>
    <m/>
  </r>
  <r>
    <s v="Call_7403"/>
    <x v="11"/>
    <x v="86"/>
    <x v="3"/>
    <x v="48"/>
    <n v="150"/>
    <n v="4.0999999999999996"/>
    <x v="0"/>
    <x v="4"/>
    <x v="0"/>
    <x v="2"/>
    <m/>
    <m/>
    <m/>
    <m/>
    <m/>
    <m/>
    <m/>
    <m/>
  </r>
  <r>
    <s v="Call_7404"/>
    <x v="14"/>
    <x v="87"/>
    <x v="1"/>
    <x v="49"/>
    <n v="35"/>
    <n v="4.8"/>
    <x v="0"/>
    <x v="5"/>
    <x v="1"/>
    <x v="0"/>
    <m/>
    <m/>
    <m/>
    <m/>
    <m/>
    <m/>
    <m/>
    <m/>
  </r>
  <r>
    <s v="Call_7405"/>
    <x v="3"/>
    <x v="88"/>
    <x v="0"/>
    <x v="49"/>
    <n v="200"/>
    <n v="2"/>
    <x v="0"/>
    <x v="5"/>
    <x v="1"/>
    <x v="3"/>
    <m/>
    <m/>
    <m/>
    <m/>
    <m/>
    <m/>
    <m/>
    <m/>
  </r>
  <r>
    <s v="Call_7406"/>
    <x v="11"/>
    <x v="84"/>
    <x v="4"/>
    <x v="50"/>
    <n v="150"/>
    <n v="4.5999999999999996"/>
    <x v="0"/>
    <x v="6"/>
    <x v="0"/>
    <x v="0"/>
    <m/>
    <m/>
    <m/>
    <m/>
    <m/>
    <m/>
    <m/>
    <m/>
  </r>
  <r>
    <s v="Call_7407"/>
    <x v="9"/>
    <x v="63"/>
    <x v="0"/>
    <x v="50"/>
    <n v="21"/>
    <n v="2.6"/>
    <x v="0"/>
    <x v="6"/>
    <x v="0"/>
    <x v="1"/>
    <m/>
    <m/>
    <m/>
    <m/>
    <m/>
    <m/>
    <m/>
    <m/>
  </r>
  <r>
    <s v="Call_7408"/>
    <x v="13"/>
    <x v="89"/>
    <x v="3"/>
    <x v="51"/>
    <n v="46"/>
    <n v="4.9000000000000004"/>
    <x v="0"/>
    <x v="0"/>
    <x v="1"/>
    <x v="0"/>
    <m/>
    <m/>
    <m/>
    <m/>
    <m/>
    <m/>
    <m/>
    <m/>
  </r>
  <r>
    <s v="Call_7409"/>
    <x v="12"/>
    <x v="9"/>
    <x v="2"/>
    <x v="51"/>
    <n v="165"/>
    <n v="2.7"/>
    <x v="0"/>
    <x v="0"/>
    <x v="0"/>
    <x v="1"/>
    <m/>
    <m/>
    <m/>
    <m/>
    <m/>
    <m/>
    <m/>
    <m/>
  </r>
  <r>
    <s v="Call_7410"/>
    <x v="10"/>
    <x v="90"/>
    <x v="0"/>
    <x v="51"/>
    <n v="84"/>
    <n v="4.0999999999999996"/>
    <x v="0"/>
    <x v="0"/>
    <x v="0"/>
    <x v="2"/>
    <m/>
    <m/>
    <m/>
    <m/>
    <m/>
    <m/>
    <m/>
    <m/>
  </r>
  <r>
    <s v="Call_7411"/>
    <x v="1"/>
    <x v="91"/>
    <x v="2"/>
    <x v="52"/>
    <n v="102"/>
    <n v="4.4000000000000004"/>
    <x v="0"/>
    <x v="1"/>
    <x v="4"/>
    <x v="2"/>
    <m/>
    <m/>
    <m/>
    <m/>
    <m/>
    <m/>
    <m/>
    <m/>
  </r>
  <r>
    <s v="Call_7412"/>
    <x v="10"/>
    <x v="92"/>
    <x v="0"/>
    <x v="52"/>
    <n v="180"/>
    <n v="4.8"/>
    <x v="0"/>
    <x v="1"/>
    <x v="1"/>
    <x v="0"/>
    <m/>
    <m/>
    <m/>
    <m/>
    <m/>
    <m/>
    <m/>
    <m/>
  </r>
  <r>
    <s v="Call_7413"/>
    <x v="9"/>
    <x v="60"/>
    <x v="3"/>
    <x v="53"/>
    <n v="111"/>
    <n v="3"/>
    <x v="0"/>
    <x v="2"/>
    <x v="2"/>
    <x v="1"/>
    <m/>
    <m/>
    <m/>
    <m/>
    <m/>
    <m/>
    <m/>
    <m/>
  </r>
  <r>
    <s v="Call_7414"/>
    <x v="9"/>
    <x v="51"/>
    <x v="4"/>
    <x v="53"/>
    <n v="104"/>
    <n v="3.1"/>
    <x v="0"/>
    <x v="2"/>
    <x v="0"/>
    <x v="1"/>
    <m/>
    <m/>
    <m/>
    <m/>
    <m/>
    <m/>
    <m/>
    <m/>
  </r>
  <r>
    <s v="Call_7415"/>
    <x v="2"/>
    <x v="93"/>
    <x v="2"/>
    <x v="53"/>
    <n v="80"/>
    <n v="2.6"/>
    <x v="0"/>
    <x v="2"/>
    <x v="2"/>
    <x v="1"/>
    <m/>
    <m/>
    <m/>
    <m/>
    <m/>
    <m/>
    <m/>
    <m/>
  </r>
  <r>
    <s v="Call_7416"/>
    <x v="4"/>
    <x v="23"/>
    <x v="4"/>
    <x v="54"/>
    <n v="132"/>
    <n v="4.5999999999999996"/>
    <x v="0"/>
    <x v="3"/>
    <x v="1"/>
    <x v="0"/>
    <m/>
    <m/>
    <m/>
    <m/>
    <m/>
    <m/>
    <m/>
    <m/>
  </r>
  <r>
    <s v="Call_7417"/>
    <x v="4"/>
    <x v="31"/>
    <x v="3"/>
    <x v="54"/>
    <n v="170"/>
    <n v="3.7"/>
    <x v="0"/>
    <x v="3"/>
    <x v="0"/>
    <x v="2"/>
    <m/>
    <m/>
    <m/>
    <m/>
    <m/>
    <m/>
    <m/>
    <m/>
  </r>
  <r>
    <s v="Call_7418"/>
    <x v="10"/>
    <x v="94"/>
    <x v="1"/>
    <x v="54"/>
    <n v="36"/>
    <n v="3.8"/>
    <x v="0"/>
    <x v="3"/>
    <x v="1"/>
    <x v="2"/>
    <m/>
    <m/>
    <m/>
    <m/>
    <m/>
    <m/>
    <m/>
    <m/>
  </r>
  <r>
    <s v="Call_7419"/>
    <x v="8"/>
    <x v="34"/>
    <x v="4"/>
    <x v="54"/>
    <n v="126"/>
    <n v="3.6"/>
    <x v="0"/>
    <x v="3"/>
    <x v="0"/>
    <x v="2"/>
    <m/>
    <m/>
    <m/>
    <m/>
    <m/>
    <m/>
    <m/>
    <m/>
  </r>
  <r>
    <s v="Call_7420"/>
    <x v="11"/>
    <x v="72"/>
    <x v="2"/>
    <x v="54"/>
    <n v="215"/>
    <n v="4.4000000000000004"/>
    <x v="0"/>
    <x v="3"/>
    <x v="1"/>
    <x v="2"/>
    <m/>
    <m/>
    <m/>
    <m/>
    <m/>
    <m/>
    <m/>
    <m/>
  </r>
  <r>
    <s v="Call_7421"/>
    <x v="8"/>
    <x v="65"/>
    <x v="3"/>
    <x v="54"/>
    <n v="114"/>
    <n v="3.2"/>
    <x v="0"/>
    <x v="3"/>
    <x v="1"/>
    <x v="1"/>
    <m/>
    <m/>
    <m/>
    <m/>
    <m/>
    <m/>
    <m/>
    <m/>
  </r>
  <r>
    <s v="Call_7422"/>
    <x v="8"/>
    <x v="62"/>
    <x v="3"/>
    <x v="54"/>
    <n v="99"/>
    <n v="4.7"/>
    <x v="0"/>
    <x v="3"/>
    <x v="2"/>
    <x v="0"/>
    <m/>
    <m/>
    <m/>
    <m/>
    <m/>
    <m/>
    <m/>
    <m/>
  </r>
  <r>
    <s v="Call_7423"/>
    <x v="6"/>
    <x v="59"/>
    <x v="3"/>
    <x v="55"/>
    <n v="23"/>
    <n v="4.8"/>
    <x v="0"/>
    <x v="4"/>
    <x v="0"/>
    <x v="0"/>
    <m/>
    <m/>
    <m/>
    <m/>
    <m/>
    <m/>
    <m/>
    <m/>
  </r>
  <r>
    <s v="Call_7424"/>
    <x v="3"/>
    <x v="6"/>
    <x v="4"/>
    <x v="55"/>
    <n v="75"/>
    <n v="2.7"/>
    <x v="0"/>
    <x v="4"/>
    <x v="0"/>
    <x v="1"/>
    <m/>
    <m/>
    <m/>
    <m/>
    <m/>
    <m/>
    <m/>
    <m/>
  </r>
  <r>
    <s v="Call_7425"/>
    <x v="8"/>
    <x v="11"/>
    <x v="2"/>
    <x v="55"/>
    <n v="100"/>
    <n v="3.8"/>
    <x v="0"/>
    <x v="4"/>
    <x v="0"/>
    <x v="2"/>
    <m/>
    <m/>
    <m/>
    <m/>
    <m/>
    <m/>
    <m/>
    <m/>
  </r>
  <r>
    <s v="Call_7426"/>
    <x v="10"/>
    <x v="32"/>
    <x v="1"/>
    <x v="55"/>
    <n v="108"/>
    <n v="4.3"/>
    <x v="0"/>
    <x v="4"/>
    <x v="0"/>
    <x v="2"/>
    <m/>
    <m/>
    <m/>
    <m/>
    <m/>
    <m/>
    <m/>
    <m/>
  </r>
  <r>
    <s v="Call_7427"/>
    <x v="1"/>
    <x v="74"/>
    <x v="1"/>
    <x v="55"/>
    <n v="108"/>
    <n v="5"/>
    <x v="0"/>
    <x v="4"/>
    <x v="0"/>
    <x v="0"/>
    <m/>
    <m/>
    <m/>
    <m/>
    <m/>
    <m/>
    <m/>
    <m/>
  </r>
  <r>
    <s v="Call_7428"/>
    <x v="3"/>
    <x v="95"/>
    <x v="1"/>
    <x v="55"/>
    <n v="28"/>
    <n v="4.8"/>
    <x v="0"/>
    <x v="4"/>
    <x v="0"/>
    <x v="0"/>
    <m/>
    <m/>
    <m/>
    <m/>
    <m/>
    <m/>
    <m/>
    <m/>
  </r>
  <r>
    <s v="Call_7429"/>
    <x v="9"/>
    <x v="96"/>
    <x v="0"/>
    <x v="56"/>
    <n v="70"/>
    <n v="4.9000000000000004"/>
    <x v="0"/>
    <x v="5"/>
    <x v="0"/>
    <x v="0"/>
    <m/>
    <m/>
    <m/>
    <m/>
    <m/>
    <m/>
    <m/>
    <m/>
  </r>
  <r>
    <s v="Call_7430"/>
    <x v="2"/>
    <x v="90"/>
    <x v="0"/>
    <x v="56"/>
    <n v="172"/>
    <n v="4.0999999999999996"/>
    <x v="0"/>
    <x v="5"/>
    <x v="0"/>
    <x v="2"/>
    <m/>
    <m/>
    <m/>
    <m/>
    <m/>
    <m/>
    <m/>
    <m/>
  </r>
  <r>
    <s v="Call_7431"/>
    <x v="1"/>
    <x v="97"/>
    <x v="2"/>
    <x v="56"/>
    <n v="123"/>
    <n v="4.4000000000000004"/>
    <x v="0"/>
    <x v="5"/>
    <x v="0"/>
    <x v="2"/>
    <m/>
    <m/>
    <m/>
    <m/>
    <m/>
    <m/>
    <m/>
    <m/>
  </r>
  <r>
    <s v="Call_7432"/>
    <x v="1"/>
    <x v="98"/>
    <x v="1"/>
    <x v="56"/>
    <n v="93"/>
    <n v="3.4"/>
    <x v="0"/>
    <x v="5"/>
    <x v="3"/>
    <x v="1"/>
    <m/>
    <m/>
    <m/>
    <m/>
    <m/>
    <m/>
    <m/>
    <m/>
  </r>
  <r>
    <s v="Call_7433"/>
    <x v="12"/>
    <x v="99"/>
    <x v="0"/>
    <x v="56"/>
    <n v="66"/>
    <n v="4"/>
    <x v="0"/>
    <x v="5"/>
    <x v="0"/>
    <x v="2"/>
    <m/>
    <m/>
    <m/>
    <m/>
    <m/>
    <m/>
    <m/>
    <m/>
  </r>
  <r>
    <s v="Call_7434"/>
    <x v="12"/>
    <x v="37"/>
    <x v="1"/>
    <x v="56"/>
    <n v="39"/>
    <n v="2.4"/>
    <x v="0"/>
    <x v="5"/>
    <x v="1"/>
    <x v="3"/>
    <m/>
    <m/>
    <m/>
    <m/>
    <m/>
    <m/>
    <m/>
    <m/>
  </r>
  <r>
    <s v="Call_7435"/>
    <x v="0"/>
    <x v="100"/>
    <x v="4"/>
    <x v="56"/>
    <n v="25"/>
    <n v="2.1"/>
    <x v="0"/>
    <x v="5"/>
    <x v="3"/>
    <x v="3"/>
    <m/>
    <m/>
    <m/>
    <m/>
    <m/>
    <m/>
    <m/>
    <m/>
  </r>
  <r>
    <s v="Call_7436"/>
    <x v="13"/>
    <x v="96"/>
    <x v="2"/>
    <x v="56"/>
    <n v="68"/>
    <n v="3"/>
    <x v="0"/>
    <x v="5"/>
    <x v="0"/>
    <x v="1"/>
    <m/>
    <m/>
    <m/>
    <m/>
    <m/>
    <m/>
    <m/>
    <m/>
  </r>
  <r>
    <s v="Call_7437"/>
    <x v="2"/>
    <x v="16"/>
    <x v="4"/>
    <x v="56"/>
    <n v="84"/>
    <n v="3.2"/>
    <x v="0"/>
    <x v="5"/>
    <x v="3"/>
    <x v="1"/>
    <m/>
    <m/>
    <m/>
    <m/>
    <m/>
    <m/>
    <m/>
    <m/>
  </r>
  <r>
    <s v="Call_7438"/>
    <x v="4"/>
    <x v="12"/>
    <x v="1"/>
    <x v="57"/>
    <n v="88"/>
    <n v="3.4"/>
    <x v="0"/>
    <x v="6"/>
    <x v="1"/>
    <x v="1"/>
    <m/>
    <m/>
    <m/>
    <m/>
    <m/>
    <m/>
    <m/>
    <m/>
  </r>
  <r>
    <s v="Call_7439"/>
    <x v="10"/>
    <x v="25"/>
    <x v="2"/>
    <x v="57"/>
    <n v="93"/>
    <n v="2.7"/>
    <x v="0"/>
    <x v="6"/>
    <x v="0"/>
    <x v="1"/>
    <m/>
    <m/>
    <m/>
    <m/>
    <m/>
    <m/>
    <m/>
    <m/>
  </r>
  <r>
    <s v="Call_7440"/>
    <x v="1"/>
    <x v="58"/>
    <x v="4"/>
    <x v="57"/>
    <n v="128"/>
    <n v="5"/>
    <x v="0"/>
    <x v="6"/>
    <x v="0"/>
    <x v="0"/>
    <m/>
    <m/>
    <m/>
    <m/>
    <m/>
    <m/>
    <m/>
    <m/>
  </r>
  <r>
    <s v="Call_7441"/>
    <x v="2"/>
    <x v="29"/>
    <x v="3"/>
    <x v="57"/>
    <n v="40"/>
    <n v="3.4"/>
    <x v="0"/>
    <x v="6"/>
    <x v="0"/>
    <x v="1"/>
    <m/>
    <m/>
    <m/>
    <m/>
    <m/>
    <m/>
    <m/>
    <m/>
  </r>
  <r>
    <s v="Call_7442"/>
    <x v="6"/>
    <x v="101"/>
    <x v="4"/>
    <x v="58"/>
    <n v="92"/>
    <n v="4.7"/>
    <x v="0"/>
    <x v="0"/>
    <x v="2"/>
    <x v="0"/>
    <m/>
    <m/>
    <m/>
    <m/>
    <m/>
    <m/>
    <m/>
    <m/>
  </r>
  <r>
    <s v="Call_7443"/>
    <x v="8"/>
    <x v="96"/>
    <x v="1"/>
    <x v="58"/>
    <n v="27"/>
    <n v="4.5"/>
    <x v="0"/>
    <x v="0"/>
    <x v="0"/>
    <x v="0"/>
    <m/>
    <m/>
    <m/>
    <m/>
    <m/>
    <m/>
    <m/>
    <m/>
  </r>
  <r>
    <s v="Call_7444"/>
    <x v="5"/>
    <x v="37"/>
    <x v="0"/>
    <x v="58"/>
    <n v="140"/>
    <n v="4.0999999999999996"/>
    <x v="0"/>
    <x v="0"/>
    <x v="1"/>
    <x v="2"/>
    <m/>
    <m/>
    <m/>
    <m/>
    <m/>
    <m/>
    <m/>
    <m/>
  </r>
  <r>
    <s v="Call_7445"/>
    <x v="12"/>
    <x v="19"/>
    <x v="2"/>
    <x v="58"/>
    <n v="40"/>
    <n v="5"/>
    <x v="0"/>
    <x v="0"/>
    <x v="0"/>
    <x v="0"/>
    <m/>
    <m/>
    <m/>
    <m/>
    <m/>
    <m/>
    <m/>
    <m/>
  </r>
  <r>
    <s v="Call_7446"/>
    <x v="14"/>
    <x v="51"/>
    <x v="4"/>
    <x v="58"/>
    <n v="102"/>
    <n v="4.7"/>
    <x v="0"/>
    <x v="0"/>
    <x v="0"/>
    <x v="0"/>
    <m/>
    <m/>
    <m/>
    <m/>
    <m/>
    <m/>
    <m/>
    <m/>
  </r>
  <r>
    <s v="Call_7447"/>
    <x v="5"/>
    <x v="97"/>
    <x v="0"/>
    <x v="58"/>
    <n v="42"/>
    <n v="4.2"/>
    <x v="0"/>
    <x v="0"/>
    <x v="0"/>
    <x v="2"/>
    <m/>
    <m/>
    <m/>
    <m/>
    <m/>
    <m/>
    <m/>
    <m/>
  </r>
  <r>
    <s v="Call_7448"/>
    <x v="10"/>
    <x v="93"/>
    <x v="1"/>
    <x v="59"/>
    <n v="210"/>
    <n v="3.9"/>
    <x v="0"/>
    <x v="1"/>
    <x v="2"/>
    <x v="2"/>
    <m/>
    <m/>
    <m/>
    <m/>
    <m/>
    <m/>
    <m/>
    <m/>
  </r>
  <r>
    <s v="Call_7449"/>
    <x v="5"/>
    <x v="88"/>
    <x v="2"/>
    <x v="59"/>
    <n v="34"/>
    <n v="3"/>
    <x v="0"/>
    <x v="1"/>
    <x v="1"/>
    <x v="1"/>
    <m/>
    <m/>
    <m/>
    <m/>
    <m/>
    <m/>
    <m/>
    <m/>
  </r>
  <r>
    <s v="Call_7450"/>
    <x v="12"/>
    <x v="21"/>
    <x v="3"/>
    <x v="59"/>
    <n v="215"/>
    <n v="3.6"/>
    <x v="0"/>
    <x v="1"/>
    <x v="0"/>
    <x v="2"/>
    <m/>
    <m/>
    <m/>
    <m/>
    <m/>
    <m/>
    <m/>
    <m/>
  </r>
  <r>
    <s v="Call_7451"/>
    <x v="9"/>
    <x v="63"/>
    <x v="3"/>
    <x v="59"/>
    <n v="32"/>
    <n v="0.7"/>
    <x v="0"/>
    <x v="1"/>
    <x v="0"/>
    <x v="5"/>
    <m/>
    <m/>
    <m/>
    <m/>
    <m/>
    <m/>
    <m/>
    <m/>
  </r>
  <r>
    <s v="Call_7452"/>
    <x v="4"/>
    <x v="86"/>
    <x v="1"/>
    <x v="60"/>
    <n v="48"/>
    <n v="4.7"/>
    <x v="0"/>
    <x v="2"/>
    <x v="0"/>
    <x v="0"/>
    <m/>
    <m/>
    <m/>
    <m/>
    <m/>
    <m/>
    <m/>
    <m/>
  </r>
  <r>
    <s v="Call_7453"/>
    <x v="5"/>
    <x v="53"/>
    <x v="1"/>
    <x v="60"/>
    <n v="132"/>
    <n v="4.5"/>
    <x v="0"/>
    <x v="2"/>
    <x v="0"/>
    <x v="0"/>
    <m/>
    <m/>
    <m/>
    <m/>
    <m/>
    <m/>
    <m/>
    <m/>
  </r>
  <r>
    <s v="Call_7454"/>
    <x v="8"/>
    <x v="6"/>
    <x v="0"/>
    <x v="60"/>
    <n v="172"/>
    <n v="4.3"/>
    <x v="0"/>
    <x v="2"/>
    <x v="0"/>
    <x v="2"/>
    <m/>
    <m/>
    <m/>
    <m/>
    <m/>
    <m/>
    <m/>
    <m/>
  </r>
  <r>
    <s v="Call_7455"/>
    <x v="8"/>
    <x v="29"/>
    <x v="0"/>
    <x v="60"/>
    <n v="111"/>
    <n v="3.4"/>
    <x v="0"/>
    <x v="2"/>
    <x v="0"/>
    <x v="1"/>
    <m/>
    <m/>
    <m/>
    <m/>
    <m/>
    <m/>
    <m/>
    <m/>
  </r>
  <r>
    <s v="Call_7456"/>
    <x v="7"/>
    <x v="102"/>
    <x v="0"/>
    <x v="60"/>
    <n v="58"/>
    <n v="3.6"/>
    <x v="0"/>
    <x v="2"/>
    <x v="0"/>
    <x v="2"/>
    <m/>
    <m/>
    <m/>
    <m/>
    <m/>
    <m/>
    <m/>
    <m/>
  </r>
  <r>
    <s v="Call_7457"/>
    <x v="7"/>
    <x v="103"/>
    <x v="3"/>
    <x v="60"/>
    <n v="68"/>
    <n v="4"/>
    <x v="0"/>
    <x v="2"/>
    <x v="2"/>
    <x v="2"/>
    <m/>
    <m/>
    <m/>
    <m/>
    <m/>
    <m/>
    <m/>
    <m/>
  </r>
  <r>
    <s v="Call_7458"/>
    <x v="8"/>
    <x v="104"/>
    <x v="2"/>
    <x v="60"/>
    <n v="160"/>
    <n v="4.5"/>
    <x v="0"/>
    <x v="2"/>
    <x v="1"/>
    <x v="0"/>
    <m/>
    <m/>
    <m/>
    <m/>
    <m/>
    <m/>
    <m/>
    <m/>
  </r>
  <r>
    <s v="Call_7459"/>
    <x v="13"/>
    <x v="24"/>
    <x v="4"/>
    <x v="60"/>
    <n v="45"/>
    <n v="3"/>
    <x v="0"/>
    <x v="2"/>
    <x v="0"/>
    <x v="1"/>
    <m/>
    <m/>
    <m/>
    <m/>
    <m/>
    <m/>
    <m/>
    <m/>
  </r>
  <r>
    <s v="Call_7460"/>
    <x v="14"/>
    <x v="6"/>
    <x v="1"/>
    <x v="61"/>
    <n v="117"/>
    <n v="3"/>
    <x v="0"/>
    <x v="3"/>
    <x v="0"/>
    <x v="1"/>
    <m/>
    <m/>
    <m/>
    <m/>
    <m/>
    <m/>
    <m/>
    <m/>
  </r>
  <r>
    <s v="Call_7461"/>
    <x v="10"/>
    <x v="105"/>
    <x v="0"/>
    <x v="62"/>
    <n v="22"/>
    <n v="1.6"/>
    <x v="0"/>
    <x v="4"/>
    <x v="3"/>
    <x v="3"/>
    <m/>
    <m/>
    <m/>
    <m/>
    <m/>
    <m/>
    <m/>
    <m/>
  </r>
  <r>
    <s v="Call_7462"/>
    <x v="14"/>
    <x v="29"/>
    <x v="4"/>
    <x v="62"/>
    <n v="195"/>
    <n v="3"/>
    <x v="0"/>
    <x v="4"/>
    <x v="0"/>
    <x v="1"/>
    <m/>
    <m/>
    <m/>
    <m/>
    <m/>
    <m/>
    <m/>
    <m/>
  </r>
  <r>
    <s v="Call_7463"/>
    <x v="7"/>
    <x v="24"/>
    <x v="2"/>
    <x v="62"/>
    <n v="168"/>
    <n v="3.7"/>
    <x v="0"/>
    <x v="4"/>
    <x v="0"/>
    <x v="2"/>
    <m/>
    <m/>
    <m/>
    <m/>
    <m/>
    <m/>
    <m/>
    <m/>
  </r>
  <r>
    <s v="Call_7464"/>
    <x v="5"/>
    <x v="106"/>
    <x v="3"/>
    <x v="63"/>
    <n v="46"/>
    <n v="4.9000000000000004"/>
    <x v="0"/>
    <x v="5"/>
    <x v="0"/>
    <x v="0"/>
    <m/>
    <m/>
    <m/>
    <m/>
    <m/>
    <m/>
    <m/>
    <m/>
  </r>
  <r>
    <s v="Call_7465"/>
    <x v="1"/>
    <x v="23"/>
    <x v="0"/>
    <x v="63"/>
    <n v="164"/>
    <n v="3.4"/>
    <x v="0"/>
    <x v="5"/>
    <x v="1"/>
    <x v="1"/>
    <m/>
    <m/>
    <m/>
    <m/>
    <m/>
    <m/>
    <m/>
    <m/>
  </r>
  <r>
    <s v="Call_7466"/>
    <x v="5"/>
    <x v="47"/>
    <x v="3"/>
    <x v="63"/>
    <n v="48"/>
    <n v="5"/>
    <x v="0"/>
    <x v="5"/>
    <x v="0"/>
    <x v="0"/>
    <m/>
    <m/>
    <m/>
    <m/>
    <m/>
    <m/>
    <m/>
    <m/>
  </r>
  <r>
    <s v="Call_7467"/>
    <x v="2"/>
    <x v="28"/>
    <x v="1"/>
    <x v="63"/>
    <n v="96"/>
    <n v="5"/>
    <x v="0"/>
    <x v="5"/>
    <x v="0"/>
    <x v="0"/>
    <m/>
    <m/>
    <m/>
    <m/>
    <m/>
    <m/>
    <m/>
    <m/>
  </r>
  <r>
    <s v="Call_7468"/>
    <x v="5"/>
    <x v="51"/>
    <x v="3"/>
    <x v="63"/>
    <n v="105"/>
    <n v="4"/>
    <x v="0"/>
    <x v="5"/>
    <x v="0"/>
    <x v="2"/>
    <m/>
    <m/>
    <m/>
    <m/>
    <m/>
    <m/>
    <m/>
    <m/>
  </r>
  <r>
    <s v="Call_7469"/>
    <x v="1"/>
    <x v="41"/>
    <x v="3"/>
    <x v="64"/>
    <n v="44"/>
    <n v="3.6"/>
    <x v="0"/>
    <x v="6"/>
    <x v="0"/>
    <x v="2"/>
    <m/>
    <m/>
    <m/>
    <m/>
    <m/>
    <m/>
    <m/>
    <m/>
  </r>
  <r>
    <s v="Call_7470"/>
    <x v="0"/>
    <x v="107"/>
    <x v="2"/>
    <x v="64"/>
    <n v="132"/>
    <n v="3.7"/>
    <x v="0"/>
    <x v="6"/>
    <x v="0"/>
    <x v="2"/>
    <m/>
    <m/>
    <m/>
    <m/>
    <m/>
    <m/>
    <m/>
    <m/>
  </r>
  <r>
    <s v="Call_7471"/>
    <x v="2"/>
    <x v="5"/>
    <x v="0"/>
    <x v="64"/>
    <n v="54"/>
    <n v="4.2"/>
    <x v="0"/>
    <x v="6"/>
    <x v="0"/>
    <x v="2"/>
    <m/>
    <m/>
    <m/>
    <m/>
    <m/>
    <m/>
    <m/>
    <m/>
  </r>
  <r>
    <s v="Call_7472"/>
    <x v="13"/>
    <x v="108"/>
    <x v="4"/>
    <x v="64"/>
    <n v="129"/>
    <n v="2.1"/>
    <x v="0"/>
    <x v="6"/>
    <x v="2"/>
    <x v="3"/>
    <m/>
    <m/>
    <m/>
    <m/>
    <m/>
    <m/>
    <m/>
    <m/>
  </r>
  <r>
    <s v="Call_7473"/>
    <x v="13"/>
    <x v="47"/>
    <x v="3"/>
    <x v="64"/>
    <n v="42"/>
    <n v="4"/>
    <x v="0"/>
    <x v="6"/>
    <x v="0"/>
    <x v="2"/>
    <m/>
    <m/>
    <m/>
    <m/>
    <m/>
    <m/>
    <m/>
    <m/>
  </r>
  <r>
    <s v="Call_7474"/>
    <x v="9"/>
    <x v="45"/>
    <x v="3"/>
    <x v="64"/>
    <n v="42"/>
    <n v="4.2"/>
    <x v="0"/>
    <x v="6"/>
    <x v="0"/>
    <x v="2"/>
    <m/>
    <m/>
    <m/>
    <m/>
    <m/>
    <m/>
    <m/>
    <m/>
  </r>
  <r>
    <s v="Call_7475"/>
    <x v="7"/>
    <x v="104"/>
    <x v="0"/>
    <x v="64"/>
    <n v="180"/>
    <n v="3.1"/>
    <x v="0"/>
    <x v="6"/>
    <x v="1"/>
    <x v="1"/>
    <m/>
    <m/>
    <m/>
    <m/>
    <m/>
    <m/>
    <m/>
    <m/>
  </r>
  <r>
    <s v="Call_7476"/>
    <x v="4"/>
    <x v="21"/>
    <x v="3"/>
    <x v="65"/>
    <n v="34"/>
    <n v="4.8"/>
    <x v="0"/>
    <x v="0"/>
    <x v="0"/>
    <x v="0"/>
    <m/>
    <m/>
    <m/>
    <m/>
    <m/>
    <m/>
    <m/>
    <m/>
  </r>
  <r>
    <s v="Call_7477"/>
    <x v="14"/>
    <x v="91"/>
    <x v="4"/>
    <x v="65"/>
    <n v="29"/>
    <n v="4.7"/>
    <x v="0"/>
    <x v="0"/>
    <x v="4"/>
    <x v="0"/>
    <m/>
    <m/>
    <m/>
    <m/>
    <m/>
    <m/>
    <m/>
    <m/>
  </r>
  <r>
    <s v="Call_7478"/>
    <x v="12"/>
    <x v="109"/>
    <x v="1"/>
    <x v="65"/>
    <n v="165"/>
    <n v="3.3"/>
    <x v="0"/>
    <x v="0"/>
    <x v="2"/>
    <x v="1"/>
    <m/>
    <m/>
    <m/>
    <m/>
    <m/>
    <m/>
    <m/>
    <m/>
  </r>
  <r>
    <s v="Call_7479"/>
    <x v="14"/>
    <x v="110"/>
    <x v="3"/>
    <x v="66"/>
    <n v="32"/>
    <n v="3.7"/>
    <x v="0"/>
    <x v="1"/>
    <x v="1"/>
    <x v="2"/>
    <m/>
    <m/>
    <m/>
    <m/>
    <m/>
    <m/>
    <m/>
    <m/>
  </r>
  <r>
    <s v="Call_7480"/>
    <x v="13"/>
    <x v="84"/>
    <x v="2"/>
    <x v="66"/>
    <n v="160"/>
    <n v="4.9000000000000004"/>
    <x v="0"/>
    <x v="1"/>
    <x v="0"/>
    <x v="0"/>
    <m/>
    <m/>
    <m/>
    <m/>
    <m/>
    <m/>
    <m/>
    <m/>
  </r>
  <r>
    <s v="Call_7481"/>
    <x v="7"/>
    <x v="111"/>
    <x v="0"/>
    <x v="66"/>
    <n v="140"/>
    <n v="3.5"/>
    <x v="0"/>
    <x v="1"/>
    <x v="1"/>
    <x v="2"/>
    <m/>
    <m/>
    <m/>
    <m/>
    <m/>
    <m/>
    <m/>
    <m/>
  </r>
  <r>
    <s v="Call_7482"/>
    <x v="12"/>
    <x v="61"/>
    <x v="0"/>
    <x v="66"/>
    <n v="136"/>
    <n v="4.4000000000000004"/>
    <x v="0"/>
    <x v="1"/>
    <x v="1"/>
    <x v="2"/>
    <m/>
    <m/>
    <m/>
    <m/>
    <m/>
    <m/>
    <m/>
    <m/>
  </r>
  <r>
    <s v="Call_7483"/>
    <x v="2"/>
    <x v="106"/>
    <x v="4"/>
    <x v="66"/>
    <n v="66"/>
    <n v="2.8"/>
    <x v="0"/>
    <x v="1"/>
    <x v="0"/>
    <x v="1"/>
    <m/>
    <m/>
    <m/>
    <m/>
    <m/>
    <m/>
    <m/>
    <m/>
  </r>
  <r>
    <s v="Call_7484"/>
    <x v="12"/>
    <x v="36"/>
    <x v="2"/>
    <x v="67"/>
    <n v="63"/>
    <n v="4.0999999999999996"/>
    <x v="0"/>
    <x v="2"/>
    <x v="3"/>
    <x v="2"/>
    <m/>
    <m/>
    <m/>
    <m/>
    <m/>
    <m/>
    <m/>
    <m/>
  </r>
  <r>
    <s v="Call_7485"/>
    <x v="0"/>
    <x v="112"/>
    <x v="3"/>
    <x v="67"/>
    <n v="44"/>
    <n v="3.5"/>
    <x v="0"/>
    <x v="2"/>
    <x v="1"/>
    <x v="2"/>
    <m/>
    <m/>
    <m/>
    <m/>
    <m/>
    <m/>
    <m/>
    <m/>
  </r>
  <r>
    <s v="Call_7486"/>
    <x v="7"/>
    <x v="16"/>
    <x v="1"/>
    <x v="67"/>
    <n v="78"/>
    <n v="3.8"/>
    <x v="0"/>
    <x v="2"/>
    <x v="3"/>
    <x v="2"/>
    <m/>
    <m/>
    <m/>
    <m/>
    <m/>
    <m/>
    <m/>
    <m/>
  </r>
  <r>
    <s v="Call_7487"/>
    <x v="7"/>
    <x v="1"/>
    <x v="3"/>
    <x v="67"/>
    <n v="20"/>
    <n v="3.9"/>
    <x v="0"/>
    <x v="2"/>
    <x v="0"/>
    <x v="2"/>
    <m/>
    <m/>
    <m/>
    <m/>
    <m/>
    <m/>
    <m/>
    <m/>
  </r>
  <r>
    <s v="Call_7488"/>
    <x v="14"/>
    <x v="83"/>
    <x v="4"/>
    <x v="67"/>
    <n v="84"/>
    <n v="2.5"/>
    <x v="0"/>
    <x v="2"/>
    <x v="0"/>
    <x v="1"/>
    <m/>
    <m/>
    <m/>
    <m/>
    <m/>
    <m/>
    <m/>
    <m/>
  </r>
  <r>
    <s v="Call_7489"/>
    <x v="8"/>
    <x v="2"/>
    <x v="4"/>
    <x v="67"/>
    <n v="32"/>
    <n v="4.9000000000000004"/>
    <x v="0"/>
    <x v="2"/>
    <x v="0"/>
    <x v="0"/>
    <m/>
    <m/>
    <m/>
    <m/>
    <m/>
    <m/>
    <m/>
    <m/>
  </r>
  <r>
    <s v="Call_7490"/>
    <x v="9"/>
    <x v="113"/>
    <x v="1"/>
    <x v="67"/>
    <n v="132"/>
    <n v="3.4"/>
    <x v="0"/>
    <x v="2"/>
    <x v="0"/>
    <x v="1"/>
    <m/>
    <m/>
    <m/>
    <m/>
    <m/>
    <m/>
    <m/>
    <m/>
  </r>
  <r>
    <s v="Call_7491"/>
    <x v="9"/>
    <x v="47"/>
    <x v="0"/>
    <x v="67"/>
    <n v="105"/>
    <n v="3.3"/>
    <x v="0"/>
    <x v="2"/>
    <x v="0"/>
    <x v="1"/>
    <m/>
    <m/>
    <m/>
    <m/>
    <m/>
    <m/>
    <m/>
    <m/>
  </r>
  <r>
    <s v="Call_7492"/>
    <x v="1"/>
    <x v="12"/>
    <x v="3"/>
    <x v="68"/>
    <n v="48"/>
    <n v="4.7"/>
    <x v="0"/>
    <x v="3"/>
    <x v="1"/>
    <x v="0"/>
    <m/>
    <m/>
    <m/>
    <m/>
    <m/>
    <m/>
    <m/>
    <m/>
  </r>
  <r>
    <s v="Call_7493"/>
    <x v="7"/>
    <x v="44"/>
    <x v="3"/>
    <x v="68"/>
    <n v="64"/>
    <n v="4"/>
    <x v="0"/>
    <x v="3"/>
    <x v="2"/>
    <x v="2"/>
    <m/>
    <m/>
    <m/>
    <m/>
    <m/>
    <m/>
    <m/>
    <m/>
  </r>
  <r>
    <s v="Call_7494"/>
    <x v="10"/>
    <x v="87"/>
    <x v="0"/>
    <x v="68"/>
    <n v="44"/>
    <n v="3.8"/>
    <x v="0"/>
    <x v="3"/>
    <x v="1"/>
    <x v="2"/>
    <m/>
    <m/>
    <m/>
    <m/>
    <m/>
    <m/>
    <m/>
    <m/>
  </r>
  <r>
    <s v="Call_7495"/>
    <x v="1"/>
    <x v="68"/>
    <x v="1"/>
    <x v="68"/>
    <n v="120"/>
    <n v="3.1"/>
    <x v="0"/>
    <x v="3"/>
    <x v="2"/>
    <x v="1"/>
    <m/>
    <m/>
    <m/>
    <m/>
    <m/>
    <m/>
    <m/>
    <m/>
  </r>
  <r>
    <s v="Call_7496"/>
    <x v="10"/>
    <x v="33"/>
    <x v="1"/>
    <x v="68"/>
    <n v="144"/>
    <n v="4.8"/>
    <x v="0"/>
    <x v="3"/>
    <x v="0"/>
    <x v="0"/>
    <m/>
    <m/>
    <m/>
    <m/>
    <m/>
    <m/>
    <m/>
    <m/>
  </r>
  <r>
    <s v="Call_7497"/>
    <x v="9"/>
    <x v="83"/>
    <x v="1"/>
    <x v="68"/>
    <n v="87"/>
    <n v="2.7"/>
    <x v="0"/>
    <x v="3"/>
    <x v="0"/>
    <x v="1"/>
    <m/>
    <m/>
    <m/>
    <m/>
    <m/>
    <m/>
    <m/>
    <m/>
  </r>
  <r>
    <s v="Call_7498"/>
    <x v="4"/>
    <x v="114"/>
    <x v="4"/>
    <x v="68"/>
    <n v="36"/>
    <n v="3.6"/>
    <x v="0"/>
    <x v="3"/>
    <x v="1"/>
    <x v="2"/>
    <m/>
    <m/>
    <m/>
    <m/>
    <m/>
    <m/>
    <m/>
    <m/>
  </r>
  <r>
    <s v="Call_7499"/>
    <x v="9"/>
    <x v="31"/>
    <x v="3"/>
    <x v="69"/>
    <n v="72"/>
    <n v="4.7"/>
    <x v="0"/>
    <x v="4"/>
    <x v="0"/>
    <x v="0"/>
    <m/>
    <m/>
    <m/>
    <m/>
    <m/>
    <m/>
    <m/>
    <m/>
  </r>
  <r>
    <s v="Call_7500"/>
    <x v="13"/>
    <x v="76"/>
    <x v="0"/>
    <x v="69"/>
    <n v="150"/>
    <n v="4.4000000000000004"/>
    <x v="0"/>
    <x v="4"/>
    <x v="1"/>
    <x v="2"/>
    <m/>
    <m/>
    <m/>
    <m/>
    <m/>
    <m/>
    <m/>
    <m/>
  </r>
  <r>
    <s v="Call_7501"/>
    <x v="3"/>
    <x v="73"/>
    <x v="1"/>
    <x v="69"/>
    <n v="68"/>
    <n v="4.3"/>
    <x v="0"/>
    <x v="4"/>
    <x v="2"/>
    <x v="2"/>
    <m/>
    <m/>
    <m/>
    <m/>
    <m/>
    <m/>
    <m/>
    <m/>
  </r>
  <r>
    <s v="Call_7502"/>
    <x v="1"/>
    <x v="30"/>
    <x v="0"/>
    <x v="69"/>
    <n v="99"/>
    <n v="4.9000000000000004"/>
    <x v="0"/>
    <x v="4"/>
    <x v="0"/>
    <x v="0"/>
    <m/>
    <m/>
    <m/>
    <m/>
    <m/>
    <m/>
    <m/>
    <m/>
  </r>
  <r>
    <s v="Call_7503"/>
    <x v="4"/>
    <x v="17"/>
    <x v="1"/>
    <x v="69"/>
    <n v="26"/>
    <n v="4.8"/>
    <x v="0"/>
    <x v="4"/>
    <x v="2"/>
    <x v="0"/>
    <m/>
    <m/>
    <m/>
    <m/>
    <m/>
    <m/>
    <m/>
    <m/>
  </r>
  <r>
    <s v="Call_7504"/>
    <x v="9"/>
    <x v="38"/>
    <x v="1"/>
    <x v="69"/>
    <n v="88"/>
    <n v="3.2"/>
    <x v="0"/>
    <x v="4"/>
    <x v="0"/>
    <x v="1"/>
    <m/>
    <m/>
    <m/>
    <m/>
    <m/>
    <m/>
    <m/>
    <m/>
  </r>
  <r>
    <s v="Call_7505"/>
    <x v="5"/>
    <x v="41"/>
    <x v="1"/>
    <x v="69"/>
    <n v="124"/>
    <n v="3.4"/>
    <x v="0"/>
    <x v="4"/>
    <x v="0"/>
    <x v="1"/>
    <m/>
    <m/>
    <m/>
    <m/>
    <m/>
    <m/>
    <m/>
    <m/>
  </r>
  <r>
    <s v="Call_7506"/>
    <x v="10"/>
    <x v="5"/>
    <x v="1"/>
    <x v="69"/>
    <n v="72"/>
    <n v="3.5"/>
    <x v="0"/>
    <x v="4"/>
    <x v="0"/>
    <x v="2"/>
    <m/>
    <m/>
    <m/>
    <m/>
    <m/>
    <m/>
    <m/>
    <m/>
  </r>
  <r>
    <s v="Call_7507"/>
    <x v="0"/>
    <x v="102"/>
    <x v="2"/>
    <x v="70"/>
    <n v="125"/>
    <n v="4.9000000000000004"/>
    <x v="0"/>
    <x v="5"/>
    <x v="0"/>
    <x v="0"/>
    <m/>
    <m/>
    <m/>
    <m/>
    <m/>
    <m/>
    <m/>
    <m/>
  </r>
  <r>
    <s v="Call_7508"/>
    <x v="6"/>
    <x v="90"/>
    <x v="0"/>
    <x v="70"/>
    <n v="22"/>
    <n v="4.0999999999999996"/>
    <x v="0"/>
    <x v="5"/>
    <x v="0"/>
    <x v="2"/>
    <m/>
    <m/>
    <m/>
    <m/>
    <m/>
    <m/>
    <m/>
    <m/>
  </r>
  <r>
    <s v="Call_7509"/>
    <x v="2"/>
    <x v="34"/>
    <x v="3"/>
    <x v="71"/>
    <n v="70"/>
    <n v="4.9000000000000004"/>
    <x v="0"/>
    <x v="6"/>
    <x v="0"/>
    <x v="0"/>
    <m/>
    <m/>
    <m/>
    <m/>
    <m/>
    <m/>
    <m/>
    <m/>
  </r>
  <r>
    <s v="Call_7510"/>
    <x v="11"/>
    <x v="101"/>
    <x v="1"/>
    <x v="71"/>
    <n v="24"/>
    <n v="4.3"/>
    <x v="0"/>
    <x v="6"/>
    <x v="2"/>
    <x v="2"/>
    <m/>
    <m/>
    <m/>
    <m/>
    <m/>
    <m/>
    <m/>
    <m/>
  </r>
  <r>
    <s v="Call_7511"/>
    <x v="7"/>
    <x v="29"/>
    <x v="4"/>
    <x v="71"/>
    <n v="32"/>
    <n v="4.0999999999999996"/>
    <x v="0"/>
    <x v="6"/>
    <x v="0"/>
    <x v="2"/>
    <m/>
    <m/>
    <m/>
    <m/>
    <m/>
    <m/>
    <m/>
    <m/>
  </r>
  <r>
    <s v="Call_7512"/>
    <x v="13"/>
    <x v="32"/>
    <x v="2"/>
    <x v="71"/>
    <n v="112"/>
    <n v="4.4000000000000004"/>
    <x v="0"/>
    <x v="6"/>
    <x v="0"/>
    <x v="2"/>
    <m/>
    <m/>
    <m/>
    <m/>
    <m/>
    <m/>
    <m/>
    <m/>
  </r>
  <r>
    <s v="Call_7513"/>
    <x v="6"/>
    <x v="20"/>
    <x v="1"/>
    <x v="72"/>
    <n v="43"/>
    <n v="4.5"/>
    <x v="0"/>
    <x v="0"/>
    <x v="2"/>
    <x v="0"/>
    <m/>
    <m/>
    <m/>
    <m/>
    <m/>
    <m/>
    <m/>
    <m/>
  </r>
  <r>
    <s v="Call_7514"/>
    <x v="10"/>
    <x v="5"/>
    <x v="2"/>
    <x v="72"/>
    <n v="22"/>
    <n v="3.5"/>
    <x v="0"/>
    <x v="0"/>
    <x v="0"/>
    <x v="2"/>
    <m/>
    <m/>
    <m/>
    <m/>
    <m/>
    <m/>
    <m/>
    <m/>
  </r>
  <r>
    <s v="Call_7515"/>
    <x v="9"/>
    <x v="115"/>
    <x v="2"/>
    <x v="72"/>
    <n v="93"/>
    <n v="4.4000000000000004"/>
    <x v="0"/>
    <x v="0"/>
    <x v="1"/>
    <x v="2"/>
    <m/>
    <m/>
    <m/>
    <m/>
    <m/>
    <m/>
    <m/>
    <m/>
  </r>
  <r>
    <s v="Call_7516"/>
    <x v="6"/>
    <x v="19"/>
    <x v="2"/>
    <x v="72"/>
    <n v="45"/>
    <n v="3.5"/>
    <x v="0"/>
    <x v="0"/>
    <x v="0"/>
    <x v="2"/>
    <m/>
    <m/>
    <m/>
    <m/>
    <m/>
    <m/>
    <m/>
    <m/>
  </r>
  <r>
    <s v="Call_7517"/>
    <x v="1"/>
    <x v="116"/>
    <x v="2"/>
    <x v="73"/>
    <n v="96"/>
    <n v="3.8"/>
    <x v="0"/>
    <x v="1"/>
    <x v="1"/>
    <x v="2"/>
    <m/>
    <m/>
    <m/>
    <m/>
    <m/>
    <m/>
    <m/>
    <m/>
  </r>
  <r>
    <s v="Call_7518"/>
    <x v="1"/>
    <x v="34"/>
    <x v="1"/>
    <x v="73"/>
    <n v="96"/>
    <n v="3.3"/>
    <x v="0"/>
    <x v="1"/>
    <x v="0"/>
    <x v="1"/>
    <m/>
    <m/>
    <m/>
    <m/>
    <m/>
    <m/>
    <m/>
    <m/>
  </r>
  <r>
    <s v="Call_7519"/>
    <x v="2"/>
    <x v="108"/>
    <x v="0"/>
    <x v="73"/>
    <n v="31"/>
    <n v="4.4000000000000004"/>
    <x v="0"/>
    <x v="1"/>
    <x v="2"/>
    <x v="2"/>
    <m/>
    <m/>
    <m/>
    <m/>
    <m/>
    <m/>
    <m/>
    <m/>
  </r>
  <r>
    <s v="Call_7520"/>
    <x v="4"/>
    <x v="13"/>
    <x v="1"/>
    <x v="73"/>
    <n v="200"/>
    <n v="3.9"/>
    <x v="0"/>
    <x v="1"/>
    <x v="2"/>
    <x v="2"/>
    <m/>
    <m/>
    <m/>
    <m/>
    <m/>
    <m/>
    <m/>
    <m/>
  </r>
  <r>
    <s v="Call_7521"/>
    <x v="1"/>
    <x v="71"/>
    <x v="0"/>
    <x v="73"/>
    <n v="99"/>
    <n v="2.7"/>
    <x v="0"/>
    <x v="1"/>
    <x v="2"/>
    <x v="1"/>
    <m/>
    <m/>
    <m/>
    <m/>
    <m/>
    <m/>
    <m/>
    <m/>
  </r>
  <r>
    <s v="Call_7522"/>
    <x v="3"/>
    <x v="117"/>
    <x v="4"/>
    <x v="73"/>
    <n v="144"/>
    <n v="2.9"/>
    <x v="0"/>
    <x v="1"/>
    <x v="0"/>
    <x v="1"/>
    <m/>
    <m/>
    <m/>
    <m/>
    <m/>
    <m/>
    <m/>
    <m/>
  </r>
  <r>
    <s v="Call_7523"/>
    <x v="2"/>
    <x v="9"/>
    <x v="2"/>
    <x v="74"/>
    <n v="81"/>
    <n v="4"/>
    <x v="0"/>
    <x v="2"/>
    <x v="0"/>
    <x v="2"/>
    <m/>
    <m/>
    <m/>
    <m/>
    <m/>
    <m/>
    <m/>
    <m/>
  </r>
  <r>
    <s v="Call_7524"/>
    <x v="3"/>
    <x v="23"/>
    <x v="4"/>
    <x v="74"/>
    <n v="70"/>
    <n v="4.4000000000000004"/>
    <x v="0"/>
    <x v="2"/>
    <x v="1"/>
    <x v="2"/>
    <m/>
    <m/>
    <m/>
    <m/>
    <m/>
    <m/>
    <m/>
    <m/>
  </r>
  <r>
    <s v="Call_7525"/>
    <x v="1"/>
    <x v="47"/>
    <x v="4"/>
    <x v="74"/>
    <n v="148"/>
    <n v="5"/>
    <x v="0"/>
    <x v="2"/>
    <x v="0"/>
    <x v="0"/>
    <m/>
    <m/>
    <m/>
    <m/>
    <m/>
    <m/>
    <m/>
    <m/>
  </r>
  <r>
    <s v="Call_7526"/>
    <x v="5"/>
    <x v="44"/>
    <x v="2"/>
    <x v="74"/>
    <n v="215"/>
    <n v="4.0999999999999996"/>
    <x v="0"/>
    <x v="2"/>
    <x v="2"/>
    <x v="2"/>
    <m/>
    <m/>
    <m/>
    <m/>
    <m/>
    <m/>
    <m/>
    <m/>
  </r>
  <r>
    <s v="Call_7527"/>
    <x v="5"/>
    <x v="111"/>
    <x v="1"/>
    <x v="74"/>
    <n v="124"/>
    <n v="4.4000000000000004"/>
    <x v="0"/>
    <x v="2"/>
    <x v="1"/>
    <x v="2"/>
    <m/>
    <m/>
    <m/>
    <m/>
    <m/>
    <m/>
    <m/>
    <m/>
  </r>
  <r>
    <s v="Call_7528"/>
    <x v="10"/>
    <x v="97"/>
    <x v="3"/>
    <x v="74"/>
    <n v="168"/>
    <n v="4.0999999999999996"/>
    <x v="0"/>
    <x v="2"/>
    <x v="0"/>
    <x v="2"/>
    <m/>
    <m/>
    <m/>
    <m/>
    <m/>
    <m/>
    <m/>
    <m/>
  </r>
  <r>
    <s v="Call_7529"/>
    <x v="12"/>
    <x v="85"/>
    <x v="0"/>
    <x v="74"/>
    <n v="90"/>
    <n v="4.5"/>
    <x v="0"/>
    <x v="2"/>
    <x v="1"/>
    <x v="0"/>
    <m/>
    <m/>
    <m/>
    <m/>
    <m/>
    <m/>
    <m/>
    <m/>
  </r>
  <r>
    <s v="Call_7530"/>
    <x v="12"/>
    <x v="20"/>
    <x v="2"/>
    <x v="75"/>
    <n v="176"/>
    <n v="4.2"/>
    <x v="0"/>
    <x v="3"/>
    <x v="2"/>
    <x v="2"/>
    <m/>
    <m/>
    <m/>
    <m/>
    <m/>
    <m/>
    <m/>
    <m/>
  </r>
  <r>
    <s v="Call_7531"/>
    <x v="4"/>
    <x v="47"/>
    <x v="4"/>
    <x v="75"/>
    <n v="87"/>
    <n v="4.5999999999999996"/>
    <x v="0"/>
    <x v="3"/>
    <x v="0"/>
    <x v="0"/>
    <m/>
    <m/>
    <m/>
    <m/>
    <m/>
    <m/>
    <m/>
    <m/>
  </r>
  <r>
    <s v="Call_7532"/>
    <x v="9"/>
    <x v="44"/>
    <x v="1"/>
    <x v="75"/>
    <n v="128"/>
    <n v="4.5"/>
    <x v="0"/>
    <x v="3"/>
    <x v="2"/>
    <x v="0"/>
    <m/>
    <m/>
    <m/>
    <m/>
    <m/>
    <m/>
    <m/>
    <m/>
  </r>
  <r>
    <s v="Call_7533"/>
    <x v="14"/>
    <x v="92"/>
    <x v="4"/>
    <x v="75"/>
    <n v="120"/>
    <n v="4.0999999999999996"/>
    <x v="0"/>
    <x v="3"/>
    <x v="1"/>
    <x v="2"/>
    <m/>
    <m/>
    <m/>
    <m/>
    <m/>
    <m/>
    <m/>
    <m/>
  </r>
  <r>
    <s v="Call_7534"/>
    <x v="8"/>
    <x v="58"/>
    <x v="3"/>
    <x v="75"/>
    <n v="130"/>
    <n v="4.8"/>
    <x v="0"/>
    <x v="3"/>
    <x v="0"/>
    <x v="0"/>
    <m/>
    <m/>
    <m/>
    <m/>
    <m/>
    <m/>
    <m/>
    <m/>
  </r>
  <r>
    <s v="Call_7535"/>
    <x v="11"/>
    <x v="85"/>
    <x v="1"/>
    <x v="75"/>
    <n v="172"/>
    <n v="3.1"/>
    <x v="0"/>
    <x v="3"/>
    <x v="1"/>
    <x v="1"/>
    <m/>
    <m/>
    <m/>
    <m/>
    <m/>
    <m/>
    <m/>
    <m/>
  </r>
  <r>
    <s v="Call_7536"/>
    <x v="6"/>
    <x v="37"/>
    <x v="1"/>
    <x v="75"/>
    <n v="58"/>
    <n v="4.9000000000000004"/>
    <x v="0"/>
    <x v="3"/>
    <x v="1"/>
    <x v="0"/>
    <m/>
    <m/>
    <m/>
    <m/>
    <m/>
    <m/>
    <m/>
    <m/>
  </r>
  <r>
    <s v="Call_7537"/>
    <x v="5"/>
    <x v="75"/>
    <x v="3"/>
    <x v="76"/>
    <n v="86"/>
    <n v="4.0999999999999996"/>
    <x v="0"/>
    <x v="4"/>
    <x v="0"/>
    <x v="2"/>
    <m/>
    <m/>
    <m/>
    <m/>
    <m/>
    <m/>
    <m/>
    <m/>
  </r>
  <r>
    <s v="Call_7538"/>
    <x v="12"/>
    <x v="112"/>
    <x v="3"/>
    <x v="77"/>
    <n v="31"/>
    <n v="4.4000000000000004"/>
    <x v="0"/>
    <x v="5"/>
    <x v="1"/>
    <x v="2"/>
    <m/>
    <m/>
    <m/>
    <m/>
    <m/>
    <m/>
    <m/>
    <m/>
  </r>
  <r>
    <s v="Call_7539"/>
    <x v="2"/>
    <x v="107"/>
    <x v="4"/>
    <x v="77"/>
    <n v="72"/>
    <n v="4.4000000000000004"/>
    <x v="0"/>
    <x v="5"/>
    <x v="0"/>
    <x v="2"/>
    <m/>
    <m/>
    <m/>
    <m/>
    <m/>
    <m/>
    <m/>
    <m/>
  </r>
  <r>
    <s v="Call_7540"/>
    <x v="12"/>
    <x v="118"/>
    <x v="0"/>
    <x v="78"/>
    <n v="27"/>
    <n v="3"/>
    <x v="0"/>
    <x v="6"/>
    <x v="1"/>
    <x v="1"/>
    <m/>
    <m/>
    <m/>
    <m/>
    <m/>
    <m/>
    <m/>
    <m/>
  </r>
  <r>
    <s v="Call_7541"/>
    <x v="14"/>
    <x v="77"/>
    <x v="1"/>
    <x v="78"/>
    <n v="110"/>
    <n v="4.4000000000000004"/>
    <x v="0"/>
    <x v="6"/>
    <x v="0"/>
    <x v="2"/>
    <m/>
    <m/>
    <m/>
    <m/>
    <m/>
    <m/>
    <m/>
    <m/>
  </r>
  <r>
    <s v="Call_7542"/>
    <x v="10"/>
    <x v="53"/>
    <x v="4"/>
    <x v="78"/>
    <n v="126"/>
    <n v="3.7"/>
    <x v="0"/>
    <x v="6"/>
    <x v="0"/>
    <x v="2"/>
    <m/>
    <m/>
    <m/>
    <m/>
    <m/>
    <m/>
    <m/>
    <m/>
  </r>
  <r>
    <s v="Call_7543"/>
    <x v="9"/>
    <x v="40"/>
    <x v="0"/>
    <x v="78"/>
    <n v="60"/>
    <n v="3.9"/>
    <x v="0"/>
    <x v="6"/>
    <x v="1"/>
    <x v="2"/>
    <m/>
    <m/>
    <m/>
    <m/>
    <m/>
    <m/>
    <m/>
    <m/>
  </r>
  <r>
    <s v="Call_7544"/>
    <x v="12"/>
    <x v="82"/>
    <x v="4"/>
    <x v="78"/>
    <n v="35"/>
    <n v="3.5"/>
    <x v="0"/>
    <x v="6"/>
    <x v="2"/>
    <x v="2"/>
    <m/>
    <m/>
    <m/>
    <m/>
    <m/>
    <m/>
    <m/>
    <m/>
  </r>
  <r>
    <s v="Call_7545"/>
    <x v="1"/>
    <x v="97"/>
    <x v="1"/>
    <x v="78"/>
    <n v="81"/>
    <n v="3.5"/>
    <x v="0"/>
    <x v="6"/>
    <x v="0"/>
    <x v="2"/>
    <m/>
    <m/>
    <m/>
    <m/>
    <m/>
    <m/>
    <m/>
    <m/>
  </r>
  <r>
    <s v="Call_7546"/>
    <x v="0"/>
    <x v="27"/>
    <x v="0"/>
    <x v="78"/>
    <n v="116"/>
    <n v="3.4"/>
    <x v="0"/>
    <x v="6"/>
    <x v="1"/>
    <x v="1"/>
    <m/>
    <m/>
    <m/>
    <m/>
    <m/>
    <m/>
    <m/>
    <m/>
  </r>
  <r>
    <s v="Call_7547"/>
    <x v="4"/>
    <x v="119"/>
    <x v="2"/>
    <x v="78"/>
    <n v="60"/>
    <n v="4.5"/>
    <x v="0"/>
    <x v="6"/>
    <x v="1"/>
    <x v="0"/>
    <m/>
    <m/>
    <m/>
    <m/>
    <m/>
    <m/>
    <m/>
    <m/>
  </r>
  <r>
    <s v="Call_7548"/>
    <x v="10"/>
    <x v="120"/>
    <x v="0"/>
    <x v="79"/>
    <n v="130"/>
    <n v="4.2"/>
    <x v="0"/>
    <x v="0"/>
    <x v="0"/>
    <x v="2"/>
    <m/>
    <m/>
    <m/>
    <m/>
    <m/>
    <m/>
    <m/>
    <m/>
  </r>
  <r>
    <s v="Call_7549"/>
    <x v="7"/>
    <x v="46"/>
    <x v="3"/>
    <x v="79"/>
    <n v="99"/>
    <n v="5"/>
    <x v="0"/>
    <x v="0"/>
    <x v="0"/>
    <x v="0"/>
    <m/>
    <m/>
    <m/>
    <m/>
    <m/>
    <m/>
    <m/>
    <m/>
  </r>
  <r>
    <s v="Call_7550"/>
    <x v="11"/>
    <x v="29"/>
    <x v="1"/>
    <x v="79"/>
    <n v="135"/>
    <n v="4.7"/>
    <x v="0"/>
    <x v="0"/>
    <x v="0"/>
    <x v="0"/>
    <m/>
    <m/>
    <m/>
    <m/>
    <m/>
    <m/>
    <m/>
    <m/>
  </r>
  <r>
    <s v="Call_7551"/>
    <x v="1"/>
    <x v="6"/>
    <x v="0"/>
    <x v="79"/>
    <n v="42"/>
    <n v="2.8"/>
    <x v="0"/>
    <x v="0"/>
    <x v="0"/>
    <x v="1"/>
    <m/>
    <m/>
    <m/>
    <m/>
    <m/>
    <m/>
    <m/>
    <m/>
  </r>
  <r>
    <s v="Call_7552"/>
    <x v="10"/>
    <x v="0"/>
    <x v="3"/>
    <x v="80"/>
    <n v="63"/>
    <n v="3.4"/>
    <x v="0"/>
    <x v="1"/>
    <x v="0"/>
    <x v="1"/>
    <m/>
    <m/>
    <m/>
    <m/>
    <m/>
    <m/>
    <m/>
    <m/>
  </r>
  <r>
    <s v="Call_7553"/>
    <x v="5"/>
    <x v="84"/>
    <x v="2"/>
    <x v="80"/>
    <n v="140"/>
    <n v="1.8"/>
    <x v="0"/>
    <x v="1"/>
    <x v="0"/>
    <x v="3"/>
    <m/>
    <m/>
    <m/>
    <m/>
    <m/>
    <m/>
    <m/>
    <m/>
  </r>
  <r>
    <s v="Call_7554"/>
    <x v="12"/>
    <x v="116"/>
    <x v="1"/>
    <x v="80"/>
    <n v="128"/>
    <n v="4.2"/>
    <x v="0"/>
    <x v="1"/>
    <x v="1"/>
    <x v="2"/>
    <m/>
    <m/>
    <m/>
    <m/>
    <m/>
    <m/>
    <m/>
    <m/>
  </r>
  <r>
    <s v="Call_7555"/>
    <x v="8"/>
    <x v="56"/>
    <x v="4"/>
    <x v="80"/>
    <n v="80"/>
    <n v="4.4000000000000004"/>
    <x v="0"/>
    <x v="1"/>
    <x v="1"/>
    <x v="2"/>
    <m/>
    <m/>
    <m/>
    <m/>
    <m/>
    <m/>
    <m/>
    <m/>
  </r>
  <r>
    <s v="Call_7556"/>
    <x v="4"/>
    <x v="48"/>
    <x v="3"/>
    <x v="80"/>
    <n v="28"/>
    <n v="2.7"/>
    <x v="0"/>
    <x v="1"/>
    <x v="0"/>
    <x v="1"/>
    <m/>
    <m/>
    <m/>
    <m/>
    <m/>
    <m/>
    <m/>
    <m/>
  </r>
  <r>
    <s v="Call_7557"/>
    <x v="11"/>
    <x v="121"/>
    <x v="2"/>
    <x v="81"/>
    <n v="81"/>
    <n v="5"/>
    <x v="0"/>
    <x v="2"/>
    <x v="2"/>
    <x v="0"/>
    <m/>
    <m/>
    <m/>
    <m/>
    <m/>
    <m/>
    <m/>
    <m/>
  </r>
  <r>
    <s v="Call_7558"/>
    <x v="1"/>
    <x v="76"/>
    <x v="1"/>
    <x v="81"/>
    <n v="99"/>
    <n v="3.9"/>
    <x v="0"/>
    <x v="2"/>
    <x v="1"/>
    <x v="2"/>
    <m/>
    <m/>
    <m/>
    <m/>
    <m/>
    <m/>
    <m/>
    <m/>
  </r>
  <r>
    <s v="Call_7559"/>
    <x v="5"/>
    <x v="67"/>
    <x v="1"/>
    <x v="81"/>
    <n v="43"/>
    <n v="3.8"/>
    <x v="0"/>
    <x v="2"/>
    <x v="0"/>
    <x v="2"/>
    <m/>
    <m/>
    <m/>
    <m/>
    <m/>
    <m/>
    <m/>
    <m/>
  </r>
  <r>
    <s v="Call_7560"/>
    <x v="7"/>
    <x v="101"/>
    <x v="1"/>
    <x v="81"/>
    <n v="34"/>
    <n v="4.5999999999999996"/>
    <x v="0"/>
    <x v="2"/>
    <x v="2"/>
    <x v="0"/>
    <m/>
    <m/>
    <m/>
    <m/>
    <m/>
    <m/>
    <m/>
    <m/>
  </r>
  <r>
    <s v="Call_7561"/>
    <x v="5"/>
    <x v="108"/>
    <x v="2"/>
    <x v="81"/>
    <n v="225"/>
    <n v="4.5999999999999996"/>
    <x v="0"/>
    <x v="2"/>
    <x v="2"/>
    <x v="0"/>
    <m/>
    <m/>
    <m/>
    <m/>
    <m/>
    <m/>
    <m/>
    <m/>
  </r>
  <r>
    <s v="Call_7562"/>
    <x v="11"/>
    <x v="44"/>
    <x v="4"/>
    <x v="81"/>
    <n v="210"/>
    <n v="4.5"/>
    <x v="0"/>
    <x v="2"/>
    <x v="2"/>
    <x v="0"/>
    <m/>
    <m/>
    <m/>
    <m/>
    <m/>
    <m/>
    <m/>
    <m/>
  </r>
  <r>
    <s v="Call_7563"/>
    <x v="12"/>
    <x v="78"/>
    <x v="1"/>
    <x v="81"/>
    <n v="168"/>
    <n v="4.2"/>
    <x v="0"/>
    <x v="2"/>
    <x v="3"/>
    <x v="2"/>
    <m/>
    <m/>
    <m/>
    <m/>
    <m/>
    <m/>
    <m/>
    <m/>
  </r>
  <r>
    <s v="Call_7564"/>
    <x v="7"/>
    <x v="47"/>
    <x v="0"/>
    <x v="82"/>
    <n v="82"/>
    <n v="4.5"/>
    <x v="0"/>
    <x v="3"/>
    <x v="0"/>
    <x v="0"/>
    <m/>
    <m/>
    <m/>
    <m/>
    <m/>
    <m/>
    <m/>
    <m/>
  </r>
  <r>
    <s v="Call_7565"/>
    <x v="2"/>
    <x v="108"/>
    <x v="3"/>
    <x v="82"/>
    <n v="88"/>
    <n v="4.0999999999999996"/>
    <x v="0"/>
    <x v="3"/>
    <x v="2"/>
    <x v="2"/>
    <m/>
    <m/>
    <m/>
    <m/>
    <m/>
    <m/>
    <m/>
    <m/>
  </r>
  <r>
    <s v="Call_7566"/>
    <x v="14"/>
    <x v="48"/>
    <x v="0"/>
    <x v="82"/>
    <n v="111"/>
    <n v="3.3"/>
    <x v="0"/>
    <x v="3"/>
    <x v="0"/>
    <x v="1"/>
    <m/>
    <m/>
    <m/>
    <m/>
    <m/>
    <m/>
    <m/>
    <m/>
  </r>
  <r>
    <s v="Call_7567"/>
    <x v="13"/>
    <x v="3"/>
    <x v="4"/>
    <x v="82"/>
    <n v="60"/>
    <n v="3.8"/>
    <x v="0"/>
    <x v="3"/>
    <x v="1"/>
    <x v="2"/>
    <m/>
    <m/>
    <m/>
    <m/>
    <m/>
    <m/>
    <m/>
    <m/>
  </r>
  <r>
    <s v="Call_7568"/>
    <x v="4"/>
    <x v="4"/>
    <x v="0"/>
    <x v="82"/>
    <n v="80"/>
    <n v="3"/>
    <x v="0"/>
    <x v="3"/>
    <x v="2"/>
    <x v="1"/>
    <m/>
    <m/>
    <m/>
    <m/>
    <m/>
    <m/>
    <m/>
    <m/>
  </r>
  <r>
    <s v="Call_7569"/>
    <x v="13"/>
    <x v="34"/>
    <x v="2"/>
    <x v="83"/>
    <n v="90"/>
    <n v="4.5999999999999996"/>
    <x v="0"/>
    <x v="5"/>
    <x v="0"/>
    <x v="0"/>
    <m/>
    <m/>
    <m/>
    <m/>
    <m/>
    <m/>
    <m/>
    <m/>
  </r>
  <r>
    <s v="Call_7570"/>
    <x v="9"/>
    <x v="69"/>
    <x v="0"/>
    <x v="83"/>
    <n v="225"/>
    <n v="2.9"/>
    <x v="0"/>
    <x v="5"/>
    <x v="0"/>
    <x v="1"/>
    <m/>
    <m/>
    <m/>
    <m/>
    <m/>
    <m/>
    <m/>
    <m/>
  </r>
  <r>
    <s v="Call_7571"/>
    <x v="0"/>
    <x v="73"/>
    <x v="1"/>
    <x v="84"/>
    <n v="215"/>
    <n v="3.2"/>
    <x v="0"/>
    <x v="6"/>
    <x v="2"/>
    <x v="1"/>
    <m/>
    <m/>
    <m/>
    <m/>
    <m/>
    <m/>
    <m/>
    <m/>
  </r>
  <r>
    <s v="Call_7572"/>
    <x v="3"/>
    <x v="60"/>
    <x v="2"/>
    <x v="84"/>
    <n v="45"/>
    <n v="1.5"/>
    <x v="0"/>
    <x v="6"/>
    <x v="2"/>
    <x v="3"/>
    <m/>
    <m/>
    <m/>
    <m/>
    <m/>
    <m/>
    <m/>
    <m/>
  </r>
  <r>
    <s v="Call_7573"/>
    <x v="6"/>
    <x v="15"/>
    <x v="1"/>
    <x v="84"/>
    <n v="74"/>
    <n v="4"/>
    <x v="0"/>
    <x v="6"/>
    <x v="0"/>
    <x v="2"/>
    <m/>
    <m/>
    <m/>
    <m/>
    <m/>
    <m/>
    <m/>
    <m/>
  </r>
  <r>
    <s v="Call_7574"/>
    <x v="2"/>
    <x v="105"/>
    <x v="2"/>
    <x v="84"/>
    <n v="60"/>
    <n v="3.6"/>
    <x v="0"/>
    <x v="6"/>
    <x v="3"/>
    <x v="2"/>
    <m/>
    <m/>
    <m/>
    <m/>
    <m/>
    <m/>
    <m/>
    <m/>
  </r>
  <r>
    <s v="Call_7575"/>
    <x v="7"/>
    <x v="83"/>
    <x v="1"/>
    <x v="84"/>
    <n v="64"/>
    <n v="3.7"/>
    <x v="0"/>
    <x v="6"/>
    <x v="0"/>
    <x v="2"/>
    <m/>
    <m/>
    <m/>
    <m/>
    <m/>
    <m/>
    <m/>
    <m/>
  </r>
  <r>
    <s v="Call_7576"/>
    <x v="12"/>
    <x v="51"/>
    <x v="0"/>
    <x v="85"/>
    <n v="110"/>
    <n v="4.8"/>
    <x v="0"/>
    <x v="0"/>
    <x v="0"/>
    <x v="0"/>
    <m/>
    <m/>
    <m/>
    <m/>
    <m/>
    <m/>
    <m/>
    <m/>
  </r>
  <r>
    <s v="Call_7577"/>
    <x v="1"/>
    <x v="48"/>
    <x v="4"/>
    <x v="85"/>
    <n v="52"/>
    <n v="1.2"/>
    <x v="0"/>
    <x v="0"/>
    <x v="0"/>
    <x v="5"/>
    <m/>
    <m/>
    <m/>
    <m/>
    <m/>
    <m/>
    <m/>
    <m/>
  </r>
  <r>
    <s v="Call_7578"/>
    <x v="2"/>
    <x v="22"/>
    <x v="3"/>
    <x v="86"/>
    <n v="160"/>
    <n v="4.7"/>
    <x v="0"/>
    <x v="1"/>
    <x v="0"/>
    <x v="0"/>
    <m/>
    <m/>
    <m/>
    <m/>
    <m/>
    <m/>
    <m/>
    <m/>
  </r>
  <r>
    <s v="Call_7579"/>
    <x v="10"/>
    <x v="65"/>
    <x v="3"/>
    <x v="86"/>
    <n v="215"/>
    <n v="4.7"/>
    <x v="0"/>
    <x v="1"/>
    <x v="1"/>
    <x v="0"/>
    <m/>
    <m/>
    <m/>
    <m/>
    <m/>
    <m/>
    <m/>
    <m/>
  </r>
  <r>
    <s v="Call_7580"/>
    <x v="10"/>
    <x v="101"/>
    <x v="4"/>
    <x v="86"/>
    <n v="220"/>
    <n v="4.5"/>
    <x v="0"/>
    <x v="1"/>
    <x v="2"/>
    <x v="0"/>
    <m/>
    <m/>
    <m/>
    <m/>
    <m/>
    <m/>
    <m/>
    <m/>
  </r>
  <r>
    <s v="Call_7581"/>
    <x v="6"/>
    <x v="75"/>
    <x v="1"/>
    <x v="87"/>
    <n v="175"/>
    <n v="3.5"/>
    <x v="0"/>
    <x v="2"/>
    <x v="0"/>
    <x v="2"/>
    <m/>
    <m/>
    <m/>
    <m/>
    <m/>
    <m/>
    <m/>
    <m/>
  </r>
  <r>
    <s v="Call_7582"/>
    <x v="12"/>
    <x v="32"/>
    <x v="1"/>
    <x v="87"/>
    <n v="145"/>
    <n v="4.0999999999999996"/>
    <x v="0"/>
    <x v="2"/>
    <x v="0"/>
    <x v="2"/>
    <m/>
    <m/>
    <m/>
    <m/>
    <m/>
    <m/>
    <m/>
    <m/>
  </r>
  <r>
    <s v="Call_7583"/>
    <x v="3"/>
    <x v="122"/>
    <x v="2"/>
    <x v="87"/>
    <n v="72"/>
    <n v="4.4000000000000004"/>
    <x v="0"/>
    <x v="2"/>
    <x v="1"/>
    <x v="2"/>
    <m/>
    <m/>
    <m/>
    <m/>
    <m/>
    <m/>
    <m/>
    <m/>
  </r>
  <r>
    <s v="Call_7584"/>
    <x v="5"/>
    <x v="18"/>
    <x v="1"/>
    <x v="88"/>
    <n v="81"/>
    <n v="3.6"/>
    <x v="0"/>
    <x v="3"/>
    <x v="2"/>
    <x v="2"/>
    <m/>
    <m/>
    <m/>
    <m/>
    <m/>
    <m/>
    <m/>
    <m/>
  </r>
  <r>
    <s v="Call_7585"/>
    <x v="11"/>
    <x v="49"/>
    <x v="4"/>
    <x v="88"/>
    <n v="54"/>
    <n v="4.0999999999999996"/>
    <x v="0"/>
    <x v="3"/>
    <x v="1"/>
    <x v="2"/>
    <m/>
    <m/>
    <m/>
    <m/>
    <m/>
    <m/>
    <m/>
    <m/>
  </r>
  <r>
    <s v="Call_7586"/>
    <x v="7"/>
    <x v="123"/>
    <x v="2"/>
    <x v="88"/>
    <n v="105"/>
    <n v="4.8"/>
    <x v="0"/>
    <x v="3"/>
    <x v="3"/>
    <x v="0"/>
    <m/>
    <m/>
    <m/>
    <m/>
    <m/>
    <m/>
    <m/>
    <m/>
  </r>
  <r>
    <s v="Call_7587"/>
    <x v="11"/>
    <x v="55"/>
    <x v="1"/>
    <x v="89"/>
    <n v="176"/>
    <n v="3.9"/>
    <x v="0"/>
    <x v="4"/>
    <x v="1"/>
    <x v="2"/>
    <m/>
    <m/>
    <m/>
    <m/>
    <m/>
    <m/>
    <m/>
    <m/>
  </r>
  <r>
    <s v="Call_7588"/>
    <x v="2"/>
    <x v="99"/>
    <x v="1"/>
    <x v="89"/>
    <n v="115"/>
    <n v="3.8"/>
    <x v="0"/>
    <x v="4"/>
    <x v="0"/>
    <x v="2"/>
    <m/>
    <m/>
    <m/>
    <m/>
    <m/>
    <m/>
    <m/>
    <m/>
  </r>
  <r>
    <s v="Call_7589"/>
    <x v="10"/>
    <x v="73"/>
    <x v="0"/>
    <x v="89"/>
    <n v="116"/>
    <n v="3.9"/>
    <x v="0"/>
    <x v="4"/>
    <x v="2"/>
    <x v="2"/>
    <m/>
    <m/>
    <m/>
    <m/>
    <m/>
    <m/>
    <m/>
    <m/>
  </r>
  <r>
    <s v="Call_7590"/>
    <x v="10"/>
    <x v="119"/>
    <x v="4"/>
    <x v="89"/>
    <n v="100"/>
    <n v="4.0999999999999996"/>
    <x v="0"/>
    <x v="4"/>
    <x v="1"/>
    <x v="2"/>
    <m/>
    <m/>
    <m/>
    <m/>
    <m/>
    <m/>
    <m/>
    <m/>
  </r>
  <r>
    <s v="Call_7591"/>
    <x v="9"/>
    <x v="50"/>
    <x v="4"/>
    <x v="90"/>
    <n v="36"/>
    <n v="2.2000000000000002"/>
    <x v="0"/>
    <x v="5"/>
    <x v="0"/>
    <x v="3"/>
    <m/>
    <m/>
    <m/>
    <m/>
    <m/>
    <m/>
    <m/>
    <m/>
  </r>
  <r>
    <s v="Call_7592"/>
    <x v="13"/>
    <x v="95"/>
    <x v="4"/>
    <x v="90"/>
    <n v="114"/>
    <n v="5"/>
    <x v="0"/>
    <x v="5"/>
    <x v="0"/>
    <x v="0"/>
    <m/>
    <m/>
    <m/>
    <m/>
    <m/>
    <m/>
    <m/>
    <m/>
  </r>
  <r>
    <s v="Call_7593"/>
    <x v="13"/>
    <x v="124"/>
    <x v="0"/>
    <x v="90"/>
    <n v="24"/>
    <n v="3.8"/>
    <x v="0"/>
    <x v="5"/>
    <x v="1"/>
    <x v="2"/>
    <m/>
    <m/>
    <m/>
    <m/>
    <m/>
    <m/>
    <m/>
    <m/>
  </r>
  <r>
    <s v="Call_7594"/>
    <x v="5"/>
    <x v="125"/>
    <x v="1"/>
    <x v="90"/>
    <n v="135"/>
    <n v="4.5999999999999996"/>
    <x v="0"/>
    <x v="5"/>
    <x v="2"/>
    <x v="0"/>
    <m/>
    <m/>
    <m/>
    <m/>
    <m/>
    <m/>
    <m/>
    <m/>
  </r>
  <r>
    <s v="Call_7595"/>
    <x v="11"/>
    <x v="33"/>
    <x v="1"/>
    <x v="90"/>
    <n v="30"/>
    <n v="4"/>
    <x v="0"/>
    <x v="5"/>
    <x v="0"/>
    <x v="2"/>
    <m/>
    <m/>
    <m/>
    <m/>
    <m/>
    <m/>
    <m/>
    <m/>
  </r>
  <r>
    <s v="Call_7596"/>
    <x v="1"/>
    <x v="29"/>
    <x v="1"/>
    <x v="90"/>
    <n v="84"/>
    <n v="2.8"/>
    <x v="0"/>
    <x v="5"/>
    <x v="0"/>
    <x v="1"/>
    <m/>
    <m/>
    <m/>
    <m/>
    <m/>
    <m/>
    <m/>
    <m/>
  </r>
  <r>
    <s v="Call_7597"/>
    <x v="14"/>
    <x v="95"/>
    <x v="3"/>
    <x v="90"/>
    <n v="42"/>
    <n v="4.4000000000000004"/>
    <x v="0"/>
    <x v="5"/>
    <x v="0"/>
    <x v="2"/>
    <m/>
    <m/>
    <m/>
    <m/>
    <m/>
    <m/>
    <m/>
    <m/>
  </r>
  <r>
    <s v="Call_7598"/>
    <x v="9"/>
    <x v="123"/>
    <x v="4"/>
    <x v="90"/>
    <n v="117"/>
    <n v="2.4"/>
    <x v="0"/>
    <x v="5"/>
    <x v="3"/>
    <x v="3"/>
    <m/>
    <m/>
    <m/>
    <m/>
    <m/>
    <m/>
    <m/>
    <m/>
  </r>
  <r>
    <s v="Call_7599"/>
    <x v="6"/>
    <x v="38"/>
    <x v="2"/>
    <x v="90"/>
    <n v="164"/>
    <n v="4"/>
    <x v="0"/>
    <x v="5"/>
    <x v="0"/>
    <x v="2"/>
    <m/>
    <m/>
    <m/>
    <m/>
    <m/>
    <m/>
    <m/>
    <m/>
  </r>
  <r>
    <s v="Call_7600"/>
    <x v="13"/>
    <x v="48"/>
    <x v="3"/>
    <x v="91"/>
    <n v="123"/>
    <n v="4.4000000000000004"/>
    <x v="0"/>
    <x v="6"/>
    <x v="0"/>
    <x v="2"/>
    <m/>
    <m/>
    <m/>
    <m/>
    <m/>
    <m/>
    <m/>
    <m/>
  </r>
  <r>
    <s v="Call_7601"/>
    <x v="4"/>
    <x v="4"/>
    <x v="0"/>
    <x v="91"/>
    <n v="172"/>
    <n v="2.9"/>
    <x v="0"/>
    <x v="6"/>
    <x v="2"/>
    <x v="1"/>
    <m/>
    <m/>
    <m/>
    <m/>
    <m/>
    <m/>
    <m/>
    <m/>
  </r>
  <r>
    <s v="Call_7602"/>
    <x v="12"/>
    <x v="126"/>
    <x v="4"/>
    <x v="91"/>
    <n v="20"/>
    <n v="4.8"/>
    <x v="0"/>
    <x v="6"/>
    <x v="4"/>
    <x v="0"/>
    <m/>
    <m/>
    <m/>
    <m/>
    <m/>
    <m/>
    <m/>
    <m/>
  </r>
  <r>
    <s v="Call_7603"/>
    <x v="13"/>
    <x v="43"/>
    <x v="0"/>
    <x v="91"/>
    <n v="72"/>
    <n v="3.7"/>
    <x v="0"/>
    <x v="6"/>
    <x v="1"/>
    <x v="2"/>
    <m/>
    <m/>
    <m/>
    <m/>
    <m/>
    <m/>
    <m/>
    <m/>
  </r>
  <r>
    <s v="Call_7604"/>
    <x v="2"/>
    <x v="33"/>
    <x v="1"/>
    <x v="91"/>
    <n v="32"/>
    <n v="4.8"/>
    <x v="0"/>
    <x v="6"/>
    <x v="0"/>
    <x v="0"/>
    <m/>
    <m/>
    <m/>
    <m/>
    <m/>
    <m/>
    <m/>
    <m/>
  </r>
  <r>
    <s v="Call_7605"/>
    <x v="9"/>
    <x v="113"/>
    <x v="3"/>
    <x v="91"/>
    <n v="140"/>
    <n v="3.2"/>
    <x v="0"/>
    <x v="6"/>
    <x v="0"/>
    <x v="1"/>
    <m/>
    <m/>
    <m/>
    <m/>
    <m/>
    <m/>
    <m/>
    <m/>
  </r>
  <r>
    <s v="Call_7606"/>
    <x v="2"/>
    <x v="42"/>
    <x v="1"/>
    <x v="92"/>
    <n v="120"/>
    <n v="4.9000000000000004"/>
    <x v="0"/>
    <x v="0"/>
    <x v="0"/>
    <x v="0"/>
    <m/>
    <m/>
    <m/>
    <m/>
    <m/>
    <m/>
    <m/>
    <m/>
  </r>
  <r>
    <s v="Call_7607"/>
    <x v="11"/>
    <x v="123"/>
    <x v="1"/>
    <x v="92"/>
    <n v="86"/>
    <n v="2.2000000000000002"/>
    <x v="0"/>
    <x v="0"/>
    <x v="3"/>
    <x v="3"/>
    <m/>
    <m/>
    <m/>
    <m/>
    <m/>
    <m/>
    <m/>
    <m/>
  </r>
  <r>
    <s v="Call_7608"/>
    <x v="1"/>
    <x v="53"/>
    <x v="1"/>
    <x v="92"/>
    <n v="132"/>
    <n v="5"/>
    <x v="0"/>
    <x v="0"/>
    <x v="0"/>
    <x v="0"/>
    <m/>
    <m/>
    <m/>
    <m/>
    <m/>
    <m/>
    <m/>
    <m/>
  </r>
  <r>
    <s v="Call_7609"/>
    <x v="10"/>
    <x v="90"/>
    <x v="1"/>
    <x v="92"/>
    <n v="80"/>
    <n v="3.3"/>
    <x v="0"/>
    <x v="0"/>
    <x v="0"/>
    <x v="1"/>
    <m/>
    <m/>
    <m/>
    <m/>
    <m/>
    <m/>
    <m/>
    <m/>
  </r>
  <r>
    <s v="Call_7610"/>
    <x v="8"/>
    <x v="68"/>
    <x v="0"/>
    <x v="92"/>
    <n v="132"/>
    <n v="3.7"/>
    <x v="0"/>
    <x v="0"/>
    <x v="2"/>
    <x v="2"/>
    <m/>
    <m/>
    <m/>
    <m/>
    <m/>
    <m/>
    <m/>
    <m/>
  </r>
  <r>
    <s v="Call_7611"/>
    <x v="2"/>
    <x v="71"/>
    <x v="3"/>
    <x v="92"/>
    <n v="27"/>
    <n v="3.7"/>
    <x v="0"/>
    <x v="0"/>
    <x v="2"/>
    <x v="2"/>
    <m/>
    <m/>
    <m/>
    <m/>
    <m/>
    <m/>
    <m/>
    <m/>
  </r>
  <r>
    <s v="Call_7612"/>
    <x v="6"/>
    <x v="38"/>
    <x v="3"/>
    <x v="93"/>
    <n v="68"/>
    <n v="3.6"/>
    <x v="0"/>
    <x v="1"/>
    <x v="0"/>
    <x v="2"/>
    <m/>
    <m/>
    <m/>
    <m/>
    <m/>
    <m/>
    <m/>
    <m/>
  </r>
  <r>
    <s v="Call_7613"/>
    <x v="8"/>
    <x v="0"/>
    <x v="1"/>
    <x v="93"/>
    <n v="22"/>
    <n v="4.7"/>
    <x v="0"/>
    <x v="1"/>
    <x v="0"/>
    <x v="0"/>
    <m/>
    <m/>
    <m/>
    <m/>
    <m/>
    <m/>
    <m/>
    <m/>
  </r>
  <r>
    <s v="Call_7614"/>
    <x v="11"/>
    <x v="15"/>
    <x v="3"/>
    <x v="93"/>
    <n v="42"/>
    <n v="3.1"/>
    <x v="0"/>
    <x v="1"/>
    <x v="0"/>
    <x v="1"/>
    <m/>
    <m/>
    <m/>
    <m/>
    <m/>
    <m/>
    <m/>
    <m/>
  </r>
  <r>
    <s v="Call_7615"/>
    <x v="6"/>
    <x v="5"/>
    <x v="3"/>
    <x v="94"/>
    <n v="38"/>
    <n v="3.3"/>
    <x v="0"/>
    <x v="2"/>
    <x v="0"/>
    <x v="1"/>
    <m/>
    <m/>
    <m/>
    <m/>
    <m/>
    <m/>
    <m/>
    <m/>
  </r>
  <r>
    <s v="Call_7616"/>
    <x v="12"/>
    <x v="127"/>
    <x v="3"/>
    <x v="94"/>
    <n v="42"/>
    <n v="4.5"/>
    <x v="0"/>
    <x v="2"/>
    <x v="1"/>
    <x v="0"/>
    <m/>
    <m/>
    <m/>
    <m/>
    <m/>
    <m/>
    <m/>
    <m/>
  </r>
  <r>
    <s v="Call_7617"/>
    <x v="5"/>
    <x v="128"/>
    <x v="0"/>
    <x v="94"/>
    <n v="75"/>
    <n v="3.9"/>
    <x v="0"/>
    <x v="2"/>
    <x v="3"/>
    <x v="2"/>
    <m/>
    <m/>
    <m/>
    <m/>
    <m/>
    <m/>
    <m/>
    <m/>
  </r>
  <r>
    <s v="Call_7618"/>
    <x v="12"/>
    <x v="93"/>
    <x v="4"/>
    <x v="95"/>
    <n v="23"/>
    <n v="4.9000000000000004"/>
    <x v="0"/>
    <x v="3"/>
    <x v="2"/>
    <x v="0"/>
    <m/>
    <m/>
    <m/>
    <m/>
    <m/>
    <m/>
    <m/>
    <m/>
  </r>
  <r>
    <s v="Call_7619"/>
    <x v="12"/>
    <x v="34"/>
    <x v="0"/>
    <x v="95"/>
    <n v="200"/>
    <n v="4.8"/>
    <x v="0"/>
    <x v="3"/>
    <x v="0"/>
    <x v="0"/>
    <m/>
    <m/>
    <m/>
    <m/>
    <m/>
    <m/>
    <m/>
    <m/>
  </r>
  <r>
    <s v="Call_7620"/>
    <x v="3"/>
    <x v="21"/>
    <x v="1"/>
    <x v="96"/>
    <n v="45"/>
    <n v="3.6"/>
    <x v="0"/>
    <x v="4"/>
    <x v="0"/>
    <x v="2"/>
    <m/>
    <m/>
    <m/>
    <m/>
    <m/>
    <m/>
    <m/>
    <m/>
  </r>
  <r>
    <s v="Call_7621"/>
    <x v="11"/>
    <x v="54"/>
    <x v="1"/>
    <x v="96"/>
    <n v="105"/>
    <n v="3.5"/>
    <x v="0"/>
    <x v="4"/>
    <x v="2"/>
    <x v="2"/>
    <m/>
    <m/>
    <m/>
    <m/>
    <m/>
    <m/>
    <m/>
    <m/>
  </r>
  <r>
    <s v="Call_7622"/>
    <x v="4"/>
    <x v="11"/>
    <x v="1"/>
    <x v="96"/>
    <n v="22"/>
    <n v="3.8"/>
    <x v="0"/>
    <x v="4"/>
    <x v="0"/>
    <x v="2"/>
    <m/>
    <m/>
    <m/>
    <m/>
    <m/>
    <m/>
    <m/>
    <m/>
  </r>
  <r>
    <s v="Call_7623"/>
    <x v="7"/>
    <x v="59"/>
    <x v="3"/>
    <x v="97"/>
    <n v="126"/>
    <n v="4.4000000000000004"/>
    <x v="0"/>
    <x v="5"/>
    <x v="0"/>
    <x v="2"/>
    <m/>
    <m/>
    <m/>
    <m/>
    <m/>
    <m/>
    <m/>
    <m/>
  </r>
  <r>
    <s v="Call_7624"/>
    <x v="10"/>
    <x v="19"/>
    <x v="3"/>
    <x v="97"/>
    <n v="35"/>
    <n v="3"/>
    <x v="0"/>
    <x v="5"/>
    <x v="0"/>
    <x v="1"/>
    <m/>
    <m/>
    <m/>
    <m/>
    <m/>
    <m/>
    <m/>
    <m/>
  </r>
  <r>
    <s v="Call_7625"/>
    <x v="2"/>
    <x v="129"/>
    <x v="1"/>
    <x v="97"/>
    <n v="84"/>
    <n v="4.5"/>
    <x v="0"/>
    <x v="5"/>
    <x v="0"/>
    <x v="0"/>
    <m/>
    <m/>
    <m/>
    <m/>
    <m/>
    <m/>
    <m/>
    <m/>
  </r>
  <r>
    <s v="Call_7626"/>
    <x v="14"/>
    <x v="19"/>
    <x v="1"/>
    <x v="98"/>
    <n v="172"/>
    <n v="4.5"/>
    <x v="0"/>
    <x v="6"/>
    <x v="0"/>
    <x v="0"/>
    <m/>
    <m/>
    <m/>
    <m/>
    <m/>
    <m/>
    <m/>
    <m/>
  </r>
  <r>
    <s v="Call_7627"/>
    <x v="7"/>
    <x v="12"/>
    <x v="0"/>
    <x v="98"/>
    <n v="114"/>
    <n v="4"/>
    <x v="0"/>
    <x v="6"/>
    <x v="1"/>
    <x v="2"/>
    <m/>
    <m/>
    <m/>
    <m/>
    <m/>
    <m/>
    <m/>
    <m/>
  </r>
  <r>
    <s v="Call_7628"/>
    <x v="14"/>
    <x v="9"/>
    <x v="0"/>
    <x v="98"/>
    <n v="60"/>
    <n v="3.8"/>
    <x v="0"/>
    <x v="6"/>
    <x v="0"/>
    <x v="2"/>
    <m/>
    <m/>
    <m/>
    <m/>
    <m/>
    <m/>
    <m/>
    <m/>
  </r>
  <r>
    <s v="Call_7629"/>
    <x v="13"/>
    <x v="130"/>
    <x v="2"/>
    <x v="98"/>
    <n v="26"/>
    <n v="3.3"/>
    <x v="0"/>
    <x v="6"/>
    <x v="0"/>
    <x v="1"/>
    <m/>
    <m/>
    <m/>
    <m/>
    <m/>
    <m/>
    <m/>
    <m/>
  </r>
  <r>
    <s v="Call_7630"/>
    <x v="5"/>
    <x v="131"/>
    <x v="1"/>
    <x v="98"/>
    <n v="210"/>
    <n v="4.3"/>
    <x v="0"/>
    <x v="6"/>
    <x v="0"/>
    <x v="2"/>
    <m/>
    <m/>
    <m/>
    <m/>
    <m/>
    <m/>
    <m/>
    <m/>
  </r>
  <r>
    <s v="Call_7631"/>
    <x v="9"/>
    <x v="106"/>
    <x v="0"/>
    <x v="98"/>
    <n v="129"/>
    <n v="4.2"/>
    <x v="0"/>
    <x v="6"/>
    <x v="0"/>
    <x v="2"/>
    <m/>
    <m/>
    <m/>
    <m/>
    <m/>
    <m/>
    <m/>
    <m/>
  </r>
  <r>
    <s v="Call_7632"/>
    <x v="10"/>
    <x v="71"/>
    <x v="2"/>
    <x v="98"/>
    <n v="215"/>
    <n v="4.3"/>
    <x v="0"/>
    <x v="6"/>
    <x v="2"/>
    <x v="2"/>
    <m/>
    <m/>
    <m/>
    <m/>
    <m/>
    <m/>
    <m/>
    <m/>
  </r>
  <r>
    <s v="Call_7633"/>
    <x v="13"/>
    <x v="132"/>
    <x v="4"/>
    <x v="98"/>
    <n v="69"/>
    <n v="4.5999999999999996"/>
    <x v="0"/>
    <x v="6"/>
    <x v="3"/>
    <x v="0"/>
    <m/>
    <m/>
    <m/>
    <m/>
    <m/>
    <m/>
    <m/>
    <m/>
  </r>
  <r>
    <s v="Call_7634"/>
    <x v="10"/>
    <x v="3"/>
    <x v="4"/>
    <x v="98"/>
    <n v="140"/>
    <n v="3"/>
    <x v="0"/>
    <x v="6"/>
    <x v="1"/>
    <x v="1"/>
    <m/>
    <m/>
    <m/>
    <m/>
    <m/>
    <m/>
    <m/>
    <m/>
  </r>
  <r>
    <s v="Call_7635"/>
    <x v="11"/>
    <x v="64"/>
    <x v="2"/>
    <x v="99"/>
    <n v="156"/>
    <n v="2.7"/>
    <x v="0"/>
    <x v="0"/>
    <x v="2"/>
    <x v="1"/>
    <m/>
    <m/>
    <m/>
    <m/>
    <m/>
    <m/>
    <m/>
    <m/>
  </r>
  <r>
    <s v="Call_7636"/>
    <x v="13"/>
    <x v="103"/>
    <x v="4"/>
    <x v="99"/>
    <n v="164"/>
    <n v="3.1"/>
    <x v="0"/>
    <x v="0"/>
    <x v="2"/>
    <x v="1"/>
    <m/>
    <m/>
    <m/>
    <m/>
    <m/>
    <m/>
    <m/>
    <m/>
  </r>
  <r>
    <s v="Call_7637"/>
    <x v="8"/>
    <x v="4"/>
    <x v="4"/>
    <x v="99"/>
    <n v="195"/>
    <n v="2.6"/>
    <x v="0"/>
    <x v="0"/>
    <x v="2"/>
    <x v="1"/>
    <m/>
    <m/>
    <m/>
    <m/>
    <m/>
    <m/>
    <m/>
    <m/>
  </r>
  <r>
    <s v="Call_7638"/>
    <x v="1"/>
    <x v="98"/>
    <x v="3"/>
    <x v="99"/>
    <n v="74"/>
    <n v="4.5999999999999996"/>
    <x v="0"/>
    <x v="0"/>
    <x v="3"/>
    <x v="0"/>
    <m/>
    <m/>
    <m/>
    <m/>
    <m/>
    <m/>
    <m/>
    <m/>
  </r>
  <r>
    <s v="Call_7639"/>
    <x v="12"/>
    <x v="122"/>
    <x v="2"/>
    <x v="99"/>
    <n v="100"/>
    <n v="4"/>
    <x v="0"/>
    <x v="0"/>
    <x v="1"/>
    <x v="2"/>
    <m/>
    <m/>
    <m/>
    <m/>
    <m/>
    <m/>
    <m/>
    <m/>
  </r>
  <r>
    <s v="Call_7640"/>
    <x v="0"/>
    <x v="10"/>
    <x v="1"/>
    <x v="99"/>
    <n v="185"/>
    <n v="4.5"/>
    <x v="0"/>
    <x v="0"/>
    <x v="1"/>
    <x v="0"/>
    <m/>
    <m/>
    <m/>
    <m/>
    <m/>
    <m/>
    <m/>
    <m/>
  </r>
  <r>
    <s v="Call_7641"/>
    <x v="7"/>
    <x v="53"/>
    <x v="2"/>
    <x v="99"/>
    <n v="130"/>
    <n v="1.9"/>
    <x v="0"/>
    <x v="0"/>
    <x v="0"/>
    <x v="3"/>
    <m/>
    <m/>
    <m/>
    <m/>
    <m/>
    <m/>
    <m/>
    <m/>
  </r>
  <r>
    <s v="Call_7642"/>
    <x v="6"/>
    <x v="50"/>
    <x v="3"/>
    <x v="100"/>
    <n v="21"/>
    <n v="2.6"/>
    <x v="0"/>
    <x v="1"/>
    <x v="0"/>
    <x v="1"/>
    <m/>
    <m/>
    <m/>
    <m/>
    <m/>
    <m/>
    <m/>
    <m/>
  </r>
  <r>
    <s v="Call_7643"/>
    <x v="14"/>
    <x v="90"/>
    <x v="0"/>
    <x v="100"/>
    <n v="88"/>
    <n v="4.3"/>
    <x v="0"/>
    <x v="1"/>
    <x v="0"/>
    <x v="2"/>
    <m/>
    <m/>
    <m/>
    <m/>
    <m/>
    <m/>
    <m/>
    <m/>
  </r>
  <r>
    <s v="Call_7644"/>
    <x v="2"/>
    <x v="28"/>
    <x v="4"/>
    <x v="100"/>
    <n v="35"/>
    <n v="4.4000000000000004"/>
    <x v="0"/>
    <x v="1"/>
    <x v="0"/>
    <x v="2"/>
    <m/>
    <m/>
    <m/>
    <m/>
    <m/>
    <m/>
    <m/>
    <m/>
  </r>
  <r>
    <s v="Call_7645"/>
    <x v="14"/>
    <x v="133"/>
    <x v="1"/>
    <x v="100"/>
    <n v="68"/>
    <n v="4.3"/>
    <x v="0"/>
    <x v="1"/>
    <x v="1"/>
    <x v="2"/>
    <m/>
    <m/>
    <m/>
    <m/>
    <m/>
    <m/>
    <m/>
    <m/>
  </r>
  <r>
    <s v="Call_7646"/>
    <x v="11"/>
    <x v="118"/>
    <x v="1"/>
    <x v="100"/>
    <n v="148"/>
    <n v="4.5"/>
    <x v="0"/>
    <x v="1"/>
    <x v="1"/>
    <x v="0"/>
    <m/>
    <m/>
    <m/>
    <m/>
    <m/>
    <m/>
    <m/>
    <m/>
  </r>
  <r>
    <s v="Call_7647"/>
    <x v="2"/>
    <x v="117"/>
    <x v="0"/>
    <x v="101"/>
    <n v="81"/>
    <n v="4.2"/>
    <x v="0"/>
    <x v="2"/>
    <x v="0"/>
    <x v="2"/>
    <m/>
    <m/>
    <m/>
    <m/>
    <m/>
    <m/>
    <m/>
    <m/>
  </r>
  <r>
    <s v="Call_7648"/>
    <x v="7"/>
    <x v="91"/>
    <x v="0"/>
    <x v="101"/>
    <n v="75"/>
    <n v="3.9"/>
    <x v="0"/>
    <x v="2"/>
    <x v="4"/>
    <x v="2"/>
    <m/>
    <m/>
    <m/>
    <m/>
    <m/>
    <m/>
    <m/>
    <m/>
  </r>
  <r>
    <s v="Call_7649"/>
    <x v="9"/>
    <x v="53"/>
    <x v="2"/>
    <x v="102"/>
    <n v="32"/>
    <n v="3.6"/>
    <x v="0"/>
    <x v="3"/>
    <x v="0"/>
    <x v="2"/>
    <m/>
    <m/>
    <m/>
    <m/>
    <m/>
    <m/>
    <m/>
    <m/>
  </r>
  <r>
    <s v="Call_7650"/>
    <x v="13"/>
    <x v="99"/>
    <x v="2"/>
    <x v="102"/>
    <n v="156"/>
    <n v="3.8"/>
    <x v="0"/>
    <x v="3"/>
    <x v="0"/>
    <x v="2"/>
    <m/>
    <m/>
    <m/>
    <m/>
    <m/>
    <m/>
    <m/>
    <m/>
  </r>
  <r>
    <s v="Call_7651"/>
    <x v="1"/>
    <x v="31"/>
    <x v="1"/>
    <x v="102"/>
    <n v="99"/>
    <n v="4.9000000000000004"/>
    <x v="0"/>
    <x v="3"/>
    <x v="0"/>
    <x v="0"/>
    <m/>
    <m/>
    <m/>
    <m/>
    <m/>
    <m/>
    <m/>
    <m/>
  </r>
  <r>
    <s v="Call_7652"/>
    <x v="0"/>
    <x v="134"/>
    <x v="4"/>
    <x v="102"/>
    <n v="26"/>
    <n v="4"/>
    <x v="0"/>
    <x v="3"/>
    <x v="0"/>
    <x v="2"/>
    <m/>
    <m/>
    <m/>
    <m/>
    <m/>
    <m/>
    <m/>
    <m/>
  </r>
  <r>
    <s v="Call_7653"/>
    <x v="4"/>
    <x v="68"/>
    <x v="2"/>
    <x v="102"/>
    <n v="84"/>
    <n v="4.0999999999999996"/>
    <x v="0"/>
    <x v="3"/>
    <x v="2"/>
    <x v="2"/>
    <m/>
    <m/>
    <m/>
    <m/>
    <m/>
    <m/>
    <m/>
    <m/>
  </r>
  <r>
    <s v="Call_7654"/>
    <x v="3"/>
    <x v="73"/>
    <x v="4"/>
    <x v="102"/>
    <n v="84"/>
    <n v="4.8"/>
    <x v="0"/>
    <x v="3"/>
    <x v="2"/>
    <x v="0"/>
    <m/>
    <m/>
    <m/>
    <m/>
    <m/>
    <m/>
    <m/>
    <m/>
  </r>
  <r>
    <s v="Call_7655"/>
    <x v="10"/>
    <x v="90"/>
    <x v="1"/>
    <x v="102"/>
    <n v="170"/>
    <n v="2.2999999999999998"/>
    <x v="0"/>
    <x v="3"/>
    <x v="0"/>
    <x v="3"/>
    <m/>
    <m/>
    <m/>
    <m/>
    <m/>
    <m/>
    <m/>
    <m/>
  </r>
  <r>
    <s v="Call_7656"/>
    <x v="14"/>
    <x v="63"/>
    <x v="2"/>
    <x v="102"/>
    <n v="35"/>
    <n v="4.4000000000000004"/>
    <x v="0"/>
    <x v="3"/>
    <x v="0"/>
    <x v="2"/>
    <m/>
    <m/>
    <m/>
    <m/>
    <m/>
    <m/>
    <m/>
    <m/>
  </r>
  <r>
    <s v="Call_7657"/>
    <x v="6"/>
    <x v="117"/>
    <x v="2"/>
    <x v="103"/>
    <n v="35"/>
    <n v="3.8"/>
    <x v="0"/>
    <x v="4"/>
    <x v="0"/>
    <x v="2"/>
    <m/>
    <m/>
    <m/>
    <m/>
    <m/>
    <m/>
    <m/>
    <m/>
  </r>
  <r>
    <s v="Call_7658"/>
    <x v="11"/>
    <x v="0"/>
    <x v="2"/>
    <x v="103"/>
    <n v="132"/>
    <n v="5"/>
    <x v="0"/>
    <x v="4"/>
    <x v="0"/>
    <x v="0"/>
    <m/>
    <m/>
    <m/>
    <m/>
    <m/>
    <m/>
    <m/>
    <m/>
  </r>
  <r>
    <s v="Call_7659"/>
    <x v="1"/>
    <x v="25"/>
    <x v="0"/>
    <x v="104"/>
    <n v="144"/>
    <n v="3.3"/>
    <x v="0"/>
    <x v="5"/>
    <x v="0"/>
    <x v="1"/>
    <m/>
    <m/>
    <m/>
    <m/>
    <m/>
    <m/>
    <m/>
    <m/>
  </r>
  <r>
    <s v="Call_7660"/>
    <x v="14"/>
    <x v="15"/>
    <x v="1"/>
    <x v="104"/>
    <n v="48"/>
    <n v="5"/>
    <x v="0"/>
    <x v="5"/>
    <x v="0"/>
    <x v="0"/>
    <m/>
    <m/>
    <m/>
    <m/>
    <m/>
    <m/>
    <m/>
    <m/>
  </r>
  <r>
    <s v="Call_7661"/>
    <x v="14"/>
    <x v="71"/>
    <x v="0"/>
    <x v="104"/>
    <n v="200"/>
    <n v="2.2999999999999998"/>
    <x v="0"/>
    <x v="5"/>
    <x v="2"/>
    <x v="3"/>
    <m/>
    <m/>
    <m/>
    <m/>
    <m/>
    <m/>
    <m/>
    <m/>
  </r>
  <r>
    <s v="Call_7662"/>
    <x v="10"/>
    <x v="84"/>
    <x v="4"/>
    <x v="104"/>
    <n v="38"/>
    <n v="4.8"/>
    <x v="0"/>
    <x v="5"/>
    <x v="0"/>
    <x v="0"/>
    <m/>
    <m/>
    <m/>
    <m/>
    <m/>
    <m/>
    <m/>
    <m/>
  </r>
  <r>
    <s v="Call_7663"/>
    <x v="11"/>
    <x v="125"/>
    <x v="3"/>
    <x v="104"/>
    <n v="81"/>
    <n v="3.7"/>
    <x v="0"/>
    <x v="5"/>
    <x v="2"/>
    <x v="2"/>
    <m/>
    <m/>
    <m/>
    <m/>
    <m/>
    <m/>
    <m/>
    <m/>
  </r>
  <r>
    <s v="Call_7664"/>
    <x v="1"/>
    <x v="114"/>
    <x v="2"/>
    <x v="104"/>
    <n v="120"/>
    <n v="4.2"/>
    <x v="0"/>
    <x v="5"/>
    <x v="1"/>
    <x v="2"/>
    <m/>
    <m/>
    <m/>
    <m/>
    <m/>
    <m/>
    <m/>
    <m/>
  </r>
  <r>
    <s v="Call_7665"/>
    <x v="8"/>
    <x v="135"/>
    <x v="4"/>
    <x v="104"/>
    <n v="74"/>
    <n v="4.8"/>
    <x v="0"/>
    <x v="5"/>
    <x v="3"/>
    <x v="0"/>
    <m/>
    <m/>
    <m/>
    <m/>
    <m/>
    <m/>
    <m/>
    <m/>
  </r>
  <r>
    <s v="Call_7666"/>
    <x v="1"/>
    <x v="62"/>
    <x v="2"/>
    <x v="105"/>
    <n v="128"/>
    <n v="4.7"/>
    <x v="0"/>
    <x v="6"/>
    <x v="2"/>
    <x v="0"/>
    <m/>
    <m/>
    <m/>
    <m/>
    <m/>
    <m/>
    <m/>
    <m/>
  </r>
  <r>
    <s v="Call_7667"/>
    <x v="3"/>
    <x v="48"/>
    <x v="1"/>
    <x v="105"/>
    <n v="21"/>
    <n v="3.9"/>
    <x v="0"/>
    <x v="6"/>
    <x v="0"/>
    <x v="2"/>
    <m/>
    <m/>
    <m/>
    <m/>
    <m/>
    <m/>
    <m/>
    <m/>
  </r>
  <r>
    <s v="Call_7668"/>
    <x v="14"/>
    <x v="93"/>
    <x v="2"/>
    <x v="105"/>
    <n v="110"/>
    <n v="4.3"/>
    <x v="0"/>
    <x v="6"/>
    <x v="2"/>
    <x v="2"/>
    <m/>
    <m/>
    <m/>
    <m/>
    <m/>
    <m/>
    <m/>
    <m/>
  </r>
  <r>
    <s v="Call_7669"/>
    <x v="1"/>
    <x v="97"/>
    <x v="2"/>
    <x v="105"/>
    <n v="145"/>
    <n v="4"/>
    <x v="0"/>
    <x v="6"/>
    <x v="0"/>
    <x v="2"/>
    <m/>
    <m/>
    <m/>
    <m/>
    <m/>
    <m/>
    <m/>
    <m/>
  </r>
  <r>
    <s v="Call_7670"/>
    <x v="14"/>
    <x v="34"/>
    <x v="3"/>
    <x v="105"/>
    <n v="129"/>
    <n v="4"/>
    <x v="0"/>
    <x v="6"/>
    <x v="0"/>
    <x v="2"/>
    <m/>
    <m/>
    <m/>
    <m/>
    <m/>
    <m/>
    <m/>
    <m/>
  </r>
  <r>
    <s v="Call_7671"/>
    <x v="6"/>
    <x v="5"/>
    <x v="0"/>
    <x v="105"/>
    <n v="156"/>
    <n v="3.2"/>
    <x v="0"/>
    <x v="6"/>
    <x v="0"/>
    <x v="1"/>
    <m/>
    <m/>
    <m/>
    <m/>
    <m/>
    <m/>
    <m/>
    <m/>
  </r>
  <r>
    <s v="Call_7672"/>
    <x v="8"/>
    <x v="49"/>
    <x v="2"/>
    <x v="106"/>
    <n v="120"/>
    <n v="3.8"/>
    <x v="0"/>
    <x v="0"/>
    <x v="1"/>
    <x v="2"/>
    <m/>
    <m/>
    <m/>
    <m/>
    <m/>
    <m/>
    <m/>
    <m/>
  </r>
  <r>
    <s v="Call_7673"/>
    <x v="3"/>
    <x v="136"/>
    <x v="3"/>
    <x v="106"/>
    <n v="62"/>
    <n v="3.4"/>
    <x v="0"/>
    <x v="0"/>
    <x v="1"/>
    <x v="1"/>
    <m/>
    <m/>
    <m/>
    <m/>
    <m/>
    <m/>
    <m/>
    <m/>
  </r>
  <r>
    <s v="Call_7674"/>
    <x v="9"/>
    <x v="76"/>
    <x v="2"/>
    <x v="106"/>
    <n v="160"/>
    <n v="3.2"/>
    <x v="0"/>
    <x v="0"/>
    <x v="1"/>
    <x v="1"/>
    <m/>
    <m/>
    <m/>
    <m/>
    <m/>
    <m/>
    <m/>
    <m/>
  </r>
  <r>
    <s v="Call_7675"/>
    <x v="1"/>
    <x v="54"/>
    <x v="2"/>
    <x v="106"/>
    <n v="56"/>
    <n v="4.7"/>
    <x v="0"/>
    <x v="0"/>
    <x v="2"/>
    <x v="0"/>
    <m/>
    <m/>
    <m/>
    <m/>
    <m/>
    <m/>
    <m/>
    <m/>
  </r>
  <r>
    <s v="Call_7676"/>
    <x v="5"/>
    <x v="117"/>
    <x v="4"/>
    <x v="106"/>
    <n v="72"/>
    <n v="4"/>
    <x v="0"/>
    <x v="0"/>
    <x v="0"/>
    <x v="2"/>
    <m/>
    <m/>
    <m/>
    <m/>
    <m/>
    <m/>
    <m/>
    <m/>
  </r>
  <r>
    <s v="Call_7677"/>
    <x v="1"/>
    <x v="12"/>
    <x v="1"/>
    <x v="107"/>
    <n v="81"/>
    <n v="4.8"/>
    <x v="0"/>
    <x v="1"/>
    <x v="1"/>
    <x v="0"/>
    <m/>
    <m/>
    <m/>
    <m/>
    <m/>
    <m/>
    <m/>
    <m/>
  </r>
  <r>
    <s v="Call_7678"/>
    <x v="3"/>
    <x v="75"/>
    <x v="2"/>
    <x v="107"/>
    <n v="144"/>
    <n v="3.9"/>
    <x v="0"/>
    <x v="1"/>
    <x v="0"/>
    <x v="2"/>
    <m/>
    <m/>
    <m/>
    <m/>
    <m/>
    <m/>
    <m/>
    <m/>
  </r>
  <r>
    <s v="Call_7679"/>
    <x v="2"/>
    <x v="86"/>
    <x v="1"/>
    <x v="107"/>
    <n v="111"/>
    <n v="4.3"/>
    <x v="0"/>
    <x v="1"/>
    <x v="0"/>
    <x v="2"/>
    <m/>
    <m/>
    <m/>
    <m/>
    <m/>
    <m/>
    <m/>
    <m/>
  </r>
  <r>
    <s v="Call_7680"/>
    <x v="14"/>
    <x v="137"/>
    <x v="3"/>
    <x v="107"/>
    <n v="43"/>
    <n v="4.2"/>
    <x v="0"/>
    <x v="1"/>
    <x v="3"/>
    <x v="2"/>
    <m/>
    <m/>
    <m/>
    <m/>
    <m/>
    <m/>
    <m/>
    <m/>
  </r>
  <r>
    <s v="Call_7681"/>
    <x v="6"/>
    <x v="37"/>
    <x v="4"/>
    <x v="107"/>
    <n v="41"/>
    <n v="4.9000000000000004"/>
    <x v="0"/>
    <x v="1"/>
    <x v="1"/>
    <x v="0"/>
    <m/>
    <m/>
    <m/>
    <m/>
    <m/>
    <m/>
    <m/>
    <m/>
  </r>
  <r>
    <s v="Call_7682"/>
    <x v="2"/>
    <x v="80"/>
    <x v="4"/>
    <x v="107"/>
    <n v="74"/>
    <n v="4"/>
    <x v="0"/>
    <x v="1"/>
    <x v="3"/>
    <x v="2"/>
    <m/>
    <m/>
    <m/>
    <m/>
    <m/>
    <m/>
    <m/>
    <m/>
  </r>
  <r>
    <s v="Call_7683"/>
    <x v="12"/>
    <x v="29"/>
    <x v="2"/>
    <x v="107"/>
    <n v="43"/>
    <n v="4.9000000000000004"/>
    <x v="0"/>
    <x v="1"/>
    <x v="0"/>
    <x v="0"/>
    <m/>
    <m/>
    <m/>
    <m/>
    <m/>
    <m/>
    <m/>
    <m/>
  </r>
  <r>
    <s v="Call_7684"/>
    <x v="10"/>
    <x v="114"/>
    <x v="4"/>
    <x v="107"/>
    <n v="128"/>
    <n v="3.6"/>
    <x v="0"/>
    <x v="1"/>
    <x v="1"/>
    <x v="2"/>
    <m/>
    <m/>
    <m/>
    <m/>
    <m/>
    <m/>
    <m/>
    <m/>
  </r>
  <r>
    <s v="Call_7685"/>
    <x v="0"/>
    <x v="92"/>
    <x v="4"/>
    <x v="108"/>
    <n v="144"/>
    <n v="4.0999999999999996"/>
    <x v="0"/>
    <x v="2"/>
    <x v="1"/>
    <x v="2"/>
    <m/>
    <m/>
    <m/>
    <m/>
    <m/>
    <m/>
    <m/>
    <m/>
  </r>
  <r>
    <s v="Call_7686"/>
    <x v="12"/>
    <x v="55"/>
    <x v="1"/>
    <x v="108"/>
    <n v="132"/>
    <n v="4.9000000000000004"/>
    <x v="0"/>
    <x v="2"/>
    <x v="1"/>
    <x v="0"/>
    <m/>
    <m/>
    <m/>
    <m/>
    <m/>
    <m/>
    <m/>
    <m/>
  </r>
  <r>
    <s v="Call_7687"/>
    <x v="2"/>
    <x v="130"/>
    <x v="1"/>
    <x v="108"/>
    <n v="180"/>
    <n v="3.9"/>
    <x v="0"/>
    <x v="2"/>
    <x v="0"/>
    <x v="2"/>
    <m/>
    <m/>
    <m/>
    <m/>
    <m/>
    <m/>
    <m/>
    <m/>
  </r>
  <r>
    <s v="Call_7688"/>
    <x v="4"/>
    <x v="138"/>
    <x v="1"/>
    <x v="108"/>
    <n v="31"/>
    <n v="4.0999999999999996"/>
    <x v="0"/>
    <x v="2"/>
    <x v="3"/>
    <x v="2"/>
    <m/>
    <m/>
    <m/>
    <m/>
    <m/>
    <m/>
    <m/>
    <m/>
  </r>
  <r>
    <s v="Call_7689"/>
    <x v="2"/>
    <x v="131"/>
    <x v="1"/>
    <x v="108"/>
    <n v="102"/>
    <n v="3.8"/>
    <x v="0"/>
    <x v="2"/>
    <x v="0"/>
    <x v="2"/>
    <m/>
    <m/>
    <m/>
    <m/>
    <m/>
    <m/>
    <m/>
    <m/>
  </r>
  <r>
    <s v="Call_7690"/>
    <x v="5"/>
    <x v="116"/>
    <x v="2"/>
    <x v="109"/>
    <n v="175"/>
    <n v="4.8"/>
    <x v="0"/>
    <x v="3"/>
    <x v="1"/>
    <x v="0"/>
    <m/>
    <m/>
    <m/>
    <m/>
    <m/>
    <m/>
    <m/>
    <m/>
  </r>
  <r>
    <s v="Call_7691"/>
    <x v="12"/>
    <x v="137"/>
    <x v="0"/>
    <x v="109"/>
    <n v="87"/>
    <n v="4.7"/>
    <x v="0"/>
    <x v="3"/>
    <x v="3"/>
    <x v="0"/>
    <m/>
    <m/>
    <m/>
    <m/>
    <m/>
    <m/>
    <m/>
    <m/>
  </r>
  <r>
    <s v="Call_7692"/>
    <x v="8"/>
    <x v="28"/>
    <x v="2"/>
    <x v="109"/>
    <n v="66"/>
    <n v="4.2"/>
    <x v="0"/>
    <x v="3"/>
    <x v="0"/>
    <x v="2"/>
    <m/>
    <m/>
    <m/>
    <m/>
    <m/>
    <m/>
    <m/>
    <m/>
  </r>
  <r>
    <s v="Call_7693"/>
    <x v="8"/>
    <x v="7"/>
    <x v="2"/>
    <x v="109"/>
    <n v="25"/>
    <n v="3.2"/>
    <x v="0"/>
    <x v="3"/>
    <x v="2"/>
    <x v="1"/>
    <m/>
    <m/>
    <m/>
    <m/>
    <m/>
    <m/>
    <m/>
    <m/>
  </r>
  <r>
    <s v="Call_7694"/>
    <x v="2"/>
    <x v="66"/>
    <x v="1"/>
    <x v="109"/>
    <n v="126"/>
    <n v="3.4"/>
    <x v="0"/>
    <x v="3"/>
    <x v="0"/>
    <x v="1"/>
    <m/>
    <m/>
    <m/>
    <m/>
    <m/>
    <m/>
    <m/>
    <m/>
  </r>
  <r>
    <s v="Call_7695"/>
    <x v="0"/>
    <x v="97"/>
    <x v="3"/>
    <x v="110"/>
    <n v="42"/>
    <n v="4.5999999999999996"/>
    <x v="0"/>
    <x v="4"/>
    <x v="0"/>
    <x v="0"/>
    <m/>
    <m/>
    <m/>
    <m/>
    <m/>
    <m/>
    <m/>
    <m/>
  </r>
  <r>
    <s v="Call_7696"/>
    <x v="5"/>
    <x v="58"/>
    <x v="0"/>
    <x v="110"/>
    <n v="225"/>
    <n v="1.9"/>
    <x v="0"/>
    <x v="4"/>
    <x v="0"/>
    <x v="3"/>
    <m/>
    <m/>
    <m/>
    <m/>
    <m/>
    <m/>
    <m/>
    <m/>
  </r>
  <r>
    <s v="Call_7697"/>
    <x v="3"/>
    <x v="139"/>
    <x v="0"/>
    <x v="110"/>
    <n v="42"/>
    <n v="3.3"/>
    <x v="0"/>
    <x v="4"/>
    <x v="1"/>
    <x v="1"/>
    <m/>
    <m/>
    <m/>
    <m/>
    <m/>
    <m/>
    <m/>
    <m/>
  </r>
  <r>
    <s v="Call_7698"/>
    <x v="2"/>
    <x v="61"/>
    <x v="3"/>
    <x v="111"/>
    <n v="110"/>
    <n v="3.1"/>
    <x v="0"/>
    <x v="5"/>
    <x v="1"/>
    <x v="1"/>
    <m/>
    <m/>
    <m/>
    <m/>
    <m/>
    <m/>
    <m/>
    <m/>
  </r>
  <r>
    <s v="Call_7699"/>
    <x v="10"/>
    <x v="125"/>
    <x v="1"/>
    <x v="111"/>
    <n v="225"/>
    <n v="4.8"/>
    <x v="0"/>
    <x v="5"/>
    <x v="2"/>
    <x v="0"/>
    <m/>
    <m/>
    <m/>
    <m/>
    <m/>
    <m/>
    <m/>
    <m/>
  </r>
  <r>
    <s v="Call_7700"/>
    <x v="8"/>
    <x v="10"/>
    <x v="4"/>
    <x v="112"/>
    <n v="125"/>
    <n v="3.3"/>
    <x v="0"/>
    <x v="6"/>
    <x v="1"/>
    <x v="1"/>
    <m/>
    <m/>
    <m/>
    <m/>
    <m/>
    <m/>
    <m/>
    <m/>
  </r>
  <r>
    <s v="Call_7701"/>
    <x v="5"/>
    <x v="22"/>
    <x v="1"/>
    <x v="112"/>
    <n v="78"/>
    <n v="2.9"/>
    <x v="0"/>
    <x v="6"/>
    <x v="0"/>
    <x v="1"/>
    <m/>
    <m/>
    <m/>
    <m/>
    <m/>
    <m/>
    <m/>
    <m/>
  </r>
  <r>
    <s v="Call_7702"/>
    <x v="5"/>
    <x v="22"/>
    <x v="3"/>
    <x v="112"/>
    <n v="40"/>
    <n v="2.4"/>
    <x v="0"/>
    <x v="6"/>
    <x v="0"/>
    <x v="3"/>
    <m/>
    <m/>
    <m/>
    <m/>
    <m/>
    <m/>
    <m/>
    <m/>
  </r>
  <r>
    <s v="Call_7703"/>
    <x v="9"/>
    <x v="107"/>
    <x v="2"/>
    <x v="112"/>
    <n v="150"/>
    <n v="4.5999999999999996"/>
    <x v="0"/>
    <x v="6"/>
    <x v="0"/>
    <x v="0"/>
    <m/>
    <m/>
    <m/>
    <m/>
    <m/>
    <m/>
    <m/>
    <m/>
  </r>
  <r>
    <s v="Call_7704"/>
    <x v="2"/>
    <x v="140"/>
    <x v="1"/>
    <x v="112"/>
    <n v="96"/>
    <n v="4.8"/>
    <x v="0"/>
    <x v="6"/>
    <x v="3"/>
    <x v="0"/>
    <m/>
    <m/>
    <m/>
    <m/>
    <m/>
    <m/>
    <m/>
    <m/>
  </r>
  <r>
    <s v="Call_7705"/>
    <x v="8"/>
    <x v="48"/>
    <x v="3"/>
    <x v="113"/>
    <n v="75"/>
    <n v="4.8"/>
    <x v="0"/>
    <x v="0"/>
    <x v="0"/>
    <x v="0"/>
    <m/>
    <m/>
    <m/>
    <m/>
    <m/>
    <m/>
    <m/>
    <m/>
  </r>
  <r>
    <s v="Call_7706"/>
    <x v="9"/>
    <x v="22"/>
    <x v="3"/>
    <x v="113"/>
    <n v="60"/>
    <n v="3.6"/>
    <x v="0"/>
    <x v="0"/>
    <x v="0"/>
    <x v="2"/>
    <m/>
    <m/>
    <m/>
    <m/>
    <m/>
    <m/>
    <m/>
    <m/>
  </r>
  <r>
    <s v="Call_7707"/>
    <x v="14"/>
    <x v="73"/>
    <x v="1"/>
    <x v="114"/>
    <n v="41"/>
    <n v="4.8"/>
    <x v="0"/>
    <x v="1"/>
    <x v="2"/>
    <x v="0"/>
    <m/>
    <m/>
    <m/>
    <m/>
    <m/>
    <m/>
    <m/>
    <m/>
  </r>
  <r>
    <s v="Call_7708"/>
    <x v="7"/>
    <x v="65"/>
    <x v="2"/>
    <x v="114"/>
    <n v="20"/>
    <n v="4.2"/>
    <x v="0"/>
    <x v="1"/>
    <x v="1"/>
    <x v="2"/>
    <m/>
    <m/>
    <m/>
    <m/>
    <m/>
    <m/>
    <m/>
    <m/>
  </r>
  <r>
    <s v="Call_7709"/>
    <x v="1"/>
    <x v="141"/>
    <x v="4"/>
    <x v="114"/>
    <n v="84"/>
    <n v="2.6"/>
    <x v="0"/>
    <x v="1"/>
    <x v="0"/>
    <x v="1"/>
    <m/>
    <m/>
    <m/>
    <m/>
    <m/>
    <m/>
    <m/>
    <m/>
  </r>
  <r>
    <s v="Call_7710"/>
    <x v="8"/>
    <x v="77"/>
    <x v="0"/>
    <x v="114"/>
    <n v="140"/>
    <n v="3.7"/>
    <x v="0"/>
    <x v="1"/>
    <x v="0"/>
    <x v="2"/>
    <m/>
    <m/>
    <m/>
    <m/>
    <m/>
    <m/>
    <m/>
    <m/>
  </r>
  <r>
    <s v="Call_7711"/>
    <x v="11"/>
    <x v="21"/>
    <x v="1"/>
    <x v="114"/>
    <n v="66"/>
    <n v="4.8"/>
    <x v="0"/>
    <x v="1"/>
    <x v="0"/>
    <x v="0"/>
    <m/>
    <m/>
    <m/>
    <m/>
    <m/>
    <m/>
    <m/>
    <m/>
  </r>
  <r>
    <s v="Call_7712"/>
    <x v="6"/>
    <x v="1"/>
    <x v="2"/>
    <x v="114"/>
    <n v="105"/>
    <n v="4.7"/>
    <x v="0"/>
    <x v="1"/>
    <x v="0"/>
    <x v="0"/>
    <m/>
    <m/>
    <m/>
    <m/>
    <m/>
    <m/>
    <m/>
    <m/>
  </r>
  <r>
    <s v="Call_7713"/>
    <x v="0"/>
    <x v="10"/>
    <x v="3"/>
    <x v="115"/>
    <n v="104"/>
    <n v="4.0999999999999996"/>
    <x v="0"/>
    <x v="2"/>
    <x v="1"/>
    <x v="2"/>
    <m/>
    <m/>
    <m/>
    <m/>
    <m/>
    <m/>
    <m/>
    <m/>
  </r>
  <r>
    <s v="Call_7714"/>
    <x v="7"/>
    <x v="103"/>
    <x v="4"/>
    <x v="115"/>
    <n v="123"/>
    <n v="3.2"/>
    <x v="0"/>
    <x v="2"/>
    <x v="2"/>
    <x v="1"/>
    <m/>
    <m/>
    <m/>
    <m/>
    <m/>
    <m/>
    <m/>
    <m/>
  </r>
  <r>
    <s v="Call_7715"/>
    <x v="2"/>
    <x v="142"/>
    <x v="3"/>
    <x v="116"/>
    <n v="215"/>
    <n v="4.3"/>
    <x v="0"/>
    <x v="3"/>
    <x v="2"/>
    <x v="2"/>
    <m/>
    <m/>
    <m/>
    <m/>
    <m/>
    <m/>
    <m/>
    <m/>
  </r>
  <r>
    <s v="Call_7716"/>
    <x v="0"/>
    <x v="74"/>
    <x v="1"/>
    <x v="116"/>
    <n v="46"/>
    <n v="0.7"/>
    <x v="0"/>
    <x v="3"/>
    <x v="0"/>
    <x v="5"/>
    <m/>
    <m/>
    <m/>
    <m/>
    <m/>
    <m/>
    <m/>
    <m/>
  </r>
  <r>
    <s v="Call_7717"/>
    <x v="9"/>
    <x v="84"/>
    <x v="4"/>
    <x v="116"/>
    <n v="115"/>
    <n v="3.7"/>
    <x v="0"/>
    <x v="3"/>
    <x v="0"/>
    <x v="2"/>
    <m/>
    <m/>
    <m/>
    <m/>
    <m/>
    <m/>
    <m/>
    <m/>
  </r>
  <r>
    <s v="Call_7718"/>
    <x v="0"/>
    <x v="129"/>
    <x v="4"/>
    <x v="116"/>
    <n v="124"/>
    <n v="3.9"/>
    <x v="0"/>
    <x v="3"/>
    <x v="0"/>
    <x v="2"/>
    <m/>
    <m/>
    <m/>
    <m/>
    <m/>
    <m/>
    <m/>
    <m/>
  </r>
  <r>
    <s v="Call_7719"/>
    <x v="13"/>
    <x v="78"/>
    <x v="4"/>
    <x v="117"/>
    <n v="205"/>
    <n v="4.5"/>
    <x v="0"/>
    <x v="4"/>
    <x v="3"/>
    <x v="0"/>
    <m/>
    <m/>
    <m/>
    <m/>
    <m/>
    <m/>
    <m/>
    <m/>
  </r>
  <r>
    <s v="Call_7720"/>
    <x v="14"/>
    <x v="75"/>
    <x v="2"/>
    <x v="117"/>
    <n v="90"/>
    <n v="2.8"/>
    <x v="0"/>
    <x v="4"/>
    <x v="0"/>
    <x v="1"/>
    <m/>
    <m/>
    <m/>
    <m/>
    <m/>
    <m/>
    <m/>
    <m/>
  </r>
  <r>
    <s v="Call_7721"/>
    <x v="9"/>
    <x v="22"/>
    <x v="1"/>
    <x v="117"/>
    <n v="92"/>
    <n v="4.9000000000000004"/>
    <x v="0"/>
    <x v="4"/>
    <x v="0"/>
    <x v="0"/>
    <m/>
    <m/>
    <m/>
    <m/>
    <m/>
    <m/>
    <m/>
    <m/>
  </r>
  <r>
    <s v="Call_7722"/>
    <x v="8"/>
    <x v="101"/>
    <x v="3"/>
    <x v="118"/>
    <n v="108"/>
    <n v="4.2"/>
    <x v="0"/>
    <x v="6"/>
    <x v="2"/>
    <x v="2"/>
    <m/>
    <m/>
    <m/>
    <m/>
    <m/>
    <m/>
    <m/>
    <m/>
  </r>
  <r>
    <s v="Call_7723"/>
    <x v="14"/>
    <x v="70"/>
    <x v="3"/>
    <x v="118"/>
    <n v="54"/>
    <n v="4.4000000000000004"/>
    <x v="0"/>
    <x v="6"/>
    <x v="1"/>
    <x v="2"/>
    <m/>
    <m/>
    <m/>
    <m/>
    <m/>
    <m/>
    <m/>
    <m/>
  </r>
  <r>
    <s v="Call_7724"/>
    <x v="8"/>
    <x v="95"/>
    <x v="3"/>
    <x v="119"/>
    <n v="44"/>
    <n v="3.5"/>
    <x v="0"/>
    <x v="0"/>
    <x v="0"/>
    <x v="2"/>
    <m/>
    <m/>
    <m/>
    <m/>
    <m/>
    <m/>
    <m/>
    <m/>
  </r>
  <r>
    <s v="Call_7725"/>
    <x v="11"/>
    <x v="65"/>
    <x v="3"/>
    <x v="119"/>
    <n v="44"/>
    <n v="4.7"/>
    <x v="0"/>
    <x v="0"/>
    <x v="1"/>
    <x v="0"/>
    <m/>
    <m/>
    <m/>
    <m/>
    <m/>
    <m/>
    <m/>
    <m/>
  </r>
  <r>
    <s v="Call_7726"/>
    <x v="0"/>
    <x v="143"/>
    <x v="1"/>
    <x v="120"/>
    <n v="37"/>
    <n v="4.9000000000000004"/>
    <x v="0"/>
    <x v="1"/>
    <x v="2"/>
    <x v="0"/>
    <m/>
    <m/>
    <m/>
    <m/>
    <m/>
    <m/>
    <m/>
    <m/>
  </r>
  <r>
    <s v="Call_7727"/>
    <x v="1"/>
    <x v="7"/>
    <x v="2"/>
    <x v="120"/>
    <n v="180"/>
    <n v="4.5"/>
    <x v="0"/>
    <x v="1"/>
    <x v="2"/>
    <x v="0"/>
    <m/>
    <m/>
    <m/>
    <m/>
    <m/>
    <m/>
    <m/>
    <m/>
  </r>
  <r>
    <s v="Call_7728"/>
    <x v="0"/>
    <x v="59"/>
    <x v="4"/>
    <x v="120"/>
    <n v="105"/>
    <n v="4.9000000000000004"/>
    <x v="0"/>
    <x v="1"/>
    <x v="0"/>
    <x v="0"/>
    <m/>
    <m/>
    <m/>
    <m/>
    <m/>
    <m/>
    <m/>
    <m/>
  </r>
  <r>
    <s v="Call_7729"/>
    <x v="11"/>
    <x v="21"/>
    <x v="0"/>
    <x v="120"/>
    <n v="87"/>
    <n v="3.6"/>
    <x v="0"/>
    <x v="1"/>
    <x v="0"/>
    <x v="2"/>
    <m/>
    <m/>
    <m/>
    <m/>
    <m/>
    <m/>
    <m/>
    <m/>
  </r>
  <r>
    <s v="Call_7730"/>
    <x v="9"/>
    <x v="128"/>
    <x v="2"/>
    <x v="120"/>
    <n v="52"/>
    <n v="3.8"/>
    <x v="0"/>
    <x v="1"/>
    <x v="3"/>
    <x v="2"/>
    <m/>
    <m/>
    <m/>
    <m/>
    <m/>
    <m/>
    <m/>
    <m/>
  </r>
  <r>
    <s v="Call_7731"/>
    <x v="4"/>
    <x v="8"/>
    <x v="4"/>
    <x v="120"/>
    <n v="63"/>
    <n v="3.5"/>
    <x v="0"/>
    <x v="1"/>
    <x v="2"/>
    <x v="2"/>
    <m/>
    <m/>
    <m/>
    <m/>
    <m/>
    <m/>
    <m/>
    <m/>
  </r>
  <r>
    <s v="Call_7732"/>
    <x v="10"/>
    <x v="144"/>
    <x v="1"/>
    <x v="121"/>
    <n v="195"/>
    <n v="4.8"/>
    <x v="0"/>
    <x v="2"/>
    <x v="2"/>
    <x v="0"/>
    <m/>
    <m/>
    <m/>
    <m/>
    <m/>
    <m/>
    <m/>
    <m/>
  </r>
  <r>
    <s v="Call_7733"/>
    <x v="14"/>
    <x v="34"/>
    <x v="3"/>
    <x v="122"/>
    <n v="176"/>
    <n v="4.5"/>
    <x v="0"/>
    <x v="3"/>
    <x v="0"/>
    <x v="0"/>
    <m/>
    <m/>
    <m/>
    <m/>
    <m/>
    <m/>
    <m/>
    <m/>
  </r>
  <r>
    <s v="Call_7734"/>
    <x v="6"/>
    <x v="17"/>
    <x v="2"/>
    <x v="123"/>
    <n v="31"/>
    <n v="3.3"/>
    <x v="0"/>
    <x v="4"/>
    <x v="2"/>
    <x v="1"/>
    <m/>
    <m/>
    <m/>
    <m/>
    <m/>
    <m/>
    <m/>
    <m/>
  </r>
  <r>
    <s v="Call_7735"/>
    <x v="2"/>
    <x v="128"/>
    <x v="2"/>
    <x v="124"/>
    <n v="27"/>
    <n v="3.2"/>
    <x v="0"/>
    <x v="5"/>
    <x v="3"/>
    <x v="1"/>
    <m/>
    <m/>
    <m/>
    <m/>
    <m/>
    <m/>
    <m/>
    <m/>
  </r>
  <r>
    <s v="Call_7736"/>
    <x v="7"/>
    <x v="129"/>
    <x v="3"/>
    <x v="124"/>
    <n v="76"/>
    <n v="4.9000000000000004"/>
    <x v="0"/>
    <x v="5"/>
    <x v="0"/>
    <x v="0"/>
    <m/>
    <m/>
    <m/>
    <m/>
    <m/>
    <m/>
    <m/>
    <m/>
  </r>
  <r>
    <s v="Call_7737"/>
    <x v="4"/>
    <x v="111"/>
    <x v="4"/>
    <x v="124"/>
    <n v="62"/>
    <n v="4.8"/>
    <x v="0"/>
    <x v="5"/>
    <x v="1"/>
    <x v="0"/>
    <m/>
    <m/>
    <m/>
    <m/>
    <m/>
    <m/>
    <m/>
    <m/>
  </r>
  <r>
    <s v="Call_7738"/>
    <x v="7"/>
    <x v="22"/>
    <x v="1"/>
    <x v="125"/>
    <n v="100"/>
    <n v="1.3"/>
    <x v="0"/>
    <x v="0"/>
    <x v="0"/>
    <x v="5"/>
    <m/>
    <m/>
    <m/>
    <m/>
    <m/>
    <m/>
    <m/>
    <m/>
  </r>
  <r>
    <s v="Call_7739"/>
    <x v="13"/>
    <x v="102"/>
    <x v="2"/>
    <x v="125"/>
    <n v="44"/>
    <n v="3.1"/>
    <x v="0"/>
    <x v="0"/>
    <x v="0"/>
    <x v="1"/>
    <m/>
    <m/>
    <m/>
    <m/>
    <m/>
    <m/>
    <m/>
    <m/>
  </r>
  <r>
    <s v="Call_7740"/>
    <x v="2"/>
    <x v="86"/>
    <x v="3"/>
    <x v="125"/>
    <n v="168"/>
    <n v="3.4"/>
    <x v="0"/>
    <x v="0"/>
    <x v="0"/>
    <x v="1"/>
    <m/>
    <m/>
    <m/>
    <m/>
    <m/>
    <m/>
    <m/>
    <m/>
  </r>
  <r>
    <s v="Call_7741"/>
    <x v="5"/>
    <x v="108"/>
    <x v="3"/>
    <x v="126"/>
    <n v="200"/>
    <n v="4.5999999999999996"/>
    <x v="0"/>
    <x v="1"/>
    <x v="2"/>
    <x v="0"/>
    <m/>
    <m/>
    <m/>
    <m/>
    <m/>
    <m/>
    <m/>
    <m/>
  </r>
  <r>
    <s v="Call_7742"/>
    <x v="1"/>
    <x v="85"/>
    <x v="2"/>
    <x v="126"/>
    <n v="84"/>
    <n v="4.3"/>
    <x v="0"/>
    <x v="1"/>
    <x v="1"/>
    <x v="2"/>
    <m/>
    <m/>
    <m/>
    <m/>
    <m/>
    <m/>
    <m/>
    <m/>
  </r>
  <r>
    <s v="Call_7743"/>
    <x v="14"/>
    <x v="145"/>
    <x v="3"/>
    <x v="127"/>
    <n v="117"/>
    <n v="2.7"/>
    <x v="0"/>
    <x v="2"/>
    <x v="2"/>
    <x v="1"/>
    <m/>
    <m/>
    <m/>
    <m/>
    <m/>
    <m/>
    <m/>
    <m/>
  </r>
  <r>
    <s v="Call_7744"/>
    <x v="10"/>
    <x v="98"/>
    <x v="1"/>
    <x v="127"/>
    <n v="63"/>
    <n v="4.2"/>
    <x v="0"/>
    <x v="2"/>
    <x v="3"/>
    <x v="2"/>
    <m/>
    <m/>
    <m/>
    <m/>
    <m/>
    <m/>
    <m/>
    <m/>
  </r>
  <r>
    <s v="Call_7745"/>
    <x v="2"/>
    <x v="24"/>
    <x v="3"/>
    <x v="128"/>
    <n v="145"/>
    <n v="4.9000000000000004"/>
    <x v="0"/>
    <x v="3"/>
    <x v="0"/>
    <x v="0"/>
    <m/>
    <m/>
    <m/>
    <m/>
    <m/>
    <m/>
    <m/>
    <m/>
  </r>
  <r>
    <s v="Call_7746"/>
    <x v="14"/>
    <x v="12"/>
    <x v="2"/>
    <x v="128"/>
    <n v="220"/>
    <n v="3.2"/>
    <x v="0"/>
    <x v="3"/>
    <x v="1"/>
    <x v="1"/>
    <m/>
    <m/>
    <m/>
    <m/>
    <m/>
    <m/>
    <m/>
    <m/>
  </r>
  <r>
    <s v="Call_7747"/>
    <x v="8"/>
    <x v="54"/>
    <x v="1"/>
    <x v="128"/>
    <n v="26"/>
    <n v="4.7"/>
    <x v="0"/>
    <x v="3"/>
    <x v="2"/>
    <x v="0"/>
    <m/>
    <m/>
    <m/>
    <m/>
    <m/>
    <m/>
    <m/>
    <m/>
  </r>
  <r>
    <s v="Call_7748"/>
    <x v="2"/>
    <x v="117"/>
    <x v="3"/>
    <x v="128"/>
    <n v="78"/>
    <n v="4.3"/>
    <x v="0"/>
    <x v="3"/>
    <x v="0"/>
    <x v="2"/>
    <m/>
    <m/>
    <m/>
    <m/>
    <m/>
    <m/>
    <m/>
    <m/>
  </r>
  <r>
    <s v="Call_7749"/>
    <x v="6"/>
    <x v="79"/>
    <x v="4"/>
    <x v="129"/>
    <n v="132"/>
    <n v="4.3"/>
    <x v="0"/>
    <x v="4"/>
    <x v="3"/>
    <x v="2"/>
    <m/>
    <m/>
    <m/>
    <m/>
    <m/>
    <m/>
    <m/>
    <m/>
  </r>
  <r>
    <s v="Call_7750"/>
    <x v="9"/>
    <x v="38"/>
    <x v="4"/>
    <x v="130"/>
    <n v="68"/>
    <n v="3.7"/>
    <x v="0"/>
    <x v="5"/>
    <x v="0"/>
    <x v="2"/>
    <m/>
    <m/>
    <m/>
    <m/>
    <m/>
    <m/>
    <m/>
    <m/>
  </r>
  <r>
    <s v="Call_7751"/>
    <x v="1"/>
    <x v="19"/>
    <x v="2"/>
    <x v="131"/>
    <n v="129"/>
    <n v="4.7"/>
    <x v="0"/>
    <x v="0"/>
    <x v="0"/>
    <x v="0"/>
    <m/>
    <m/>
    <m/>
    <m/>
    <m/>
    <m/>
    <m/>
    <m/>
  </r>
  <r>
    <s v="Call_7752"/>
    <x v="12"/>
    <x v="99"/>
    <x v="4"/>
    <x v="131"/>
    <n v="115"/>
    <n v="4.9000000000000004"/>
    <x v="0"/>
    <x v="0"/>
    <x v="0"/>
    <x v="0"/>
    <m/>
    <m/>
    <m/>
    <m/>
    <m/>
    <m/>
    <m/>
    <m/>
  </r>
  <r>
    <s v="Call_7753"/>
    <x v="12"/>
    <x v="107"/>
    <x v="4"/>
    <x v="131"/>
    <n v="128"/>
    <n v="3.9"/>
    <x v="0"/>
    <x v="0"/>
    <x v="0"/>
    <x v="2"/>
    <m/>
    <m/>
    <m/>
    <m/>
    <m/>
    <m/>
    <m/>
    <m/>
  </r>
  <r>
    <s v="Call_7754"/>
    <x v="12"/>
    <x v="146"/>
    <x v="2"/>
    <x v="131"/>
    <n v="90"/>
    <n v="4.5"/>
    <x v="0"/>
    <x v="0"/>
    <x v="0"/>
    <x v="0"/>
    <m/>
    <m/>
    <m/>
    <m/>
    <m/>
    <m/>
    <m/>
    <m/>
  </r>
  <r>
    <s v="Call_7755"/>
    <x v="8"/>
    <x v="77"/>
    <x v="3"/>
    <x v="132"/>
    <n v="39"/>
    <n v="4.5999999999999996"/>
    <x v="0"/>
    <x v="1"/>
    <x v="0"/>
    <x v="0"/>
    <m/>
    <m/>
    <m/>
    <m/>
    <m/>
    <m/>
    <m/>
    <m/>
  </r>
  <r>
    <s v="Call_7756"/>
    <x v="6"/>
    <x v="90"/>
    <x v="4"/>
    <x v="132"/>
    <n v="132"/>
    <n v="3.3"/>
    <x v="0"/>
    <x v="1"/>
    <x v="0"/>
    <x v="1"/>
    <m/>
    <m/>
    <m/>
    <m/>
    <m/>
    <m/>
    <m/>
    <m/>
  </r>
  <r>
    <s v="Call_7757"/>
    <x v="4"/>
    <x v="147"/>
    <x v="4"/>
    <x v="132"/>
    <n v="170"/>
    <n v="3.8"/>
    <x v="0"/>
    <x v="1"/>
    <x v="2"/>
    <x v="2"/>
    <m/>
    <m/>
    <m/>
    <m/>
    <m/>
    <m/>
    <m/>
    <m/>
  </r>
  <r>
    <s v="Call_7758"/>
    <x v="12"/>
    <x v="86"/>
    <x v="2"/>
    <x v="132"/>
    <n v="42"/>
    <n v="4.7"/>
    <x v="0"/>
    <x v="1"/>
    <x v="0"/>
    <x v="0"/>
    <m/>
    <m/>
    <m/>
    <m/>
    <m/>
    <m/>
    <m/>
    <m/>
  </r>
  <r>
    <s v="Call_7759"/>
    <x v="3"/>
    <x v="23"/>
    <x v="3"/>
    <x v="133"/>
    <n v="37"/>
    <n v="4"/>
    <x v="0"/>
    <x v="2"/>
    <x v="1"/>
    <x v="2"/>
    <m/>
    <m/>
    <m/>
    <m/>
    <m/>
    <m/>
    <m/>
    <m/>
  </r>
  <r>
    <s v="Call_7760"/>
    <x v="1"/>
    <x v="146"/>
    <x v="3"/>
    <x v="133"/>
    <n v="88"/>
    <n v="4.7"/>
    <x v="0"/>
    <x v="2"/>
    <x v="0"/>
    <x v="0"/>
    <m/>
    <m/>
    <m/>
    <m/>
    <m/>
    <m/>
    <m/>
    <m/>
  </r>
  <r>
    <s v="Call_7761"/>
    <x v="14"/>
    <x v="47"/>
    <x v="3"/>
    <x v="133"/>
    <n v="80"/>
    <n v="2.5"/>
    <x v="0"/>
    <x v="2"/>
    <x v="0"/>
    <x v="1"/>
    <m/>
    <m/>
    <m/>
    <m/>
    <m/>
    <m/>
    <m/>
    <m/>
  </r>
  <r>
    <s v="Call_7762"/>
    <x v="6"/>
    <x v="44"/>
    <x v="0"/>
    <x v="134"/>
    <n v="123"/>
    <n v="3.6"/>
    <x v="0"/>
    <x v="3"/>
    <x v="2"/>
    <x v="2"/>
    <m/>
    <m/>
    <m/>
    <m/>
    <m/>
    <m/>
    <m/>
    <m/>
  </r>
  <r>
    <s v="Call_7763"/>
    <x v="10"/>
    <x v="122"/>
    <x v="4"/>
    <x v="134"/>
    <n v="31"/>
    <n v="3.7"/>
    <x v="0"/>
    <x v="3"/>
    <x v="1"/>
    <x v="2"/>
    <m/>
    <m/>
    <m/>
    <m/>
    <m/>
    <m/>
    <m/>
    <m/>
  </r>
  <r>
    <s v="Call_7764"/>
    <x v="13"/>
    <x v="58"/>
    <x v="1"/>
    <x v="134"/>
    <n v="205"/>
    <n v="3.9"/>
    <x v="0"/>
    <x v="3"/>
    <x v="0"/>
    <x v="2"/>
    <m/>
    <m/>
    <m/>
    <m/>
    <m/>
    <m/>
    <m/>
    <m/>
  </r>
  <r>
    <s v="Call_7765"/>
    <x v="7"/>
    <x v="89"/>
    <x v="3"/>
    <x v="135"/>
    <n v="123"/>
    <n v="3.7"/>
    <x v="0"/>
    <x v="4"/>
    <x v="1"/>
    <x v="2"/>
    <m/>
    <m/>
    <m/>
    <m/>
    <m/>
    <m/>
    <m/>
    <m/>
  </r>
  <r>
    <s v="Call_7766"/>
    <x v="4"/>
    <x v="148"/>
    <x v="4"/>
    <x v="135"/>
    <n v="123"/>
    <n v="4.3"/>
    <x v="0"/>
    <x v="4"/>
    <x v="1"/>
    <x v="2"/>
    <m/>
    <m/>
    <m/>
    <m/>
    <m/>
    <m/>
    <m/>
    <m/>
  </r>
  <r>
    <s v="Call_7767"/>
    <x v="14"/>
    <x v="149"/>
    <x v="4"/>
    <x v="135"/>
    <n v="36"/>
    <n v="2.9"/>
    <x v="0"/>
    <x v="4"/>
    <x v="1"/>
    <x v="1"/>
    <m/>
    <m/>
    <m/>
    <m/>
    <m/>
    <m/>
    <m/>
    <m/>
  </r>
  <r>
    <s v="Call_7768"/>
    <x v="7"/>
    <x v="22"/>
    <x v="4"/>
    <x v="135"/>
    <n v="116"/>
    <n v="4.3"/>
    <x v="0"/>
    <x v="4"/>
    <x v="0"/>
    <x v="2"/>
    <m/>
    <m/>
    <m/>
    <m/>
    <m/>
    <m/>
    <m/>
    <m/>
  </r>
  <r>
    <s v="Call_7769"/>
    <x v="9"/>
    <x v="86"/>
    <x v="4"/>
    <x v="135"/>
    <n v="40"/>
    <n v="4.9000000000000004"/>
    <x v="0"/>
    <x v="4"/>
    <x v="0"/>
    <x v="0"/>
    <m/>
    <m/>
    <m/>
    <m/>
    <m/>
    <m/>
    <m/>
    <m/>
  </r>
  <r>
    <s v="Call_7770"/>
    <x v="9"/>
    <x v="146"/>
    <x v="3"/>
    <x v="135"/>
    <n v="40"/>
    <n v="4"/>
    <x v="0"/>
    <x v="4"/>
    <x v="0"/>
    <x v="2"/>
    <m/>
    <m/>
    <m/>
    <m/>
    <m/>
    <m/>
    <m/>
    <m/>
  </r>
  <r>
    <s v="Call_7771"/>
    <x v="13"/>
    <x v="50"/>
    <x v="2"/>
    <x v="136"/>
    <n v="82"/>
    <n v="4"/>
    <x v="0"/>
    <x v="5"/>
    <x v="0"/>
    <x v="2"/>
    <m/>
    <m/>
    <m/>
    <m/>
    <m/>
    <m/>
    <m/>
    <m/>
  </r>
  <r>
    <s v="Call_7772"/>
    <x v="8"/>
    <x v="6"/>
    <x v="0"/>
    <x v="136"/>
    <n v="62"/>
    <n v="3.4"/>
    <x v="0"/>
    <x v="5"/>
    <x v="0"/>
    <x v="1"/>
    <m/>
    <m/>
    <m/>
    <m/>
    <m/>
    <m/>
    <m/>
    <m/>
  </r>
  <r>
    <s v="Call_7773"/>
    <x v="3"/>
    <x v="64"/>
    <x v="0"/>
    <x v="136"/>
    <n v="135"/>
    <n v="3.9"/>
    <x v="0"/>
    <x v="5"/>
    <x v="2"/>
    <x v="2"/>
    <m/>
    <m/>
    <m/>
    <m/>
    <m/>
    <m/>
    <m/>
    <m/>
  </r>
  <r>
    <s v="Call_7774"/>
    <x v="13"/>
    <x v="50"/>
    <x v="1"/>
    <x v="136"/>
    <n v="155"/>
    <n v="2.1"/>
    <x v="0"/>
    <x v="5"/>
    <x v="0"/>
    <x v="3"/>
    <m/>
    <m/>
    <m/>
    <m/>
    <m/>
    <m/>
    <m/>
    <m/>
  </r>
  <r>
    <s v="Call_7775"/>
    <x v="6"/>
    <x v="62"/>
    <x v="2"/>
    <x v="136"/>
    <n v="37"/>
    <n v="4.9000000000000004"/>
    <x v="0"/>
    <x v="5"/>
    <x v="2"/>
    <x v="0"/>
    <m/>
    <m/>
    <m/>
    <m/>
    <m/>
    <m/>
    <m/>
    <m/>
  </r>
  <r>
    <s v="Call_7776"/>
    <x v="13"/>
    <x v="38"/>
    <x v="3"/>
    <x v="137"/>
    <n v="56"/>
    <n v="3.4"/>
    <x v="0"/>
    <x v="6"/>
    <x v="0"/>
    <x v="1"/>
    <m/>
    <m/>
    <m/>
    <m/>
    <m/>
    <m/>
    <m/>
    <m/>
  </r>
  <r>
    <s v="Call_7777"/>
    <x v="13"/>
    <x v="58"/>
    <x v="3"/>
    <x v="137"/>
    <n v="185"/>
    <n v="5"/>
    <x v="0"/>
    <x v="6"/>
    <x v="0"/>
    <x v="0"/>
    <m/>
    <m/>
    <m/>
    <m/>
    <m/>
    <m/>
    <m/>
    <m/>
  </r>
  <r>
    <s v="Call_7778"/>
    <x v="0"/>
    <x v="71"/>
    <x v="2"/>
    <x v="138"/>
    <n v="145"/>
    <n v="4.5"/>
    <x v="0"/>
    <x v="0"/>
    <x v="2"/>
    <x v="0"/>
    <m/>
    <m/>
    <m/>
    <m/>
    <m/>
    <m/>
    <m/>
    <m/>
  </r>
  <r>
    <s v="Call_7779"/>
    <x v="7"/>
    <x v="101"/>
    <x v="0"/>
    <x v="138"/>
    <n v="116"/>
    <n v="2.6"/>
    <x v="0"/>
    <x v="0"/>
    <x v="2"/>
    <x v="1"/>
    <m/>
    <m/>
    <m/>
    <m/>
    <m/>
    <m/>
    <m/>
    <m/>
  </r>
  <r>
    <s v="Call_7780"/>
    <x v="6"/>
    <x v="150"/>
    <x v="4"/>
    <x v="138"/>
    <n v="45"/>
    <n v="4.2"/>
    <x v="0"/>
    <x v="0"/>
    <x v="1"/>
    <x v="2"/>
    <m/>
    <m/>
    <m/>
    <m/>
    <m/>
    <m/>
    <m/>
    <m/>
  </r>
  <r>
    <s v="Call_7781"/>
    <x v="4"/>
    <x v="11"/>
    <x v="3"/>
    <x v="139"/>
    <n v="35"/>
    <n v="4.5"/>
    <x v="0"/>
    <x v="1"/>
    <x v="0"/>
    <x v="0"/>
    <m/>
    <m/>
    <m/>
    <m/>
    <m/>
    <m/>
    <m/>
    <m/>
  </r>
  <r>
    <s v="Call_7782"/>
    <x v="9"/>
    <x v="50"/>
    <x v="0"/>
    <x v="139"/>
    <n v="100"/>
    <n v="4.4000000000000004"/>
    <x v="0"/>
    <x v="1"/>
    <x v="0"/>
    <x v="2"/>
    <m/>
    <m/>
    <m/>
    <m/>
    <m/>
    <m/>
    <m/>
    <m/>
  </r>
  <r>
    <s v="Call_7783"/>
    <x v="9"/>
    <x v="63"/>
    <x v="2"/>
    <x v="140"/>
    <n v="125"/>
    <n v="3.5"/>
    <x v="0"/>
    <x v="2"/>
    <x v="0"/>
    <x v="2"/>
    <m/>
    <m/>
    <m/>
    <m/>
    <m/>
    <m/>
    <m/>
    <m/>
  </r>
  <r>
    <s v="Call_7784"/>
    <x v="6"/>
    <x v="104"/>
    <x v="4"/>
    <x v="140"/>
    <n v="120"/>
    <n v="3"/>
    <x v="0"/>
    <x v="2"/>
    <x v="1"/>
    <x v="1"/>
    <m/>
    <m/>
    <m/>
    <m/>
    <m/>
    <m/>
    <m/>
    <m/>
  </r>
  <r>
    <s v="Call_7785"/>
    <x v="11"/>
    <x v="30"/>
    <x v="1"/>
    <x v="140"/>
    <n v="180"/>
    <n v="4.7"/>
    <x v="0"/>
    <x v="2"/>
    <x v="0"/>
    <x v="0"/>
    <m/>
    <m/>
    <m/>
    <m/>
    <m/>
    <m/>
    <m/>
    <m/>
  </r>
  <r>
    <s v="Call_7786"/>
    <x v="5"/>
    <x v="47"/>
    <x v="0"/>
    <x v="140"/>
    <n v="44"/>
    <n v="3"/>
    <x v="0"/>
    <x v="2"/>
    <x v="0"/>
    <x v="1"/>
    <m/>
    <m/>
    <m/>
    <m/>
    <m/>
    <m/>
    <m/>
    <m/>
  </r>
  <r>
    <s v="Call_7787"/>
    <x v="10"/>
    <x v="48"/>
    <x v="4"/>
    <x v="140"/>
    <n v="86"/>
    <n v="3.6"/>
    <x v="0"/>
    <x v="2"/>
    <x v="0"/>
    <x v="2"/>
    <m/>
    <m/>
    <m/>
    <m/>
    <m/>
    <m/>
    <m/>
    <m/>
  </r>
  <r>
    <s v="Call_7788"/>
    <x v="6"/>
    <x v="32"/>
    <x v="4"/>
    <x v="141"/>
    <n v="120"/>
    <n v="4.0999999999999996"/>
    <x v="0"/>
    <x v="3"/>
    <x v="0"/>
    <x v="2"/>
    <m/>
    <m/>
    <m/>
    <m/>
    <m/>
    <m/>
    <m/>
    <m/>
  </r>
  <r>
    <s v="Call_7789"/>
    <x v="3"/>
    <x v="30"/>
    <x v="1"/>
    <x v="141"/>
    <n v="100"/>
    <n v="3.7"/>
    <x v="0"/>
    <x v="3"/>
    <x v="0"/>
    <x v="2"/>
    <m/>
    <m/>
    <m/>
    <m/>
    <m/>
    <m/>
    <m/>
    <m/>
  </r>
  <r>
    <s v="Call_7790"/>
    <x v="3"/>
    <x v="145"/>
    <x v="1"/>
    <x v="142"/>
    <n v="108"/>
    <n v="4.5"/>
    <x v="0"/>
    <x v="4"/>
    <x v="2"/>
    <x v="0"/>
    <m/>
    <m/>
    <m/>
    <m/>
    <m/>
    <m/>
    <m/>
    <m/>
  </r>
  <r>
    <s v="Call_7791"/>
    <x v="14"/>
    <x v="121"/>
    <x v="1"/>
    <x v="142"/>
    <n v="46"/>
    <n v="4.5999999999999996"/>
    <x v="0"/>
    <x v="4"/>
    <x v="2"/>
    <x v="0"/>
    <m/>
    <m/>
    <m/>
    <m/>
    <m/>
    <m/>
    <m/>
    <m/>
  </r>
  <r>
    <s v="Call_7792"/>
    <x v="7"/>
    <x v="75"/>
    <x v="4"/>
    <x v="142"/>
    <n v="210"/>
    <n v="4.3"/>
    <x v="0"/>
    <x v="4"/>
    <x v="0"/>
    <x v="2"/>
    <m/>
    <m/>
    <m/>
    <m/>
    <m/>
    <m/>
    <m/>
    <m/>
  </r>
  <r>
    <s v="Call_7793"/>
    <x v="12"/>
    <x v="56"/>
    <x v="2"/>
    <x v="143"/>
    <n v="54"/>
    <n v="4.8"/>
    <x v="0"/>
    <x v="6"/>
    <x v="1"/>
    <x v="0"/>
    <m/>
    <m/>
    <m/>
    <m/>
    <m/>
    <m/>
    <m/>
    <m/>
  </r>
  <r>
    <s v="Call_7794"/>
    <x v="5"/>
    <x v="52"/>
    <x v="4"/>
    <x v="143"/>
    <n v="115"/>
    <n v="4.7"/>
    <x v="0"/>
    <x v="6"/>
    <x v="1"/>
    <x v="0"/>
    <m/>
    <m/>
    <m/>
    <m/>
    <m/>
    <m/>
    <m/>
    <m/>
  </r>
  <r>
    <s v="Call_7795"/>
    <x v="11"/>
    <x v="4"/>
    <x v="1"/>
    <x v="144"/>
    <n v="100"/>
    <n v="2.2000000000000002"/>
    <x v="0"/>
    <x v="0"/>
    <x v="2"/>
    <x v="3"/>
    <m/>
    <m/>
    <m/>
    <m/>
    <m/>
    <m/>
    <m/>
    <m/>
  </r>
  <r>
    <s v="Call_7796"/>
    <x v="2"/>
    <x v="29"/>
    <x v="4"/>
    <x v="144"/>
    <n v="38"/>
    <n v="4.4000000000000004"/>
    <x v="0"/>
    <x v="0"/>
    <x v="0"/>
    <x v="2"/>
    <m/>
    <m/>
    <m/>
    <m/>
    <m/>
    <m/>
    <m/>
    <m/>
  </r>
  <r>
    <s v="Call_7797"/>
    <x v="12"/>
    <x v="13"/>
    <x v="2"/>
    <x v="145"/>
    <n v="120"/>
    <n v="4.0999999999999996"/>
    <x v="0"/>
    <x v="1"/>
    <x v="2"/>
    <x v="2"/>
    <m/>
    <m/>
    <m/>
    <m/>
    <m/>
    <m/>
    <m/>
    <m/>
  </r>
  <r>
    <s v="Call_7798"/>
    <x v="9"/>
    <x v="13"/>
    <x v="2"/>
    <x v="145"/>
    <n v="120"/>
    <n v="4.0999999999999996"/>
    <x v="0"/>
    <x v="1"/>
    <x v="2"/>
    <x v="2"/>
    <m/>
    <m/>
    <m/>
    <m/>
    <m/>
    <m/>
    <m/>
    <m/>
  </r>
  <r>
    <s v="Call_7799"/>
    <x v="1"/>
    <x v="87"/>
    <x v="1"/>
    <x v="145"/>
    <n v="29"/>
    <n v="4.4000000000000004"/>
    <x v="0"/>
    <x v="1"/>
    <x v="1"/>
    <x v="2"/>
    <m/>
    <m/>
    <m/>
    <m/>
    <m/>
    <m/>
    <m/>
    <m/>
  </r>
  <r>
    <s v="Call_7800"/>
    <x v="10"/>
    <x v="111"/>
    <x v="1"/>
    <x v="146"/>
    <n v="25"/>
    <n v="3.7"/>
    <x v="0"/>
    <x v="2"/>
    <x v="1"/>
    <x v="2"/>
    <m/>
    <m/>
    <m/>
    <m/>
    <m/>
    <m/>
    <m/>
    <m/>
  </r>
  <r>
    <s v="Call_7801"/>
    <x v="13"/>
    <x v="1"/>
    <x v="4"/>
    <x v="147"/>
    <n v="116"/>
    <n v="3.8"/>
    <x v="0"/>
    <x v="3"/>
    <x v="0"/>
    <x v="2"/>
    <m/>
    <m/>
    <m/>
    <m/>
    <m/>
    <m/>
    <m/>
    <m/>
  </r>
  <r>
    <s v="Call_7802"/>
    <x v="1"/>
    <x v="58"/>
    <x v="2"/>
    <x v="148"/>
    <n v="132"/>
    <n v="4.3"/>
    <x v="0"/>
    <x v="4"/>
    <x v="0"/>
    <x v="2"/>
    <m/>
    <m/>
    <m/>
    <m/>
    <m/>
    <m/>
    <m/>
    <m/>
  </r>
  <r>
    <s v="Call_7803"/>
    <x v="10"/>
    <x v="44"/>
    <x v="4"/>
    <x v="149"/>
    <n v="90"/>
    <n v="3.5"/>
    <x v="0"/>
    <x v="5"/>
    <x v="2"/>
    <x v="2"/>
    <m/>
    <m/>
    <m/>
    <m/>
    <m/>
    <m/>
    <m/>
    <m/>
  </r>
  <r>
    <s v="Call_7804"/>
    <x v="7"/>
    <x v="118"/>
    <x v="0"/>
    <x v="149"/>
    <n v="87"/>
    <n v="4.0999999999999996"/>
    <x v="0"/>
    <x v="5"/>
    <x v="1"/>
    <x v="2"/>
    <m/>
    <m/>
    <m/>
    <m/>
    <m/>
    <m/>
    <m/>
    <m/>
  </r>
  <r>
    <s v="Call_7805"/>
    <x v="6"/>
    <x v="52"/>
    <x v="4"/>
    <x v="149"/>
    <n v="140"/>
    <n v="4.2"/>
    <x v="0"/>
    <x v="5"/>
    <x v="1"/>
    <x v="2"/>
    <m/>
    <m/>
    <m/>
    <m/>
    <m/>
    <m/>
    <m/>
    <m/>
  </r>
  <r>
    <s v="Call_7806"/>
    <x v="8"/>
    <x v="77"/>
    <x v="4"/>
    <x v="149"/>
    <n v="164"/>
    <n v="4.5"/>
    <x v="0"/>
    <x v="5"/>
    <x v="0"/>
    <x v="0"/>
    <m/>
    <m/>
    <m/>
    <m/>
    <m/>
    <m/>
    <m/>
    <m/>
  </r>
  <r>
    <s v="Call_7807"/>
    <x v="5"/>
    <x v="15"/>
    <x v="2"/>
    <x v="150"/>
    <n v="180"/>
    <n v="3.8"/>
    <x v="0"/>
    <x v="6"/>
    <x v="0"/>
    <x v="2"/>
    <m/>
    <m/>
    <m/>
    <m/>
    <m/>
    <m/>
    <m/>
    <m/>
  </r>
  <r>
    <s v="Call_7808"/>
    <x v="14"/>
    <x v="75"/>
    <x v="3"/>
    <x v="151"/>
    <n v="22"/>
    <n v="4.0999999999999996"/>
    <x v="0"/>
    <x v="0"/>
    <x v="0"/>
    <x v="2"/>
    <m/>
    <m/>
    <m/>
    <m/>
    <m/>
    <m/>
    <m/>
    <m/>
  </r>
  <r>
    <s v="Call_7809"/>
    <x v="4"/>
    <x v="52"/>
    <x v="0"/>
    <x v="151"/>
    <n v="82"/>
    <n v="4.4000000000000004"/>
    <x v="0"/>
    <x v="0"/>
    <x v="1"/>
    <x v="2"/>
    <m/>
    <m/>
    <m/>
    <m/>
    <m/>
    <m/>
    <m/>
    <m/>
  </r>
  <r>
    <s v="Call_7810"/>
    <x v="0"/>
    <x v="56"/>
    <x v="2"/>
    <x v="151"/>
    <n v="100"/>
    <n v="4.5999999999999996"/>
    <x v="0"/>
    <x v="0"/>
    <x v="1"/>
    <x v="0"/>
    <m/>
    <m/>
    <m/>
    <m/>
    <m/>
    <m/>
    <m/>
    <m/>
  </r>
  <r>
    <s v="Call_7811"/>
    <x v="8"/>
    <x v="51"/>
    <x v="4"/>
    <x v="152"/>
    <n v="52"/>
    <n v="3.4"/>
    <x v="0"/>
    <x v="1"/>
    <x v="0"/>
    <x v="1"/>
    <m/>
    <m/>
    <m/>
    <m/>
    <m/>
    <m/>
    <m/>
    <m/>
  </r>
  <r>
    <s v="Call_7812"/>
    <x v="8"/>
    <x v="110"/>
    <x v="0"/>
    <x v="153"/>
    <n v="84"/>
    <n v="4.5999999999999996"/>
    <x v="0"/>
    <x v="2"/>
    <x v="1"/>
    <x v="0"/>
    <m/>
    <m/>
    <m/>
    <m/>
    <m/>
    <m/>
    <m/>
    <m/>
  </r>
  <r>
    <s v="Call_7813"/>
    <x v="8"/>
    <x v="73"/>
    <x v="0"/>
    <x v="153"/>
    <n v="37"/>
    <n v="3.9"/>
    <x v="0"/>
    <x v="2"/>
    <x v="2"/>
    <x v="2"/>
    <m/>
    <m/>
    <m/>
    <m/>
    <m/>
    <m/>
    <m/>
    <m/>
  </r>
  <r>
    <s v="Call_7814"/>
    <x v="11"/>
    <x v="119"/>
    <x v="2"/>
    <x v="154"/>
    <n v="190"/>
    <n v="4"/>
    <x v="0"/>
    <x v="3"/>
    <x v="1"/>
    <x v="2"/>
    <m/>
    <m/>
    <m/>
    <m/>
    <m/>
    <m/>
    <m/>
    <m/>
  </r>
  <r>
    <s v="Call_7815"/>
    <x v="6"/>
    <x v="127"/>
    <x v="1"/>
    <x v="154"/>
    <n v="66"/>
    <n v="3.4"/>
    <x v="0"/>
    <x v="3"/>
    <x v="1"/>
    <x v="1"/>
    <m/>
    <m/>
    <m/>
    <m/>
    <m/>
    <m/>
    <m/>
    <m/>
  </r>
  <r>
    <s v="Call_7816"/>
    <x v="1"/>
    <x v="95"/>
    <x v="4"/>
    <x v="155"/>
    <n v="116"/>
    <n v="3.2"/>
    <x v="0"/>
    <x v="4"/>
    <x v="0"/>
    <x v="1"/>
    <m/>
    <m/>
    <m/>
    <m/>
    <m/>
    <m/>
    <m/>
    <m/>
  </r>
  <r>
    <s v="Call_7817"/>
    <x v="12"/>
    <x v="67"/>
    <x v="3"/>
    <x v="155"/>
    <n v="28"/>
    <n v="3.9"/>
    <x v="0"/>
    <x v="4"/>
    <x v="0"/>
    <x v="2"/>
    <m/>
    <m/>
    <m/>
    <m/>
    <m/>
    <m/>
    <m/>
    <m/>
  </r>
  <r>
    <s v="Call_7818"/>
    <x v="4"/>
    <x v="6"/>
    <x v="4"/>
    <x v="155"/>
    <n v="120"/>
    <n v="5"/>
    <x v="0"/>
    <x v="4"/>
    <x v="0"/>
    <x v="0"/>
    <m/>
    <m/>
    <m/>
    <m/>
    <m/>
    <m/>
    <m/>
    <m/>
  </r>
  <r>
    <s v="Call_7819"/>
    <x v="2"/>
    <x v="130"/>
    <x v="2"/>
    <x v="155"/>
    <n v="56"/>
    <n v="3.5"/>
    <x v="0"/>
    <x v="4"/>
    <x v="0"/>
    <x v="2"/>
    <m/>
    <m/>
    <m/>
    <m/>
    <m/>
    <m/>
    <m/>
    <m/>
  </r>
  <r>
    <s v="Call_7820"/>
    <x v="2"/>
    <x v="8"/>
    <x v="0"/>
    <x v="155"/>
    <n v="170"/>
    <n v="3.8"/>
    <x v="0"/>
    <x v="4"/>
    <x v="2"/>
    <x v="2"/>
    <m/>
    <m/>
    <m/>
    <m/>
    <m/>
    <m/>
    <m/>
    <m/>
  </r>
  <r>
    <s v="Call_7821"/>
    <x v="12"/>
    <x v="76"/>
    <x v="2"/>
    <x v="156"/>
    <n v="200"/>
    <n v="4.8"/>
    <x v="0"/>
    <x v="5"/>
    <x v="1"/>
    <x v="0"/>
    <m/>
    <m/>
    <m/>
    <m/>
    <m/>
    <m/>
    <m/>
    <m/>
  </r>
  <r>
    <s v="Call_7822"/>
    <x v="4"/>
    <x v="35"/>
    <x v="4"/>
    <x v="157"/>
    <n v="50"/>
    <n v="4.2"/>
    <x v="0"/>
    <x v="6"/>
    <x v="1"/>
    <x v="2"/>
    <m/>
    <m/>
    <m/>
    <m/>
    <m/>
    <m/>
    <m/>
    <m/>
  </r>
  <r>
    <s v="Call_7823"/>
    <x v="0"/>
    <x v="32"/>
    <x v="3"/>
    <x v="157"/>
    <n v="112"/>
    <n v="3.7"/>
    <x v="0"/>
    <x v="6"/>
    <x v="0"/>
    <x v="2"/>
    <m/>
    <m/>
    <m/>
    <m/>
    <m/>
    <m/>
    <m/>
    <m/>
  </r>
  <r>
    <s v="Call_7824"/>
    <x v="14"/>
    <x v="99"/>
    <x v="4"/>
    <x v="158"/>
    <n v="39"/>
    <n v="4.8"/>
    <x v="0"/>
    <x v="0"/>
    <x v="0"/>
    <x v="0"/>
    <m/>
    <m/>
    <m/>
    <m/>
    <m/>
    <m/>
    <m/>
    <m/>
  </r>
  <r>
    <s v="Call_7825"/>
    <x v="6"/>
    <x v="106"/>
    <x v="3"/>
    <x v="158"/>
    <n v="38"/>
    <n v="4.8"/>
    <x v="0"/>
    <x v="0"/>
    <x v="0"/>
    <x v="0"/>
    <m/>
    <m/>
    <m/>
    <m/>
    <m/>
    <m/>
    <m/>
    <m/>
  </r>
  <r>
    <s v="Call_7826"/>
    <x v="5"/>
    <x v="4"/>
    <x v="4"/>
    <x v="159"/>
    <n v="84"/>
    <n v="2.9"/>
    <x v="0"/>
    <x v="1"/>
    <x v="2"/>
    <x v="1"/>
    <m/>
    <m/>
    <m/>
    <m/>
    <m/>
    <m/>
    <m/>
    <m/>
  </r>
  <r>
    <s v="Call_7827"/>
    <x v="8"/>
    <x v="146"/>
    <x v="2"/>
    <x v="160"/>
    <n v="82"/>
    <n v="3.5"/>
    <x v="0"/>
    <x v="2"/>
    <x v="0"/>
    <x v="2"/>
    <m/>
    <m/>
    <m/>
    <m/>
    <m/>
    <m/>
    <m/>
    <m/>
  </r>
  <r>
    <s v="Call_7828"/>
    <x v="14"/>
    <x v="151"/>
    <x v="3"/>
    <x v="160"/>
    <n v="37"/>
    <n v="0.9"/>
    <x v="0"/>
    <x v="2"/>
    <x v="1"/>
    <x v="5"/>
    <m/>
    <m/>
    <m/>
    <m/>
    <m/>
    <m/>
    <m/>
    <m/>
  </r>
  <r>
    <s v="Call_7829"/>
    <x v="2"/>
    <x v="49"/>
    <x v="1"/>
    <x v="161"/>
    <n v="87"/>
    <n v="3.4"/>
    <x v="0"/>
    <x v="3"/>
    <x v="1"/>
    <x v="1"/>
    <m/>
    <m/>
    <m/>
    <m/>
    <m/>
    <m/>
    <m/>
    <m/>
  </r>
  <r>
    <s v="Call_7830"/>
    <x v="2"/>
    <x v="21"/>
    <x v="1"/>
    <x v="161"/>
    <n v="75"/>
    <n v="2.7"/>
    <x v="0"/>
    <x v="3"/>
    <x v="0"/>
    <x v="1"/>
    <m/>
    <m/>
    <m/>
    <m/>
    <m/>
    <m/>
    <m/>
    <m/>
  </r>
  <r>
    <s v="Call_7831"/>
    <x v="5"/>
    <x v="24"/>
    <x v="4"/>
    <x v="161"/>
    <n v="32"/>
    <n v="4.7"/>
    <x v="0"/>
    <x v="3"/>
    <x v="0"/>
    <x v="0"/>
    <m/>
    <m/>
    <m/>
    <m/>
    <m/>
    <m/>
    <m/>
    <m/>
  </r>
  <r>
    <s v="Call_7832"/>
    <x v="13"/>
    <x v="8"/>
    <x v="2"/>
    <x v="161"/>
    <n v="33"/>
    <n v="3"/>
    <x v="0"/>
    <x v="3"/>
    <x v="2"/>
    <x v="1"/>
    <m/>
    <m/>
    <m/>
    <m/>
    <m/>
    <m/>
    <m/>
    <m/>
  </r>
  <r>
    <s v="Call_7833"/>
    <x v="13"/>
    <x v="9"/>
    <x v="0"/>
    <x v="161"/>
    <n v="76"/>
    <n v="4.2"/>
    <x v="0"/>
    <x v="3"/>
    <x v="0"/>
    <x v="2"/>
    <m/>
    <m/>
    <m/>
    <m/>
    <m/>
    <m/>
    <m/>
    <m/>
  </r>
  <r>
    <s v="Call_7834"/>
    <x v="11"/>
    <x v="33"/>
    <x v="0"/>
    <x v="161"/>
    <n v="117"/>
    <n v="4.8"/>
    <x v="0"/>
    <x v="3"/>
    <x v="0"/>
    <x v="0"/>
    <m/>
    <m/>
    <m/>
    <m/>
    <m/>
    <m/>
    <m/>
    <m/>
  </r>
  <r>
    <s v="Call_7835"/>
    <x v="5"/>
    <x v="143"/>
    <x v="2"/>
    <x v="162"/>
    <n v="70"/>
    <n v="4.0999999999999996"/>
    <x v="0"/>
    <x v="5"/>
    <x v="2"/>
    <x v="2"/>
    <m/>
    <m/>
    <m/>
    <m/>
    <m/>
    <m/>
    <m/>
    <m/>
  </r>
  <r>
    <s v="Call_7836"/>
    <x v="5"/>
    <x v="33"/>
    <x v="1"/>
    <x v="162"/>
    <n v="37"/>
    <n v="2.7"/>
    <x v="0"/>
    <x v="5"/>
    <x v="0"/>
    <x v="1"/>
    <m/>
    <m/>
    <m/>
    <m/>
    <m/>
    <m/>
    <m/>
    <m/>
  </r>
  <r>
    <s v="Call_7837"/>
    <x v="2"/>
    <x v="74"/>
    <x v="0"/>
    <x v="162"/>
    <n v="46"/>
    <n v="2.9"/>
    <x v="0"/>
    <x v="5"/>
    <x v="0"/>
    <x v="1"/>
    <m/>
    <m/>
    <m/>
    <m/>
    <m/>
    <m/>
    <m/>
    <m/>
  </r>
  <r>
    <s v="Call_7838"/>
    <x v="7"/>
    <x v="38"/>
    <x v="4"/>
    <x v="162"/>
    <n v="136"/>
    <n v="5"/>
    <x v="0"/>
    <x v="5"/>
    <x v="0"/>
    <x v="0"/>
    <m/>
    <m/>
    <m/>
    <m/>
    <m/>
    <m/>
    <m/>
    <m/>
  </r>
  <r>
    <s v="Call_7839"/>
    <x v="2"/>
    <x v="114"/>
    <x v="0"/>
    <x v="163"/>
    <n v="44"/>
    <n v="4.5999999999999996"/>
    <x v="0"/>
    <x v="6"/>
    <x v="1"/>
    <x v="0"/>
    <m/>
    <m/>
    <m/>
    <m/>
    <m/>
    <m/>
    <m/>
    <m/>
  </r>
  <r>
    <s v="Call_7840"/>
    <x v="9"/>
    <x v="41"/>
    <x v="3"/>
    <x v="163"/>
    <n v="69"/>
    <n v="3"/>
    <x v="0"/>
    <x v="6"/>
    <x v="0"/>
    <x v="1"/>
    <m/>
    <m/>
    <m/>
    <m/>
    <m/>
    <m/>
    <m/>
    <m/>
  </r>
  <r>
    <s v="Call_7841"/>
    <x v="7"/>
    <x v="142"/>
    <x v="2"/>
    <x v="164"/>
    <n v="86"/>
    <n v="4.5999999999999996"/>
    <x v="0"/>
    <x v="0"/>
    <x v="2"/>
    <x v="0"/>
    <m/>
    <m/>
    <m/>
    <m/>
    <m/>
    <m/>
    <m/>
    <m/>
  </r>
  <r>
    <s v="Call_7842"/>
    <x v="5"/>
    <x v="114"/>
    <x v="4"/>
    <x v="164"/>
    <n v="68"/>
    <n v="4.5"/>
    <x v="0"/>
    <x v="0"/>
    <x v="1"/>
    <x v="0"/>
    <m/>
    <m/>
    <m/>
    <m/>
    <m/>
    <m/>
    <m/>
    <m/>
  </r>
  <r>
    <s v="Call_7843"/>
    <x v="8"/>
    <x v="122"/>
    <x v="2"/>
    <x v="165"/>
    <n v="21"/>
    <n v="3.7"/>
    <x v="0"/>
    <x v="1"/>
    <x v="1"/>
    <x v="2"/>
    <m/>
    <m/>
    <m/>
    <m/>
    <m/>
    <m/>
    <m/>
    <m/>
  </r>
  <r>
    <s v="Call_7844"/>
    <x v="2"/>
    <x v="116"/>
    <x v="1"/>
    <x v="165"/>
    <n v="190"/>
    <n v="2.4"/>
    <x v="0"/>
    <x v="1"/>
    <x v="1"/>
    <x v="3"/>
    <m/>
    <m/>
    <m/>
    <m/>
    <m/>
    <m/>
    <m/>
    <m/>
  </r>
  <r>
    <s v="Call_7845"/>
    <x v="5"/>
    <x v="121"/>
    <x v="0"/>
    <x v="165"/>
    <n v="176"/>
    <n v="4.3"/>
    <x v="0"/>
    <x v="1"/>
    <x v="2"/>
    <x v="2"/>
    <m/>
    <m/>
    <m/>
    <m/>
    <m/>
    <m/>
    <m/>
    <m/>
  </r>
  <r>
    <s v="Call_7846"/>
    <x v="11"/>
    <x v="7"/>
    <x v="4"/>
    <x v="165"/>
    <n v="172"/>
    <n v="3.9"/>
    <x v="0"/>
    <x v="1"/>
    <x v="2"/>
    <x v="2"/>
    <m/>
    <m/>
    <m/>
    <m/>
    <m/>
    <m/>
    <m/>
    <m/>
  </r>
  <r>
    <s v="Call_7847"/>
    <x v="4"/>
    <x v="128"/>
    <x v="2"/>
    <x v="165"/>
    <n v="84"/>
    <n v="4.5"/>
    <x v="0"/>
    <x v="1"/>
    <x v="3"/>
    <x v="0"/>
    <m/>
    <m/>
    <m/>
    <m/>
    <m/>
    <m/>
    <m/>
    <m/>
  </r>
  <r>
    <s v="Call_7848"/>
    <x v="1"/>
    <x v="35"/>
    <x v="3"/>
    <x v="166"/>
    <n v="42"/>
    <n v="5"/>
    <x v="0"/>
    <x v="2"/>
    <x v="1"/>
    <x v="0"/>
    <m/>
    <m/>
    <m/>
    <m/>
    <m/>
    <m/>
    <m/>
    <m/>
  </r>
  <r>
    <s v="Call_7849"/>
    <x v="7"/>
    <x v="47"/>
    <x v="1"/>
    <x v="166"/>
    <n v="70"/>
    <n v="1.6"/>
    <x v="0"/>
    <x v="2"/>
    <x v="0"/>
    <x v="3"/>
    <m/>
    <m/>
    <m/>
    <m/>
    <m/>
    <m/>
    <m/>
    <m/>
  </r>
  <r>
    <s v="Call_7850"/>
    <x v="9"/>
    <x v="10"/>
    <x v="3"/>
    <x v="166"/>
    <n v="60"/>
    <n v="4.3"/>
    <x v="0"/>
    <x v="2"/>
    <x v="1"/>
    <x v="2"/>
    <m/>
    <m/>
    <m/>
    <m/>
    <m/>
    <m/>
    <m/>
    <m/>
  </r>
  <r>
    <s v="Call_7851"/>
    <x v="6"/>
    <x v="58"/>
    <x v="1"/>
    <x v="166"/>
    <n v="84"/>
    <n v="3.5"/>
    <x v="0"/>
    <x v="2"/>
    <x v="0"/>
    <x v="2"/>
    <m/>
    <m/>
    <m/>
    <m/>
    <m/>
    <m/>
    <m/>
    <m/>
  </r>
  <r>
    <s v="Call_7852"/>
    <x v="8"/>
    <x v="24"/>
    <x v="0"/>
    <x v="167"/>
    <n v="68"/>
    <n v="3.1"/>
    <x v="0"/>
    <x v="3"/>
    <x v="0"/>
    <x v="1"/>
    <m/>
    <m/>
    <m/>
    <m/>
    <m/>
    <m/>
    <m/>
    <m/>
  </r>
  <r>
    <s v="Call_7853"/>
    <x v="13"/>
    <x v="16"/>
    <x v="0"/>
    <x v="167"/>
    <n v="44"/>
    <n v="2.9"/>
    <x v="0"/>
    <x v="3"/>
    <x v="3"/>
    <x v="1"/>
    <m/>
    <m/>
    <m/>
    <m/>
    <m/>
    <m/>
    <m/>
    <m/>
  </r>
  <r>
    <s v="Call_7854"/>
    <x v="6"/>
    <x v="9"/>
    <x v="3"/>
    <x v="168"/>
    <n v="99"/>
    <n v="3.2"/>
    <x v="0"/>
    <x v="4"/>
    <x v="0"/>
    <x v="1"/>
    <m/>
    <m/>
    <m/>
    <m/>
    <m/>
    <m/>
    <m/>
    <m/>
  </r>
  <r>
    <s v="Call_7855"/>
    <x v="7"/>
    <x v="73"/>
    <x v="3"/>
    <x v="169"/>
    <n v="66"/>
    <n v="3.2"/>
    <x v="0"/>
    <x v="5"/>
    <x v="2"/>
    <x v="1"/>
    <m/>
    <m/>
    <m/>
    <m/>
    <m/>
    <m/>
    <m/>
    <m/>
  </r>
  <r>
    <s v="Call_7856"/>
    <x v="3"/>
    <x v="6"/>
    <x v="3"/>
    <x v="169"/>
    <n v="102"/>
    <n v="4.5"/>
    <x v="0"/>
    <x v="5"/>
    <x v="0"/>
    <x v="0"/>
    <m/>
    <m/>
    <m/>
    <m/>
    <m/>
    <m/>
    <m/>
    <m/>
  </r>
  <r>
    <s v="Call_7857"/>
    <x v="8"/>
    <x v="31"/>
    <x v="0"/>
    <x v="170"/>
    <n v="129"/>
    <n v="3.9"/>
    <x v="1"/>
    <x v="6"/>
    <x v="0"/>
    <x v="2"/>
    <m/>
    <m/>
    <m/>
    <m/>
    <m/>
    <m/>
    <m/>
    <m/>
  </r>
  <r>
    <s v="Call_7858"/>
    <x v="12"/>
    <x v="117"/>
    <x v="3"/>
    <x v="170"/>
    <n v="80"/>
    <n v="4.2"/>
    <x v="1"/>
    <x v="6"/>
    <x v="0"/>
    <x v="2"/>
    <m/>
    <m/>
    <m/>
    <m/>
    <m/>
    <m/>
    <m/>
    <m/>
  </r>
  <r>
    <s v="Call_7859"/>
    <x v="3"/>
    <x v="39"/>
    <x v="3"/>
    <x v="170"/>
    <n v="54"/>
    <n v="1.8"/>
    <x v="1"/>
    <x v="6"/>
    <x v="2"/>
    <x v="3"/>
    <m/>
    <m/>
    <m/>
    <m/>
    <m/>
    <m/>
    <m/>
    <m/>
  </r>
  <r>
    <s v="Call_7860"/>
    <x v="13"/>
    <x v="112"/>
    <x v="0"/>
    <x v="170"/>
    <n v="116"/>
    <n v="4.2"/>
    <x v="1"/>
    <x v="6"/>
    <x v="1"/>
    <x v="2"/>
    <m/>
    <m/>
    <m/>
    <m/>
    <m/>
    <m/>
    <m/>
    <m/>
  </r>
  <r>
    <s v="Call_7861"/>
    <x v="13"/>
    <x v="88"/>
    <x v="2"/>
    <x v="170"/>
    <n v="102"/>
    <n v="3.1"/>
    <x v="1"/>
    <x v="6"/>
    <x v="1"/>
    <x v="1"/>
    <m/>
    <m/>
    <m/>
    <m/>
    <m/>
    <m/>
    <m/>
    <m/>
  </r>
  <r>
    <s v="Call_7862"/>
    <x v="10"/>
    <x v="3"/>
    <x v="1"/>
    <x v="170"/>
    <n v="140"/>
    <n v="4.3"/>
    <x v="1"/>
    <x v="6"/>
    <x v="1"/>
    <x v="2"/>
    <m/>
    <m/>
    <m/>
    <m/>
    <m/>
    <m/>
    <m/>
    <m/>
  </r>
  <r>
    <s v="Call_7863"/>
    <x v="7"/>
    <x v="50"/>
    <x v="1"/>
    <x v="171"/>
    <n v="104"/>
    <n v="4.4000000000000004"/>
    <x v="1"/>
    <x v="0"/>
    <x v="0"/>
    <x v="2"/>
    <m/>
    <m/>
    <m/>
    <m/>
    <m/>
    <m/>
    <m/>
    <m/>
  </r>
  <r>
    <s v="Call_7864"/>
    <x v="10"/>
    <x v="12"/>
    <x v="3"/>
    <x v="171"/>
    <n v="81"/>
    <n v="4.4000000000000004"/>
    <x v="1"/>
    <x v="0"/>
    <x v="1"/>
    <x v="2"/>
    <m/>
    <m/>
    <m/>
    <m/>
    <m/>
    <m/>
    <m/>
    <m/>
  </r>
  <r>
    <s v="Call_7865"/>
    <x v="6"/>
    <x v="66"/>
    <x v="4"/>
    <x v="172"/>
    <n v="140"/>
    <n v="2.4"/>
    <x v="1"/>
    <x v="2"/>
    <x v="0"/>
    <x v="3"/>
    <m/>
    <m/>
    <m/>
    <m/>
    <m/>
    <m/>
    <m/>
    <m/>
  </r>
  <r>
    <s v="Call_7866"/>
    <x v="1"/>
    <x v="82"/>
    <x v="0"/>
    <x v="173"/>
    <n v="120"/>
    <n v="3.5"/>
    <x v="1"/>
    <x v="3"/>
    <x v="2"/>
    <x v="2"/>
    <m/>
    <m/>
    <m/>
    <m/>
    <m/>
    <m/>
    <m/>
    <m/>
  </r>
  <r>
    <s v="Call_7867"/>
    <x v="6"/>
    <x v="2"/>
    <x v="3"/>
    <x v="173"/>
    <n v="41"/>
    <n v="3.1"/>
    <x v="1"/>
    <x v="3"/>
    <x v="0"/>
    <x v="1"/>
    <m/>
    <m/>
    <m/>
    <m/>
    <m/>
    <m/>
    <m/>
    <m/>
  </r>
  <r>
    <s v="Call_7868"/>
    <x v="4"/>
    <x v="3"/>
    <x v="3"/>
    <x v="173"/>
    <n v="116"/>
    <n v="2.2999999999999998"/>
    <x v="1"/>
    <x v="3"/>
    <x v="1"/>
    <x v="3"/>
    <m/>
    <m/>
    <m/>
    <m/>
    <m/>
    <m/>
    <m/>
    <m/>
  </r>
  <r>
    <s v="Call_7869"/>
    <x v="0"/>
    <x v="9"/>
    <x v="0"/>
    <x v="174"/>
    <n v="70"/>
    <n v="2.8"/>
    <x v="1"/>
    <x v="4"/>
    <x v="0"/>
    <x v="1"/>
    <m/>
    <m/>
    <m/>
    <m/>
    <m/>
    <m/>
    <m/>
    <m/>
  </r>
  <r>
    <s v="Call_7870"/>
    <x v="10"/>
    <x v="143"/>
    <x v="2"/>
    <x v="174"/>
    <n v="42"/>
    <n v="4.5"/>
    <x v="1"/>
    <x v="4"/>
    <x v="2"/>
    <x v="0"/>
    <m/>
    <m/>
    <m/>
    <m/>
    <m/>
    <m/>
    <m/>
    <m/>
  </r>
  <r>
    <s v="Call_7871"/>
    <x v="4"/>
    <x v="71"/>
    <x v="1"/>
    <x v="175"/>
    <n v="112"/>
    <n v="4.5"/>
    <x v="1"/>
    <x v="5"/>
    <x v="2"/>
    <x v="0"/>
    <m/>
    <m/>
    <m/>
    <m/>
    <m/>
    <m/>
    <m/>
    <m/>
  </r>
  <r>
    <s v="Call_7872"/>
    <x v="3"/>
    <x v="99"/>
    <x v="3"/>
    <x v="175"/>
    <n v="20"/>
    <n v="4.5"/>
    <x v="1"/>
    <x v="5"/>
    <x v="0"/>
    <x v="0"/>
    <m/>
    <m/>
    <m/>
    <m/>
    <m/>
    <m/>
    <m/>
    <m/>
  </r>
  <r>
    <s v="Call_7873"/>
    <x v="8"/>
    <x v="117"/>
    <x v="2"/>
    <x v="176"/>
    <n v="110"/>
    <n v="4.8"/>
    <x v="1"/>
    <x v="6"/>
    <x v="0"/>
    <x v="0"/>
    <m/>
    <m/>
    <m/>
    <m/>
    <m/>
    <m/>
    <m/>
    <m/>
  </r>
  <r>
    <s v="Call_7874"/>
    <x v="5"/>
    <x v="4"/>
    <x v="2"/>
    <x v="176"/>
    <n v="39"/>
    <n v="4.5999999999999996"/>
    <x v="1"/>
    <x v="6"/>
    <x v="2"/>
    <x v="0"/>
    <m/>
    <m/>
    <m/>
    <m/>
    <m/>
    <m/>
    <m/>
    <m/>
  </r>
  <r>
    <s v="Call_7875"/>
    <x v="8"/>
    <x v="113"/>
    <x v="0"/>
    <x v="176"/>
    <n v="76"/>
    <n v="4.5"/>
    <x v="1"/>
    <x v="6"/>
    <x v="0"/>
    <x v="0"/>
    <m/>
    <m/>
    <m/>
    <m/>
    <m/>
    <m/>
    <m/>
    <m/>
  </r>
  <r>
    <s v="Call_7876"/>
    <x v="1"/>
    <x v="54"/>
    <x v="0"/>
    <x v="176"/>
    <n v="40"/>
    <n v="5"/>
    <x v="1"/>
    <x v="6"/>
    <x v="2"/>
    <x v="0"/>
    <m/>
    <m/>
    <m/>
    <m/>
    <m/>
    <m/>
    <m/>
    <m/>
  </r>
  <r>
    <s v="Call_7877"/>
    <x v="8"/>
    <x v="143"/>
    <x v="3"/>
    <x v="176"/>
    <n v="42"/>
    <n v="4.8"/>
    <x v="1"/>
    <x v="6"/>
    <x v="2"/>
    <x v="0"/>
    <m/>
    <m/>
    <m/>
    <m/>
    <m/>
    <m/>
    <m/>
    <m/>
  </r>
  <r>
    <s v="Call_7878"/>
    <x v="2"/>
    <x v="106"/>
    <x v="4"/>
    <x v="177"/>
    <n v="215"/>
    <n v="3.5"/>
    <x v="1"/>
    <x v="0"/>
    <x v="0"/>
    <x v="2"/>
    <m/>
    <m/>
    <m/>
    <m/>
    <m/>
    <m/>
    <m/>
    <m/>
  </r>
  <r>
    <s v="Call_7879"/>
    <x v="9"/>
    <x v="11"/>
    <x v="4"/>
    <x v="178"/>
    <n v="130"/>
    <n v="3.4"/>
    <x v="1"/>
    <x v="1"/>
    <x v="0"/>
    <x v="1"/>
    <m/>
    <m/>
    <m/>
    <m/>
    <m/>
    <m/>
    <m/>
    <m/>
  </r>
  <r>
    <s v="Call_7880"/>
    <x v="11"/>
    <x v="143"/>
    <x v="4"/>
    <x v="178"/>
    <n v="190"/>
    <n v="3.3"/>
    <x v="1"/>
    <x v="1"/>
    <x v="2"/>
    <x v="1"/>
    <m/>
    <m/>
    <m/>
    <m/>
    <m/>
    <m/>
    <m/>
    <m/>
  </r>
  <r>
    <s v="Call_7881"/>
    <x v="4"/>
    <x v="85"/>
    <x v="2"/>
    <x v="178"/>
    <n v="164"/>
    <n v="4.9000000000000004"/>
    <x v="1"/>
    <x v="1"/>
    <x v="1"/>
    <x v="0"/>
    <m/>
    <m/>
    <m/>
    <m/>
    <m/>
    <m/>
    <m/>
    <m/>
  </r>
  <r>
    <s v="Call_7882"/>
    <x v="14"/>
    <x v="37"/>
    <x v="1"/>
    <x v="179"/>
    <n v="76"/>
    <n v="4.5"/>
    <x v="1"/>
    <x v="2"/>
    <x v="1"/>
    <x v="0"/>
    <m/>
    <m/>
    <m/>
    <m/>
    <m/>
    <m/>
    <m/>
    <m/>
  </r>
  <r>
    <s v="Call_7883"/>
    <x v="2"/>
    <x v="21"/>
    <x v="1"/>
    <x v="180"/>
    <n v="87"/>
    <n v="4.8"/>
    <x v="1"/>
    <x v="3"/>
    <x v="0"/>
    <x v="0"/>
    <m/>
    <m/>
    <m/>
    <m/>
    <m/>
    <m/>
    <m/>
    <m/>
  </r>
  <r>
    <s v="Call_7884"/>
    <x v="7"/>
    <x v="64"/>
    <x v="4"/>
    <x v="180"/>
    <n v="84"/>
    <n v="4.8"/>
    <x v="1"/>
    <x v="3"/>
    <x v="2"/>
    <x v="0"/>
    <m/>
    <m/>
    <m/>
    <m/>
    <m/>
    <m/>
    <m/>
    <m/>
  </r>
  <r>
    <s v="Call_7885"/>
    <x v="10"/>
    <x v="59"/>
    <x v="3"/>
    <x v="180"/>
    <n v="114"/>
    <n v="3.9"/>
    <x v="1"/>
    <x v="3"/>
    <x v="0"/>
    <x v="2"/>
    <m/>
    <m/>
    <m/>
    <m/>
    <m/>
    <m/>
    <m/>
    <m/>
  </r>
  <r>
    <s v="Call_7886"/>
    <x v="9"/>
    <x v="53"/>
    <x v="1"/>
    <x v="181"/>
    <n v="56"/>
    <n v="3.9"/>
    <x v="1"/>
    <x v="4"/>
    <x v="0"/>
    <x v="2"/>
    <m/>
    <m/>
    <m/>
    <m/>
    <m/>
    <m/>
    <m/>
    <m/>
  </r>
  <r>
    <s v="Call_7887"/>
    <x v="14"/>
    <x v="147"/>
    <x v="2"/>
    <x v="181"/>
    <n v="27"/>
    <n v="3.7"/>
    <x v="1"/>
    <x v="4"/>
    <x v="2"/>
    <x v="2"/>
    <m/>
    <m/>
    <m/>
    <m/>
    <m/>
    <m/>
    <m/>
    <m/>
  </r>
  <r>
    <s v="Call_7888"/>
    <x v="1"/>
    <x v="7"/>
    <x v="0"/>
    <x v="182"/>
    <n v="84"/>
    <n v="4.8"/>
    <x v="1"/>
    <x v="5"/>
    <x v="2"/>
    <x v="0"/>
    <m/>
    <m/>
    <m/>
    <m/>
    <m/>
    <m/>
    <m/>
    <m/>
  </r>
  <r>
    <s v="Call_7889"/>
    <x v="7"/>
    <x v="57"/>
    <x v="2"/>
    <x v="182"/>
    <n v="72"/>
    <n v="3.5"/>
    <x v="1"/>
    <x v="5"/>
    <x v="1"/>
    <x v="2"/>
    <m/>
    <m/>
    <m/>
    <m/>
    <m/>
    <m/>
    <m/>
    <m/>
  </r>
  <r>
    <s v="Call_7890"/>
    <x v="2"/>
    <x v="75"/>
    <x v="3"/>
    <x v="183"/>
    <n v="126"/>
    <n v="4.2"/>
    <x v="1"/>
    <x v="6"/>
    <x v="0"/>
    <x v="2"/>
    <m/>
    <m/>
    <m/>
    <m/>
    <m/>
    <m/>
    <m/>
    <m/>
  </r>
  <r>
    <s v="Call_7891"/>
    <x v="1"/>
    <x v="24"/>
    <x v="2"/>
    <x v="184"/>
    <n v="88"/>
    <n v="4.9000000000000004"/>
    <x v="1"/>
    <x v="0"/>
    <x v="0"/>
    <x v="0"/>
    <m/>
    <m/>
    <m/>
    <m/>
    <m/>
    <m/>
    <m/>
    <m/>
  </r>
  <r>
    <s v="Call_7892"/>
    <x v="0"/>
    <x v="39"/>
    <x v="2"/>
    <x v="184"/>
    <n v="124"/>
    <n v="4.5999999999999996"/>
    <x v="1"/>
    <x v="0"/>
    <x v="2"/>
    <x v="0"/>
    <m/>
    <m/>
    <m/>
    <m/>
    <m/>
    <m/>
    <m/>
    <m/>
  </r>
  <r>
    <s v="Call_7893"/>
    <x v="13"/>
    <x v="65"/>
    <x v="2"/>
    <x v="185"/>
    <n v="84"/>
    <n v="2.6"/>
    <x v="1"/>
    <x v="1"/>
    <x v="1"/>
    <x v="1"/>
    <m/>
    <m/>
    <m/>
    <m/>
    <m/>
    <m/>
    <m/>
    <m/>
  </r>
  <r>
    <s v="Call_7894"/>
    <x v="9"/>
    <x v="114"/>
    <x v="3"/>
    <x v="185"/>
    <n v="80"/>
    <n v="2.7"/>
    <x v="1"/>
    <x v="1"/>
    <x v="1"/>
    <x v="1"/>
    <m/>
    <m/>
    <m/>
    <m/>
    <m/>
    <m/>
    <m/>
    <m/>
  </r>
  <r>
    <s v="Call_7895"/>
    <x v="12"/>
    <x v="28"/>
    <x v="3"/>
    <x v="186"/>
    <n v="176"/>
    <n v="4.7"/>
    <x v="1"/>
    <x v="2"/>
    <x v="0"/>
    <x v="0"/>
    <m/>
    <m/>
    <m/>
    <m/>
    <m/>
    <m/>
    <m/>
    <m/>
  </r>
  <r>
    <s v="Call_7896"/>
    <x v="0"/>
    <x v="77"/>
    <x v="4"/>
    <x v="187"/>
    <n v="84"/>
    <n v="3.9"/>
    <x v="1"/>
    <x v="3"/>
    <x v="0"/>
    <x v="2"/>
    <m/>
    <m/>
    <m/>
    <m/>
    <m/>
    <m/>
    <m/>
    <m/>
  </r>
  <r>
    <s v="Call_7897"/>
    <x v="1"/>
    <x v="111"/>
    <x v="4"/>
    <x v="187"/>
    <n v="164"/>
    <n v="2.8"/>
    <x v="1"/>
    <x v="3"/>
    <x v="1"/>
    <x v="1"/>
    <m/>
    <m/>
    <m/>
    <m/>
    <m/>
    <m/>
    <m/>
    <m/>
  </r>
  <r>
    <s v="Call_7898"/>
    <x v="14"/>
    <x v="66"/>
    <x v="0"/>
    <x v="187"/>
    <n v="132"/>
    <n v="3.1"/>
    <x v="1"/>
    <x v="3"/>
    <x v="0"/>
    <x v="1"/>
    <m/>
    <m/>
    <m/>
    <m/>
    <m/>
    <m/>
    <m/>
    <m/>
  </r>
  <r>
    <s v="Call_7899"/>
    <x v="9"/>
    <x v="152"/>
    <x v="2"/>
    <x v="188"/>
    <n v="27"/>
    <n v="4.2"/>
    <x v="1"/>
    <x v="4"/>
    <x v="1"/>
    <x v="2"/>
    <m/>
    <m/>
    <m/>
    <m/>
    <m/>
    <m/>
    <m/>
    <m/>
  </r>
  <r>
    <s v="Call_7900"/>
    <x v="1"/>
    <x v="108"/>
    <x v="3"/>
    <x v="188"/>
    <n v="27"/>
    <n v="4.3"/>
    <x v="1"/>
    <x v="4"/>
    <x v="2"/>
    <x v="2"/>
    <m/>
    <m/>
    <m/>
    <m/>
    <m/>
    <m/>
    <m/>
    <m/>
  </r>
  <r>
    <s v="Call_7901"/>
    <x v="1"/>
    <x v="110"/>
    <x v="1"/>
    <x v="188"/>
    <n v="20"/>
    <n v="2.7"/>
    <x v="1"/>
    <x v="4"/>
    <x v="1"/>
    <x v="1"/>
    <m/>
    <m/>
    <m/>
    <m/>
    <m/>
    <m/>
    <m/>
    <m/>
  </r>
  <r>
    <s v="Call_7902"/>
    <x v="9"/>
    <x v="103"/>
    <x v="3"/>
    <x v="189"/>
    <n v="112"/>
    <n v="2.2999999999999998"/>
    <x v="1"/>
    <x v="5"/>
    <x v="2"/>
    <x v="3"/>
    <m/>
    <m/>
    <m/>
    <m/>
    <m/>
    <m/>
    <m/>
    <m/>
  </r>
  <r>
    <s v="Call_7903"/>
    <x v="3"/>
    <x v="73"/>
    <x v="2"/>
    <x v="189"/>
    <n v="60"/>
    <n v="2.2999999999999998"/>
    <x v="1"/>
    <x v="5"/>
    <x v="2"/>
    <x v="3"/>
    <m/>
    <m/>
    <m/>
    <m/>
    <m/>
    <m/>
    <m/>
    <m/>
  </r>
  <r>
    <s v="Call_7904"/>
    <x v="3"/>
    <x v="111"/>
    <x v="2"/>
    <x v="190"/>
    <n v="102"/>
    <n v="2.9"/>
    <x v="1"/>
    <x v="6"/>
    <x v="1"/>
    <x v="1"/>
    <m/>
    <m/>
    <m/>
    <m/>
    <m/>
    <m/>
    <m/>
    <m/>
  </r>
  <r>
    <s v="Call_7905"/>
    <x v="4"/>
    <x v="19"/>
    <x v="2"/>
    <x v="190"/>
    <n v="38"/>
    <n v="4.2"/>
    <x v="1"/>
    <x v="6"/>
    <x v="0"/>
    <x v="2"/>
    <m/>
    <m/>
    <m/>
    <m/>
    <m/>
    <m/>
    <m/>
    <m/>
  </r>
  <r>
    <s v="Call_7906"/>
    <x v="9"/>
    <x v="153"/>
    <x v="0"/>
    <x v="190"/>
    <n v="82"/>
    <n v="4.5999999999999996"/>
    <x v="1"/>
    <x v="6"/>
    <x v="1"/>
    <x v="0"/>
    <m/>
    <m/>
    <m/>
    <m/>
    <m/>
    <m/>
    <m/>
    <m/>
  </r>
  <r>
    <s v="Call_7907"/>
    <x v="3"/>
    <x v="69"/>
    <x v="1"/>
    <x v="191"/>
    <n v="125"/>
    <n v="4.5"/>
    <x v="1"/>
    <x v="2"/>
    <x v="0"/>
    <x v="0"/>
    <m/>
    <m/>
    <m/>
    <m/>
    <m/>
    <m/>
    <m/>
    <m/>
  </r>
  <r>
    <s v="Call_7908"/>
    <x v="11"/>
    <x v="154"/>
    <x v="4"/>
    <x v="192"/>
    <n v="72"/>
    <n v="3.7"/>
    <x v="1"/>
    <x v="3"/>
    <x v="4"/>
    <x v="2"/>
    <m/>
    <m/>
    <m/>
    <m/>
    <m/>
    <m/>
    <m/>
    <m/>
  </r>
  <r>
    <s v="Call_7909"/>
    <x v="1"/>
    <x v="87"/>
    <x v="4"/>
    <x v="192"/>
    <n v="195"/>
    <n v="4.0999999999999996"/>
    <x v="1"/>
    <x v="3"/>
    <x v="1"/>
    <x v="2"/>
    <m/>
    <m/>
    <m/>
    <m/>
    <m/>
    <m/>
    <m/>
    <m/>
  </r>
  <r>
    <s v="Call_7910"/>
    <x v="9"/>
    <x v="7"/>
    <x v="4"/>
    <x v="193"/>
    <n v="160"/>
    <n v="3.4"/>
    <x v="1"/>
    <x v="4"/>
    <x v="2"/>
    <x v="1"/>
    <m/>
    <m/>
    <m/>
    <m/>
    <m/>
    <m/>
    <m/>
    <m/>
  </r>
  <r>
    <s v="Call_7911"/>
    <x v="12"/>
    <x v="29"/>
    <x v="0"/>
    <x v="193"/>
    <n v="78"/>
    <n v="3.3"/>
    <x v="1"/>
    <x v="4"/>
    <x v="0"/>
    <x v="1"/>
    <m/>
    <m/>
    <m/>
    <m/>
    <m/>
    <m/>
    <m/>
    <m/>
  </r>
  <r>
    <s v="Call_7912"/>
    <x v="0"/>
    <x v="83"/>
    <x v="0"/>
    <x v="194"/>
    <n v="70"/>
    <n v="4.4000000000000004"/>
    <x v="1"/>
    <x v="5"/>
    <x v="0"/>
    <x v="2"/>
    <m/>
    <m/>
    <m/>
    <m/>
    <m/>
    <m/>
    <m/>
    <m/>
  </r>
  <r>
    <s v="Call_7913"/>
    <x v="2"/>
    <x v="32"/>
    <x v="3"/>
    <x v="194"/>
    <n v="105"/>
    <n v="4.2"/>
    <x v="1"/>
    <x v="5"/>
    <x v="0"/>
    <x v="2"/>
    <m/>
    <m/>
    <m/>
    <m/>
    <m/>
    <m/>
    <m/>
    <m/>
  </r>
  <r>
    <s v="Call_7914"/>
    <x v="0"/>
    <x v="99"/>
    <x v="3"/>
    <x v="195"/>
    <n v="78"/>
    <n v="3.4"/>
    <x v="1"/>
    <x v="6"/>
    <x v="0"/>
    <x v="1"/>
    <m/>
    <m/>
    <m/>
    <m/>
    <m/>
    <m/>
    <m/>
    <m/>
  </r>
  <r>
    <s v="Call_7915"/>
    <x v="13"/>
    <x v="67"/>
    <x v="3"/>
    <x v="196"/>
    <n v="205"/>
    <n v="4.4000000000000004"/>
    <x v="1"/>
    <x v="1"/>
    <x v="0"/>
    <x v="2"/>
    <m/>
    <m/>
    <m/>
    <m/>
    <m/>
    <m/>
    <m/>
    <m/>
  </r>
  <r>
    <s v="Call_7916"/>
    <x v="8"/>
    <x v="150"/>
    <x v="3"/>
    <x v="196"/>
    <n v="78"/>
    <n v="2.7"/>
    <x v="1"/>
    <x v="1"/>
    <x v="1"/>
    <x v="1"/>
    <m/>
    <m/>
    <m/>
    <m/>
    <m/>
    <m/>
    <m/>
    <m/>
  </r>
  <r>
    <s v="Call_7917"/>
    <x v="1"/>
    <x v="20"/>
    <x v="4"/>
    <x v="196"/>
    <n v="38"/>
    <n v="4.5"/>
    <x v="1"/>
    <x v="1"/>
    <x v="2"/>
    <x v="0"/>
    <m/>
    <m/>
    <m/>
    <m/>
    <m/>
    <m/>
    <m/>
    <m/>
  </r>
  <r>
    <s v="Call_7918"/>
    <x v="13"/>
    <x v="147"/>
    <x v="2"/>
    <x v="196"/>
    <n v="92"/>
    <n v="1.7"/>
    <x v="1"/>
    <x v="1"/>
    <x v="2"/>
    <x v="3"/>
    <m/>
    <m/>
    <m/>
    <m/>
    <m/>
    <m/>
    <m/>
    <m/>
  </r>
  <r>
    <s v="Call_7919"/>
    <x v="14"/>
    <x v="155"/>
    <x v="0"/>
    <x v="196"/>
    <n v="36"/>
    <n v="4.7"/>
    <x v="1"/>
    <x v="1"/>
    <x v="1"/>
    <x v="0"/>
    <m/>
    <m/>
    <m/>
    <m/>
    <m/>
    <m/>
    <m/>
    <m/>
  </r>
  <r>
    <s v="Call_7920"/>
    <x v="12"/>
    <x v="136"/>
    <x v="1"/>
    <x v="196"/>
    <n v="76"/>
    <n v="4.4000000000000004"/>
    <x v="1"/>
    <x v="1"/>
    <x v="1"/>
    <x v="2"/>
    <m/>
    <m/>
    <m/>
    <m/>
    <m/>
    <m/>
    <m/>
    <m/>
  </r>
  <r>
    <s v="Call_7921"/>
    <x v="5"/>
    <x v="51"/>
    <x v="0"/>
    <x v="197"/>
    <n v="170"/>
    <n v="3.5"/>
    <x v="1"/>
    <x v="3"/>
    <x v="0"/>
    <x v="2"/>
    <m/>
    <m/>
    <m/>
    <m/>
    <m/>
    <m/>
    <m/>
    <m/>
  </r>
  <r>
    <s v="Call_7922"/>
    <x v="13"/>
    <x v="6"/>
    <x v="4"/>
    <x v="198"/>
    <n v="117"/>
    <n v="4.7"/>
    <x v="1"/>
    <x v="4"/>
    <x v="0"/>
    <x v="0"/>
    <m/>
    <m/>
    <m/>
    <m/>
    <m/>
    <m/>
    <m/>
    <m/>
  </r>
  <r>
    <s v="Call_7923"/>
    <x v="10"/>
    <x v="53"/>
    <x v="1"/>
    <x v="198"/>
    <n v="20"/>
    <n v="4.3"/>
    <x v="1"/>
    <x v="4"/>
    <x v="0"/>
    <x v="2"/>
    <m/>
    <m/>
    <m/>
    <m/>
    <m/>
    <m/>
    <m/>
    <m/>
  </r>
  <r>
    <s v="Call_7924"/>
    <x v="12"/>
    <x v="75"/>
    <x v="4"/>
    <x v="198"/>
    <n v="99"/>
    <n v="4.0999999999999996"/>
    <x v="1"/>
    <x v="4"/>
    <x v="0"/>
    <x v="2"/>
    <m/>
    <m/>
    <m/>
    <m/>
    <m/>
    <m/>
    <m/>
    <m/>
  </r>
  <r>
    <s v="Call_7925"/>
    <x v="6"/>
    <x v="156"/>
    <x v="1"/>
    <x v="199"/>
    <n v="105"/>
    <n v="2.9"/>
    <x v="1"/>
    <x v="5"/>
    <x v="0"/>
    <x v="1"/>
    <m/>
    <m/>
    <m/>
    <m/>
    <m/>
    <m/>
    <m/>
    <m/>
  </r>
  <r>
    <s v="Call_7926"/>
    <x v="7"/>
    <x v="111"/>
    <x v="3"/>
    <x v="199"/>
    <n v="195"/>
    <n v="3.4"/>
    <x v="1"/>
    <x v="5"/>
    <x v="1"/>
    <x v="1"/>
    <m/>
    <m/>
    <m/>
    <m/>
    <m/>
    <m/>
    <m/>
    <m/>
  </r>
  <r>
    <s v="Call_7927"/>
    <x v="2"/>
    <x v="108"/>
    <x v="1"/>
    <x v="200"/>
    <n v="152"/>
    <n v="4.5999999999999996"/>
    <x v="1"/>
    <x v="6"/>
    <x v="2"/>
    <x v="0"/>
    <m/>
    <m/>
    <m/>
    <m/>
    <m/>
    <m/>
    <m/>
    <m/>
  </r>
  <r>
    <s v="Call_7928"/>
    <x v="7"/>
    <x v="35"/>
    <x v="3"/>
    <x v="201"/>
    <n v="195"/>
    <n v="4.9000000000000004"/>
    <x v="1"/>
    <x v="0"/>
    <x v="1"/>
    <x v="0"/>
    <m/>
    <m/>
    <m/>
    <m/>
    <m/>
    <m/>
    <m/>
    <m/>
  </r>
  <r>
    <s v="Call_7929"/>
    <x v="5"/>
    <x v="113"/>
    <x v="2"/>
    <x v="201"/>
    <n v="70"/>
    <n v="3.6"/>
    <x v="1"/>
    <x v="0"/>
    <x v="0"/>
    <x v="2"/>
    <m/>
    <m/>
    <m/>
    <m/>
    <m/>
    <m/>
    <m/>
    <m/>
  </r>
  <r>
    <s v="Call_7930"/>
    <x v="12"/>
    <x v="157"/>
    <x v="2"/>
    <x v="201"/>
    <n v="22"/>
    <n v="3.5"/>
    <x v="1"/>
    <x v="0"/>
    <x v="3"/>
    <x v="2"/>
    <m/>
    <m/>
    <m/>
    <m/>
    <m/>
    <m/>
    <m/>
    <m/>
  </r>
  <r>
    <s v="Call_7931"/>
    <x v="4"/>
    <x v="86"/>
    <x v="4"/>
    <x v="202"/>
    <n v="40"/>
    <n v="3.3"/>
    <x v="1"/>
    <x v="1"/>
    <x v="0"/>
    <x v="1"/>
    <m/>
    <m/>
    <m/>
    <m/>
    <m/>
    <m/>
    <m/>
    <m/>
  </r>
  <r>
    <s v="Call_7932"/>
    <x v="4"/>
    <x v="55"/>
    <x v="1"/>
    <x v="203"/>
    <n v="54"/>
    <n v="3.8"/>
    <x v="1"/>
    <x v="2"/>
    <x v="1"/>
    <x v="2"/>
    <m/>
    <m/>
    <m/>
    <m/>
    <m/>
    <m/>
    <m/>
    <m/>
  </r>
  <r>
    <s v="Call_7933"/>
    <x v="1"/>
    <x v="49"/>
    <x v="1"/>
    <x v="203"/>
    <n v="60"/>
    <n v="2.5"/>
    <x v="1"/>
    <x v="2"/>
    <x v="1"/>
    <x v="1"/>
    <m/>
    <m/>
    <m/>
    <m/>
    <m/>
    <m/>
    <m/>
    <m/>
  </r>
  <r>
    <s v="Call_7934"/>
    <x v="11"/>
    <x v="134"/>
    <x v="0"/>
    <x v="204"/>
    <n v="58"/>
    <n v="4.5999999999999996"/>
    <x v="1"/>
    <x v="4"/>
    <x v="0"/>
    <x v="0"/>
    <m/>
    <m/>
    <m/>
    <m/>
    <m/>
    <m/>
    <m/>
    <m/>
  </r>
  <r>
    <s v="Call_7935"/>
    <x v="6"/>
    <x v="29"/>
    <x v="4"/>
    <x v="204"/>
    <n v="220"/>
    <n v="4.7"/>
    <x v="1"/>
    <x v="4"/>
    <x v="0"/>
    <x v="0"/>
    <m/>
    <m/>
    <m/>
    <m/>
    <m/>
    <m/>
    <m/>
    <m/>
  </r>
  <r>
    <s v="Call_7936"/>
    <x v="0"/>
    <x v="47"/>
    <x v="4"/>
    <x v="204"/>
    <n v="27"/>
    <n v="3.6"/>
    <x v="1"/>
    <x v="4"/>
    <x v="0"/>
    <x v="2"/>
    <m/>
    <m/>
    <m/>
    <m/>
    <m/>
    <m/>
    <m/>
    <m/>
  </r>
  <r>
    <s v="Call_7937"/>
    <x v="7"/>
    <x v="33"/>
    <x v="4"/>
    <x v="205"/>
    <n v="26"/>
    <n v="4.3"/>
    <x v="1"/>
    <x v="6"/>
    <x v="0"/>
    <x v="2"/>
    <m/>
    <m/>
    <m/>
    <m/>
    <m/>
    <m/>
    <m/>
    <m/>
  </r>
  <r>
    <s v="Call_7938"/>
    <x v="10"/>
    <x v="104"/>
    <x v="3"/>
    <x v="206"/>
    <n v="160"/>
    <n v="4.7"/>
    <x v="1"/>
    <x v="0"/>
    <x v="1"/>
    <x v="0"/>
    <m/>
    <m/>
    <m/>
    <m/>
    <m/>
    <m/>
    <m/>
    <m/>
  </r>
  <r>
    <s v="Call_7939"/>
    <x v="12"/>
    <x v="6"/>
    <x v="1"/>
    <x v="206"/>
    <n v="200"/>
    <n v="4.9000000000000004"/>
    <x v="1"/>
    <x v="0"/>
    <x v="0"/>
    <x v="0"/>
    <m/>
    <m/>
    <m/>
    <m/>
    <m/>
    <m/>
    <m/>
    <m/>
  </r>
  <r>
    <s v="Call_7940"/>
    <x v="12"/>
    <x v="23"/>
    <x v="0"/>
    <x v="207"/>
    <n v="135"/>
    <n v="4.9000000000000004"/>
    <x v="1"/>
    <x v="3"/>
    <x v="1"/>
    <x v="0"/>
    <m/>
    <m/>
    <m/>
    <m/>
    <m/>
    <m/>
    <m/>
    <m/>
  </r>
  <r>
    <s v="Call_7941"/>
    <x v="0"/>
    <x v="3"/>
    <x v="1"/>
    <x v="208"/>
    <n v="22"/>
    <n v="1.9"/>
    <x v="1"/>
    <x v="4"/>
    <x v="1"/>
    <x v="3"/>
    <m/>
    <m/>
    <m/>
    <m/>
    <m/>
    <m/>
    <m/>
    <m/>
  </r>
  <r>
    <s v="Call_7942"/>
    <x v="6"/>
    <x v="34"/>
    <x v="3"/>
    <x v="209"/>
    <n v="164"/>
    <n v="4.5"/>
    <x v="1"/>
    <x v="5"/>
    <x v="0"/>
    <x v="0"/>
    <m/>
    <m/>
    <m/>
    <m/>
    <m/>
    <m/>
    <m/>
    <m/>
  </r>
  <r>
    <s v="Call_7943"/>
    <x v="4"/>
    <x v="22"/>
    <x v="0"/>
    <x v="209"/>
    <n v="21"/>
    <n v="4.9000000000000004"/>
    <x v="1"/>
    <x v="5"/>
    <x v="0"/>
    <x v="0"/>
    <m/>
    <m/>
    <m/>
    <m/>
    <m/>
    <m/>
    <m/>
    <m/>
  </r>
  <r>
    <s v="Call_7944"/>
    <x v="6"/>
    <x v="131"/>
    <x v="3"/>
    <x v="210"/>
    <n v="120"/>
    <n v="4.5"/>
    <x v="1"/>
    <x v="6"/>
    <x v="0"/>
    <x v="0"/>
    <m/>
    <m/>
    <m/>
    <m/>
    <m/>
    <m/>
    <m/>
    <m/>
  </r>
  <r>
    <s v="Call_7945"/>
    <x v="5"/>
    <x v="84"/>
    <x v="2"/>
    <x v="210"/>
    <n v="93"/>
    <n v="2.7"/>
    <x v="1"/>
    <x v="6"/>
    <x v="0"/>
    <x v="1"/>
    <m/>
    <m/>
    <m/>
    <m/>
    <m/>
    <m/>
    <m/>
    <m/>
  </r>
  <r>
    <s v="Call_7946"/>
    <x v="4"/>
    <x v="3"/>
    <x v="2"/>
    <x v="210"/>
    <n v="135"/>
    <n v="2.1"/>
    <x v="1"/>
    <x v="6"/>
    <x v="1"/>
    <x v="3"/>
    <m/>
    <m/>
    <m/>
    <m/>
    <m/>
    <m/>
    <m/>
    <m/>
  </r>
  <r>
    <s v="Call_7947"/>
    <x v="12"/>
    <x v="78"/>
    <x v="0"/>
    <x v="210"/>
    <n v="210"/>
    <n v="4.2"/>
    <x v="1"/>
    <x v="6"/>
    <x v="3"/>
    <x v="2"/>
    <m/>
    <m/>
    <m/>
    <m/>
    <m/>
    <m/>
    <m/>
    <m/>
  </r>
  <r>
    <s v="Call_7948"/>
    <x v="14"/>
    <x v="47"/>
    <x v="2"/>
    <x v="211"/>
    <n v="29"/>
    <n v="4.7"/>
    <x v="1"/>
    <x v="0"/>
    <x v="0"/>
    <x v="0"/>
    <m/>
    <m/>
    <m/>
    <m/>
    <m/>
    <m/>
    <m/>
    <m/>
  </r>
  <r>
    <s v="Call_7949"/>
    <x v="8"/>
    <x v="90"/>
    <x v="4"/>
    <x v="211"/>
    <n v="111"/>
    <n v="3.9"/>
    <x v="1"/>
    <x v="0"/>
    <x v="0"/>
    <x v="2"/>
    <m/>
    <m/>
    <m/>
    <m/>
    <m/>
    <m/>
    <m/>
    <m/>
  </r>
  <r>
    <s v="Call_7950"/>
    <x v="3"/>
    <x v="89"/>
    <x v="1"/>
    <x v="212"/>
    <n v="63"/>
    <n v="4.0999999999999996"/>
    <x v="1"/>
    <x v="1"/>
    <x v="1"/>
    <x v="2"/>
    <m/>
    <m/>
    <m/>
    <m/>
    <m/>
    <m/>
    <m/>
    <m/>
  </r>
  <r>
    <s v="Call_7951"/>
    <x v="13"/>
    <x v="0"/>
    <x v="3"/>
    <x v="212"/>
    <n v="44"/>
    <n v="3.8"/>
    <x v="1"/>
    <x v="1"/>
    <x v="0"/>
    <x v="2"/>
    <m/>
    <m/>
    <m/>
    <m/>
    <m/>
    <m/>
    <m/>
    <m/>
  </r>
  <r>
    <s v="Call_7952"/>
    <x v="3"/>
    <x v="75"/>
    <x v="3"/>
    <x v="213"/>
    <n v="120"/>
    <n v="1.8"/>
    <x v="1"/>
    <x v="3"/>
    <x v="0"/>
    <x v="3"/>
    <m/>
    <m/>
    <m/>
    <m/>
    <m/>
    <m/>
    <m/>
    <m/>
  </r>
  <r>
    <s v="Call_7953"/>
    <x v="4"/>
    <x v="138"/>
    <x v="3"/>
    <x v="213"/>
    <n v="120"/>
    <n v="4.0999999999999996"/>
    <x v="1"/>
    <x v="3"/>
    <x v="3"/>
    <x v="2"/>
    <m/>
    <m/>
    <m/>
    <m/>
    <m/>
    <m/>
    <m/>
    <m/>
  </r>
  <r>
    <s v="Call_7954"/>
    <x v="8"/>
    <x v="157"/>
    <x v="1"/>
    <x v="214"/>
    <n v="40"/>
    <n v="4.4000000000000004"/>
    <x v="1"/>
    <x v="4"/>
    <x v="3"/>
    <x v="2"/>
    <m/>
    <m/>
    <m/>
    <m/>
    <m/>
    <m/>
    <m/>
    <m/>
  </r>
  <r>
    <s v="Call_7955"/>
    <x v="5"/>
    <x v="148"/>
    <x v="2"/>
    <x v="214"/>
    <n v="160"/>
    <n v="4.0999999999999996"/>
    <x v="1"/>
    <x v="4"/>
    <x v="1"/>
    <x v="2"/>
    <m/>
    <m/>
    <m/>
    <m/>
    <m/>
    <m/>
    <m/>
    <m/>
  </r>
  <r>
    <s v="Call_7956"/>
    <x v="12"/>
    <x v="21"/>
    <x v="3"/>
    <x v="215"/>
    <n v="44"/>
    <n v="3.8"/>
    <x v="1"/>
    <x v="5"/>
    <x v="0"/>
    <x v="2"/>
    <m/>
    <m/>
    <m/>
    <m/>
    <m/>
    <m/>
    <m/>
    <m/>
  </r>
  <r>
    <s v="Call_7957"/>
    <x v="3"/>
    <x v="130"/>
    <x v="1"/>
    <x v="215"/>
    <n v="80"/>
    <n v="4.3"/>
    <x v="1"/>
    <x v="5"/>
    <x v="0"/>
    <x v="2"/>
    <m/>
    <m/>
    <m/>
    <m/>
    <m/>
    <m/>
    <m/>
    <m/>
  </r>
  <r>
    <s v="Call_7958"/>
    <x v="10"/>
    <x v="143"/>
    <x v="1"/>
    <x v="216"/>
    <n v="66"/>
    <n v="4.5"/>
    <x v="1"/>
    <x v="6"/>
    <x v="2"/>
    <x v="0"/>
    <m/>
    <m/>
    <m/>
    <m/>
    <m/>
    <m/>
    <m/>
    <m/>
  </r>
  <r>
    <s v="Call_7959"/>
    <x v="13"/>
    <x v="133"/>
    <x v="4"/>
    <x v="216"/>
    <n v="82"/>
    <n v="3.4"/>
    <x v="1"/>
    <x v="6"/>
    <x v="1"/>
    <x v="1"/>
    <m/>
    <m/>
    <m/>
    <m/>
    <m/>
    <m/>
    <m/>
    <m/>
  </r>
  <r>
    <s v="Call_7960"/>
    <x v="5"/>
    <x v="38"/>
    <x v="3"/>
    <x v="216"/>
    <n v="66"/>
    <n v="4.8"/>
    <x v="1"/>
    <x v="6"/>
    <x v="0"/>
    <x v="0"/>
    <m/>
    <m/>
    <m/>
    <m/>
    <m/>
    <m/>
    <m/>
    <m/>
  </r>
  <r>
    <s v="Call_7961"/>
    <x v="12"/>
    <x v="37"/>
    <x v="2"/>
    <x v="216"/>
    <n v="92"/>
    <n v="4.9000000000000004"/>
    <x v="1"/>
    <x v="6"/>
    <x v="1"/>
    <x v="0"/>
    <m/>
    <m/>
    <m/>
    <m/>
    <m/>
    <m/>
    <m/>
    <m/>
  </r>
  <r>
    <s v="Call_7962"/>
    <x v="11"/>
    <x v="24"/>
    <x v="4"/>
    <x v="217"/>
    <n v="104"/>
    <n v="4.7"/>
    <x v="1"/>
    <x v="0"/>
    <x v="0"/>
    <x v="0"/>
    <m/>
    <m/>
    <m/>
    <m/>
    <m/>
    <m/>
    <m/>
    <m/>
  </r>
  <r>
    <s v="Call_7963"/>
    <x v="4"/>
    <x v="4"/>
    <x v="3"/>
    <x v="217"/>
    <n v="105"/>
    <n v="3.3"/>
    <x v="1"/>
    <x v="0"/>
    <x v="2"/>
    <x v="1"/>
    <m/>
    <m/>
    <m/>
    <m/>
    <m/>
    <m/>
    <m/>
    <m/>
  </r>
  <r>
    <s v="Call_7964"/>
    <x v="13"/>
    <x v="21"/>
    <x v="3"/>
    <x v="217"/>
    <n v="100"/>
    <n v="2.8"/>
    <x v="1"/>
    <x v="0"/>
    <x v="0"/>
    <x v="1"/>
    <m/>
    <m/>
    <m/>
    <m/>
    <m/>
    <m/>
    <m/>
    <m/>
  </r>
  <r>
    <s v="Call_7965"/>
    <x v="5"/>
    <x v="146"/>
    <x v="4"/>
    <x v="217"/>
    <n v="90"/>
    <n v="4.0999999999999996"/>
    <x v="1"/>
    <x v="0"/>
    <x v="0"/>
    <x v="2"/>
    <m/>
    <m/>
    <m/>
    <m/>
    <m/>
    <m/>
    <m/>
    <m/>
  </r>
  <r>
    <s v="Call_7966"/>
    <x v="2"/>
    <x v="18"/>
    <x v="0"/>
    <x v="217"/>
    <n v="110"/>
    <n v="3.5"/>
    <x v="1"/>
    <x v="0"/>
    <x v="2"/>
    <x v="2"/>
    <m/>
    <m/>
    <m/>
    <m/>
    <m/>
    <m/>
    <m/>
    <m/>
  </r>
  <r>
    <s v="Call_7967"/>
    <x v="10"/>
    <x v="66"/>
    <x v="4"/>
    <x v="218"/>
    <n v="68"/>
    <n v="2.2999999999999998"/>
    <x v="1"/>
    <x v="2"/>
    <x v="0"/>
    <x v="3"/>
    <m/>
    <m/>
    <m/>
    <m/>
    <m/>
    <m/>
    <m/>
    <m/>
  </r>
  <r>
    <s v="Call_7968"/>
    <x v="4"/>
    <x v="95"/>
    <x v="1"/>
    <x v="219"/>
    <n v="210"/>
    <n v="4.0999999999999996"/>
    <x v="1"/>
    <x v="3"/>
    <x v="0"/>
    <x v="2"/>
    <m/>
    <m/>
    <m/>
    <m/>
    <m/>
    <m/>
    <m/>
    <m/>
  </r>
  <r>
    <s v="Call_7969"/>
    <x v="1"/>
    <x v="145"/>
    <x v="0"/>
    <x v="219"/>
    <n v="111"/>
    <n v="4.3"/>
    <x v="1"/>
    <x v="3"/>
    <x v="2"/>
    <x v="2"/>
    <m/>
    <m/>
    <m/>
    <m/>
    <m/>
    <m/>
    <m/>
    <m/>
  </r>
  <r>
    <s v="Call_7970"/>
    <x v="1"/>
    <x v="41"/>
    <x v="1"/>
    <x v="220"/>
    <n v="45"/>
    <n v="4.9000000000000004"/>
    <x v="1"/>
    <x v="4"/>
    <x v="0"/>
    <x v="0"/>
    <m/>
    <m/>
    <m/>
    <m/>
    <m/>
    <m/>
    <m/>
    <m/>
  </r>
  <r>
    <s v="Call_7971"/>
    <x v="7"/>
    <x v="55"/>
    <x v="0"/>
    <x v="221"/>
    <n v="132"/>
    <n v="4"/>
    <x v="1"/>
    <x v="5"/>
    <x v="1"/>
    <x v="2"/>
    <m/>
    <m/>
    <m/>
    <m/>
    <m/>
    <m/>
    <m/>
    <m/>
  </r>
  <r>
    <s v="Call_7972"/>
    <x v="0"/>
    <x v="70"/>
    <x v="4"/>
    <x v="221"/>
    <n v="20"/>
    <n v="4.7"/>
    <x v="1"/>
    <x v="5"/>
    <x v="1"/>
    <x v="0"/>
    <m/>
    <m/>
    <m/>
    <m/>
    <m/>
    <m/>
    <m/>
    <m/>
  </r>
  <r>
    <s v="Call_7973"/>
    <x v="6"/>
    <x v="74"/>
    <x v="3"/>
    <x v="221"/>
    <n v="36"/>
    <n v="3.4"/>
    <x v="1"/>
    <x v="5"/>
    <x v="0"/>
    <x v="1"/>
    <m/>
    <m/>
    <m/>
    <m/>
    <m/>
    <m/>
    <m/>
    <m/>
  </r>
  <r>
    <s v="Call_7974"/>
    <x v="13"/>
    <x v="5"/>
    <x v="1"/>
    <x v="222"/>
    <n v="72"/>
    <n v="4"/>
    <x v="1"/>
    <x v="0"/>
    <x v="0"/>
    <x v="2"/>
    <m/>
    <m/>
    <m/>
    <m/>
    <m/>
    <m/>
    <m/>
    <m/>
  </r>
  <r>
    <s v="Call_7975"/>
    <x v="9"/>
    <x v="75"/>
    <x v="1"/>
    <x v="222"/>
    <n v="63"/>
    <n v="4.5"/>
    <x v="1"/>
    <x v="0"/>
    <x v="0"/>
    <x v="0"/>
    <m/>
    <m/>
    <m/>
    <m/>
    <m/>
    <m/>
    <m/>
    <m/>
  </r>
  <r>
    <s v="Call_7976"/>
    <x v="9"/>
    <x v="6"/>
    <x v="0"/>
    <x v="223"/>
    <n v="44"/>
    <n v="4.5"/>
    <x v="1"/>
    <x v="1"/>
    <x v="0"/>
    <x v="0"/>
    <m/>
    <m/>
    <m/>
    <m/>
    <m/>
    <m/>
    <m/>
    <m/>
  </r>
  <r>
    <s v="Call_7977"/>
    <x v="0"/>
    <x v="84"/>
    <x v="2"/>
    <x v="223"/>
    <n v="132"/>
    <n v="4.9000000000000004"/>
    <x v="1"/>
    <x v="1"/>
    <x v="0"/>
    <x v="0"/>
    <m/>
    <m/>
    <m/>
    <m/>
    <m/>
    <m/>
    <m/>
    <m/>
  </r>
  <r>
    <s v="Call_7978"/>
    <x v="12"/>
    <x v="97"/>
    <x v="3"/>
    <x v="223"/>
    <n v="46"/>
    <n v="4.4000000000000004"/>
    <x v="1"/>
    <x v="1"/>
    <x v="0"/>
    <x v="2"/>
    <m/>
    <m/>
    <m/>
    <m/>
    <m/>
    <m/>
    <m/>
    <m/>
  </r>
  <r>
    <s v="Call_7979"/>
    <x v="12"/>
    <x v="74"/>
    <x v="3"/>
    <x v="223"/>
    <n v="96"/>
    <n v="2.9"/>
    <x v="1"/>
    <x v="1"/>
    <x v="0"/>
    <x v="1"/>
    <m/>
    <m/>
    <m/>
    <m/>
    <m/>
    <m/>
    <m/>
    <m/>
  </r>
  <r>
    <s v="Call_7980"/>
    <x v="8"/>
    <x v="37"/>
    <x v="0"/>
    <x v="224"/>
    <n v="75"/>
    <n v="4.4000000000000004"/>
    <x v="1"/>
    <x v="2"/>
    <x v="1"/>
    <x v="2"/>
    <m/>
    <m/>
    <m/>
    <m/>
    <m/>
    <m/>
    <m/>
    <m/>
  </r>
  <r>
    <s v="Call_7981"/>
    <x v="5"/>
    <x v="143"/>
    <x v="3"/>
    <x v="225"/>
    <n v="88"/>
    <n v="4.3"/>
    <x v="1"/>
    <x v="3"/>
    <x v="2"/>
    <x v="2"/>
    <m/>
    <m/>
    <m/>
    <m/>
    <m/>
    <m/>
    <m/>
    <m/>
  </r>
  <r>
    <s v="Call_7982"/>
    <x v="1"/>
    <x v="41"/>
    <x v="0"/>
    <x v="225"/>
    <n v="24"/>
    <n v="4.7"/>
    <x v="1"/>
    <x v="3"/>
    <x v="0"/>
    <x v="0"/>
    <m/>
    <m/>
    <m/>
    <m/>
    <m/>
    <m/>
    <m/>
    <m/>
  </r>
  <r>
    <s v="Call_7983"/>
    <x v="3"/>
    <x v="20"/>
    <x v="4"/>
    <x v="225"/>
    <n v="96"/>
    <n v="3.2"/>
    <x v="1"/>
    <x v="3"/>
    <x v="2"/>
    <x v="1"/>
    <m/>
    <m/>
    <m/>
    <m/>
    <m/>
    <m/>
    <m/>
    <m/>
  </r>
  <r>
    <s v="Call_7984"/>
    <x v="4"/>
    <x v="111"/>
    <x v="4"/>
    <x v="226"/>
    <n v="124"/>
    <n v="2.2999999999999998"/>
    <x v="1"/>
    <x v="4"/>
    <x v="1"/>
    <x v="3"/>
    <m/>
    <m/>
    <m/>
    <m/>
    <m/>
    <m/>
    <m/>
    <m/>
  </r>
  <r>
    <s v="Call_7985"/>
    <x v="3"/>
    <x v="93"/>
    <x v="2"/>
    <x v="227"/>
    <n v="130"/>
    <n v="3.6"/>
    <x v="1"/>
    <x v="5"/>
    <x v="2"/>
    <x v="2"/>
    <m/>
    <m/>
    <m/>
    <m/>
    <m/>
    <m/>
    <m/>
    <m/>
  </r>
  <r>
    <s v="Call_7986"/>
    <x v="12"/>
    <x v="156"/>
    <x v="1"/>
    <x v="227"/>
    <n v="45"/>
    <n v="4.5999999999999996"/>
    <x v="1"/>
    <x v="5"/>
    <x v="0"/>
    <x v="0"/>
    <m/>
    <m/>
    <m/>
    <m/>
    <m/>
    <m/>
    <m/>
    <m/>
  </r>
  <r>
    <s v="Call_7987"/>
    <x v="2"/>
    <x v="90"/>
    <x v="4"/>
    <x v="227"/>
    <n v="66"/>
    <n v="4"/>
    <x v="1"/>
    <x v="5"/>
    <x v="0"/>
    <x v="2"/>
    <m/>
    <m/>
    <m/>
    <m/>
    <m/>
    <m/>
    <m/>
    <m/>
  </r>
  <r>
    <s v="Call_7988"/>
    <x v="0"/>
    <x v="32"/>
    <x v="0"/>
    <x v="227"/>
    <n v="58"/>
    <n v="4.7"/>
    <x v="1"/>
    <x v="5"/>
    <x v="0"/>
    <x v="0"/>
    <m/>
    <m/>
    <m/>
    <m/>
    <m/>
    <m/>
    <m/>
    <m/>
  </r>
  <r>
    <s v="Call_7989"/>
    <x v="13"/>
    <x v="125"/>
    <x v="4"/>
    <x v="228"/>
    <n v="152"/>
    <n v="4.3"/>
    <x v="1"/>
    <x v="6"/>
    <x v="2"/>
    <x v="2"/>
    <m/>
    <m/>
    <m/>
    <m/>
    <m/>
    <m/>
    <m/>
    <m/>
  </r>
  <r>
    <s v="Call_7990"/>
    <x v="4"/>
    <x v="33"/>
    <x v="3"/>
    <x v="228"/>
    <n v="75"/>
    <n v="2.8"/>
    <x v="1"/>
    <x v="6"/>
    <x v="0"/>
    <x v="1"/>
    <m/>
    <m/>
    <m/>
    <m/>
    <m/>
    <m/>
    <m/>
    <m/>
  </r>
  <r>
    <s v="Call_7991"/>
    <x v="10"/>
    <x v="70"/>
    <x v="1"/>
    <x v="228"/>
    <n v="78"/>
    <n v="4"/>
    <x v="1"/>
    <x v="6"/>
    <x v="1"/>
    <x v="2"/>
    <m/>
    <m/>
    <m/>
    <m/>
    <m/>
    <m/>
    <m/>
    <m/>
  </r>
  <r>
    <s v="Call_7992"/>
    <x v="0"/>
    <x v="30"/>
    <x v="2"/>
    <x v="228"/>
    <n v="69"/>
    <n v="3.9"/>
    <x v="1"/>
    <x v="6"/>
    <x v="0"/>
    <x v="2"/>
    <m/>
    <m/>
    <m/>
    <m/>
    <m/>
    <m/>
    <m/>
    <m/>
  </r>
  <r>
    <s v="Call_7993"/>
    <x v="11"/>
    <x v="55"/>
    <x v="0"/>
    <x v="229"/>
    <n v="46"/>
    <n v="3.1"/>
    <x v="1"/>
    <x v="0"/>
    <x v="1"/>
    <x v="1"/>
    <m/>
    <m/>
    <m/>
    <m/>
    <m/>
    <m/>
    <m/>
    <m/>
  </r>
  <r>
    <s v="Call_7994"/>
    <x v="13"/>
    <x v="139"/>
    <x v="4"/>
    <x v="229"/>
    <n v="64"/>
    <n v="2.7"/>
    <x v="1"/>
    <x v="0"/>
    <x v="1"/>
    <x v="1"/>
    <m/>
    <m/>
    <m/>
    <m/>
    <m/>
    <m/>
    <m/>
    <m/>
  </r>
  <r>
    <s v="Call_7995"/>
    <x v="6"/>
    <x v="99"/>
    <x v="1"/>
    <x v="229"/>
    <n v="38"/>
    <n v="4.7"/>
    <x v="1"/>
    <x v="0"/>
    <x v="0"/>
    <x v="0"/>
    <m/>
    <m/>
    <m/>
    <m/>
    <m/>
    <m/>
    <m/>
    <m/>
  </r>
  <r>
    <s v="Call_7996"/>
    <x v="0"/>
    <x v="20"/>
    <x v="1"/>
    <x v="230"/>
    <n v="90"/>
    <n v="4.3"/>
    <x v="1"/>
    <x v="2"/>
    <x v="2"/>
    <x v="2"/>
    <m/>
    <m/>
    <m/>
    <m/>
    <m/>
    <m/>
    <m/>
    <m/>
  </r>
  <r>
    <s v="Call_7997"/>
    <x v="7"/>
    <x v="131"/>
    <x v="1"/>
    <x v="230"/>
    <n v="32"/>
    <n v="3.8"/>
    <x v="1"/>
    <x v="2"/>
    <x v="0"/>
    <x v="2"/>
    <m/>
    <m/>
    <m/>
    <m/>
    <m/>
    <m/>
    <m/>
    <m/>
  </r>
  <r>
    <s v="Call_7998"/>
    <x v="8"/>
    <x v="29"/>
    <x v="4"/>
    <x v="230"/>
    <n v="120"/>
    <n v="4.4000000000000004"/>
    <x v="1"/>
    <x v="2"/>
    <x v="0"/>
    <x v="2"/>
    <m/>
    <m/>
    <m/>
    <m/>
    <m/>
    <m/>
    <m/>
    <m/>
  </r>
  <r>
    <s v="Call_7999"/>
    <x v="6"/>
    <x v="126"/>
    <x v="1"/>
    <x v="230"/>
    <n v="31"/>
    <n v="3.9"/>
    <x v="1"/>
    <x v="2"/>
    <x v="4"/>
    <x v="2"/>
    <m/>
    <m/>
    <m/>
    <m/>
    <m/>
    <m/>
    <m/>
    <m/>
  </r>
  <r>
    <s v="Call_8000"/>
    <x v="2"/>
    <x v="77"/>
    <x v="4"/>
    <x v="231"/>
    <n v="108"/>
    <n v="4.9000000000000004"/>
    <x v="1"/>
    <x v="3"/>
    <x v="0"/>
    <x v="0"/>
    <m/>
    <m/>
    <m/>
    <m/>
    <m/>
    <m/>
    <m/>
    <m/>
  </r>
  <r>
    <s v="Call_8001"/>
    <x v="0"/>
    <x v="50"/>
    <x v="4"/>
    <x v="231"/>
    <n v="180"/>
    <n v="4.2"/>
    <x v="1"/>
    <x v="3"/>
    <x v="0"/>
    <x v="2"/>
    <m/>
    <m/>
    <m/>
    <m/>
    <m/>
    <m/>
    <m/>
    <m/>
  </r>
  <r>
    <s v="Call_8002"/>
    <x v="7"/>
    <x v="54"/>
    <x v="2"/>
    <x v="232"/>
    <n v="124"/>
    <n v="4"/>
    <x v="1"/>
    <x v="4"/>
    <x v="2"/>
    <x v="2"/>
    <m/>
    <m/>
    <m/>
    <m/>
    <m/>
    <m/>
    <m/>
    <m/>
  </r>
  <r>
    <s v="Call_8003"/>
    <x v="5"/>
    <x v="67"/>
    <x v="2"/>
    <x v="232"/>
    <n v="23"/>
    <n v="4.2"/>
    <x v="1"/>
    <x v="4"/>
    <x v="0"/>
    <x v="2"/>
    <m/>
    <m/>
    <m/>
    <m/>
    <m/>
    <m/>
    <m/>
    <m/>
  </r>
  <r>
    <s v="Call_8004"/>
    <x v="12"/>
    <x v="44"/>
    <x v="0"/>
    <x v="233"/>
    <n v="24"/>
    <n v="4.8"/>
    <x v="1"/>
    <x v="5"/>
    <x v="2"/>
    <x v="0"/>
    <m/>
    <m/>
    <m/>
    <m/>
    <m/>
    <m/>
    <m/>
    <m/>
  </r>
  <r>
    <s v="Call_8005"/>
    <x v="5"/>
    <x v="116"/>
    <x v="1"/>
    <x v="234"/>
    <n v="52"/>
    <n v="1.1000000000000001"/>
    <x v="1"/>
    <x v="6"/>
    <x v="1"/>
    <x v="5"/>
    <m/>
    <m/>
    <m/>
    <m/>
    <m/>
    <m/>
    <m/>
    <m/>
  </r>
  <r>
    <s v="Call_8006"/>
    <x v="2"/>
    <x v="62"/>
    <x v="0"/>
    <x v="235"/>
    <n v="168"/>
    <n v="4"/>
    <x v="1"/>
    <x v="0"/>
    <x v="2"/>
    <x v="2"/>
    <m/>
    <m/>
    <m/>
    <m/>
    <m/>
    <m/>
    <m/>
    <m/>
  </r>
  <r>
    <s v="Call_8007"/>
    <x v="13"/>
    <x v="42"/>
    <x v="4"/>
    <x v="236"/>
    <n v="125"/>
    <n v="4.8"/>
    <x v="1"/>
    <x v="2"/>
    <x v="0"/>
    <x v="0"/>
    <m/>
    <m/>
    <m/>
    <m/>
    <m/>
    <m/>
    <m/>
    <m/>
  </r>
  <r>
    <s v="Call_8008"/>
    <x v="0"/>
    <x v="51"/>
    <x v="0"/>
    <x v="237"/>
    <n v="50"/>
    <n v="4.2"/>
    <x v="1"/>
    <x v="3"/>
    <x v="0"/>
    <x v="2"/>
    <m/>
    <m/>
    <m/>
    <m/>
    <m/>
    <m/>
    <m/>
    <m/>
  </r>
  <r>
    <s v="Call_8009"/>
    <x v="9"/>
    <x v="30"/>
    <x v="1"/>
    <x v="238"/>
    <n v="220"/>
    <n v="4.5999999999999996"/>
    <x v="1"/>
    <x v="4"/>
    <x v="0"/>
    <x v="0"/>
    <m/>
    <m/>
    <m/>
    <m/>
    <m/>
    <m/>
    <m/>
    <m/>
  </r>
  <r>
    <s v="Call_8010"/>
    <x v="6"/>
    <x v="130"/>
    <x v="0"/>
    <x v="238"/>
    <n v="180"/>
    <n v="4"/>
    <x v="1"/>
    <x v="4"/>
    <x v="0"/>
    <x v="2"/>
    <m/>
    <m/>
    <m/>
    <m/>
    <m/>
    <m/>
    <m/>
    <m/>
  </r>
  <r>
    <s v="Call_8011"/>
    <x v="2"/>
    <x v="77"/>
    <x v="1"/>
    <x v="238"/>
    <n v="110"/>
    <n v="3.9"/>
    <x v="1"/>
    <x v="4"/>
    <x v="0"/>
    <x v="2"/>
    <m/>
    <m/>
    <m/>
    <m/>
    <m/>
    <m/>
    <m/>
    <m/>
  </r>
  <r>
    <s v="Call_8012"/>
    <x v="12"/>
    <x v="151"/>
    <x v="0"/>
    <x v="238"/>
    <n v="36"/>
    <n v="2.8"/>
    <x v="1"/>
    <x v="4"/>
    <x v="1"/>
    <x v="1"/>
    <m/>
    <m/>
    <m/>
    <m/>
    <m/>
    <m/>
    <m/>
    <m/>
  </r>
  <r>
    <s v="Call_8013"/>
    <x v="1"/>
    <x v="92"/>
    <x v="2"/>
    <x v="239"/>
    <n v="93"/>
    <n v="4.7"/>
    <x v="1"/>
    <x v="5"/>
    <x v="1"/>
    <x v="0"/>
    <m/>
    <m/>
    <m/>
    <m/>
    <m/>
    <m/>
    <m/>
    <m/>
  </r>
  <r>
    <s v="Call_8014"/>
    <x v="6"/>
    <x v="134"/>
    <x v="0"/>
    <x v="239"/>
    <n v="38"/>
    <n v="4.2"/>
    <x v="1"/>
    <x v="5"/>
    <x v="0"/>
    <x v="2"/>
    <m/>
    <m/>
    <m/>
    <m/>
    <m/>
    <m/>
    <m/>
    <m/>
  </r>
  <r>
    <s v="Call_8015"/>
    <x v="2"/>
    <x v="130"/>
    <x v="2"/>
    <x v="240"/>
    <n v="66"/>
    <n v="3.9"/>
    <x v="1"/>
    <x v="6"/>
    <x v="0"/>
    <x v="2"/>
    <m/>
    <m/>
    <m/>
    <m/>
    <m/>
    <m/>
    <m/>
    <m/>
  </r>
  <r>
    <s v="Call_8016"/>
    <x v="5"/>
    <x v="42"/>
    <x v="0"/>
    <x v="240"/>
    <n v="215"/>
    <n v="4.5999999999999996"/>
    <x v="1"/>
    <x v="6"/>
    <x v="0"/>
    <x v="0"/>
    <m/>
    <m/>
    <m/>
    <m/>
    <m/>
    <m/>
    <m/>
    <m/>
  </r>
  <r>
    <s v="Call_8017"/>
    <x v="5"/>
    <x v="64"/>
    <x v="2"/>
    <x v="240"/>
    <n v="92"/>
    <n v="4.3"/>
    <x v="1"/>
    <x v="6"/>
    <x v="2"/>
    <x v="2"/>
    <m/>
    <m/>
    <m/>
    <m/>
    <m/>
    <m/>
    <m/>
    <m/>
  </r>
  <r>
    <s v="Call_8018"/>
    <x v="4"/>
    <x v="74"/>
    <x v="0"/>
    <x v="240"/>
    <n v="80"/>
    <n v="3.6"/>
    <x v="1"/>
    <x v="6"/>
    <x v="0"/>
    <x v="2"/>
    <m/>
    <m/>
    <m/>
    <m/>
    <m/>
    <m/>
    <m/>
    <m/>
  </r>
  <r>
    <s v="Call_8019"/>
    <x v="4"/>
    <x v="22"/>
    <x v="0"/>
    <x v="241"/>
    <n v="123"/>
    <n v="4.9000000000000004"/>
    <x v="1"/>
    <x v="0"/>
    <x v="0"/>
    <x v="0"/>
    <m/>
    <m/>
    <m/>
    <m/>
    <m/>
    <m/>
    <m/>
    <m/>
  </r>
  <r>
    <s v="Call_8020"/>
    <x v="12"/>
    <x v="48"/>
    <x v="3"/>
    <x v="241"/>
    <n v="23"/>
    <n v="2.4"/>
    <x v="1"/>
    <x v="0"/>
    <x v="0"/>
    <x v="3"/>
    <m/>
    <m/>
    <m/>
    <m/>
    <m/>
    <m/>
    <m/>
    <m/>
  </r>
  <r>
    <s v="Call_8021"/>
    <x v="11"/>
    <x v="127"/>
    <x v="1"/>
    <x v="241"/>
    <n v="63"/>
    <n v="4.2"/>
    <x v="1"/>
    <x v="0"/>
    <x v="1"/>
    <x v="2"/>
    <m/>
    <m/>
    <m/>
    <m/>
    <m/>
    <m/>
    <m/>
    <m/>
  </r>
  <r>
    <s v="Call_8022"/>
    <x v="14"/>
    <x v="66"/>
    <x v="4"/>
    <x v="241"/>
    <n v="52"/>
    <n v="3.9"/>
    <x v="1"/>
    <x v="0"/>
    <x v="0"/>
    <x v="2"/>
    <m/>
    <m/>
    <m/>
    <m/>
    <m/>
    <m/>
    <m/>
    <m/>
  </r>
  <r>
    <s v="Call_8023"/>
    <x v="5"/>
    <x v="99"/>
    <x v="4"/>
    <x v="241"/>
    <n v="60"/>
    <n v="4.2"/>
    <x v="1"/>
    <x v="0"/>
    <x v="0"/>
    <x v="2"/>
    <m/>
    <m/>
    <m/>
    <m/>
    <m/>
    <m/>
    <m/>
    <m/>
  </r>
  <r>
    <s v="Call_8024"/>
    <x v="4"/>
    <x v="19"/>
    <x v="2"/>
    <x v="242"/>
    <n v="87"/>
    <n v="3.9"/>
    <x v="1"/>
    <x v="1"/>
    <x v="0"/>
    <x v="2"/>
    <m/>
    <m/>
    <m/>
    <m/>
    <m/>
    <m/>
    <m/>
    <m/>
  </r>
  <r>
    <s v="Call_8025"/>
    <x v="8"/>
    <x v="74"/>
    <x v="0"/>
    <x v="243"/>
    <n v="42"/>
    <n v="4.5"/>
    <x v="1"/>
    <x v="2"/>
    <x v="0"/>
    <x v="0"/>
    <m/>
    <m/>
    <m/>
    <m/>
    <m/>
    <m/>
    <m/>
    <m/>
  </r>
  <r>
    <s v="Call_8026"/>
    <x v="10"/>
    <x v="112"/>
    <x v="1"/>
    <x v="244"/>
    <n v="37"/>
    <n v="3.8"/>
    <x v="1"/>
    <x v="3"/>
    <x v="1"/>
    <x v="2"/>
    <m/>
    <m/>
    <m/>
    <m/>
    <m/>
    <m/>
    <m/>
    <m/>
  </r>
  <r>
    <s v="Call_8027"/>
    <x v="10"/>
    <x v="51"/>
    <x v="3"/>
    <x v="244"/>
    <n v="135"/>
    <n v="3.9"/>
    <x v="1"/>
    <x v="3"/>
    <x v="0"/>
    <x v="2"/>
    <m/>
    <m/>
    <m/>
    <m/>
    <m/>
    <m/>
    <m/>
    <m/>
  </r>
  <r>
    <s v="Call_8028"/>
    <x v="8"/>
    <x v="72"/>
    <x v="3"/>
    <x v="244"/>
    <n v="88"/>
    <n v="4.7"/>
    <x v="1"/>
    <x v="3"/>
    <x v="1"/>
    <x v="0"/>
    <m/>
    <m/>
    <m/>
    <m/>
    <m/>
    <m/>
    <m/>
    <m/>
  </r>
  <r>
    <s v="Call_8029"/>
    <x v="13"/>
    <x v="130"/>
    <x v="1"/>
    <x v="244"/>
    <n v="190"/>
    <n v="3.2"/>
    <x v="1"/>
    <x v="3"/>
    <x v="0"/>
    <x v="1"/>
    <m/>
    <m/>
    <m/>
    <m/>
    <m/>
    <m/>
    <m/>
    <m/>
  </r>
  <r>
    <s v="Call_8030"/>
    <x v="13"/>
    <x v="139"/>
    <x v="3"/>
    <x v="244"/>
    <n v="81"/>
    <n v="5"/>
    <x v="1"/>
    <x v="3"/>
    <x v="1"/>
    <x v="0"/>
    <m/>
    <m/>
    <m/>
    <m/>
    <m/>
    <m/>
    <m/>
    <m/>
  </r>
  <r>
    <s v="Call_8031"/>
    <x v="10"/>
    <x v="116"/>
    <x v="1"/>
    <x v="244"/>
    <n v="44"/>
    <n v="3.7"/>
    <x v="1"/>
    <x v="3"/>
    <x v="1"/>
    <x v="2"/>
    <m/>
    <m/>
    <m/>
    <m/>
    <m/>
    <m/>
    <m/>
    <m/>
  </r>
  <r>
    <s v="Call_8032"/>
    <x v="2"/>
    <x v="10"/>
    <x v="3"/>
    <x v="245"/>
    <n v="92"/>
    <n v="3.9"/>
    <x v="1"/>
    <x v="4"/>
    <x v="1"/>
    <x v="2"/>
    <m/>
    <m/>
    <m/>
    <m/>
    <m/>
    <m/>
    <m/>
    <m/>
  </r>
  <r>
    <s v="Call_8033"/>
    <x v="10"/>
    <x v="50"/>
    <x v="0"/>
    <x v="246"/>
    <n v="90"/>
    <n v="3.1"/>
    <x v="1"/>
    <x v="5"/>
    <x v="0"/>
    <x v="1"/>
    <m/>
    <m/>
    <m/>
    <m/>
    <m/>
    <m/>
    <m/>
    <m/>
  </r>
  <r>
    <s v="Call_8034"/>
    <x v="11"/>
    <x v="90"/>
    <x v="3"/>
    <x v="246"/>
    <n v="112"/>
    <n v="2"/>
    <x v="1"/>
    <x v="5"/>
    <x v="0"/>
    <x v="3"/>
    <m/>
    <m/>
    <m/>
    <m/>
    <m/>
    <m/>
    <m/>
    <m/>
  </r>
  <r>
    <s v="Call_8035"/>
    <x v="9"/>
    <x v="76"/>
    <x v="1"/>
    <x v="246"/>
    <n v="112"/>
    <n v="4.5999999999999996"/>
    <x v="1"/>
    <x v="5"/>
    <x v="1"/>
    <x v="0"/>
    <m/>
    <m/>
    <m/>
    <m/>
    <m/>
    <m/>
    <m/>
    <m/>
  </r>
  <r>
    <s v="Call_8036"/>
    <x v="14"/>
    <x v="55"/>
    <x v="2"/>
    <x v="246"/>
    <n v="48"/>
    <n v="3.7"/>
    <x v="1"/>
    <x v="5"/>
    <x v="1"/>
    <x v="2"/>
    <m/>
    <m/>
    <m/>
    <m/>
    <m/>
    <m/>
    <m/>
    <m/>
  </r>
  <r>
    <s v="Call_8037"/>
    <x v="11"/>
    <x v="118"/>
    <x v="1"/>
    <x v="246"/>
    <n v="116"/>
    <n v="4.4000000000000004"/>
    <x v="1"/>
    <x v="5"/>
    <x v="1"/>
    <x v="2"/>
    <m/>
    <m/>
    <m/>
    <m/>
    <m/>
    <m/>
    <m/>
    <m/>
  </r>
  <r>
    <s v="Call_8038"/>
    <x v="1"/>
    <x v="95"/>
    <x v="1"/>
    <x v="246"/>
    <n v="29"/>
    <n v="2.1"/>
    <x v="1"/>
    <x v="5"/>
    <x v="0"/>
    <x v="3"/>
    <m/>
    <m/>
    <m/>
    <m/>
    <m/>
    <m/>
    <m/>
    <m/>
  </r>
  <r>
    <s v="Call_8039"/>
    <x v="9"/>
    <x v="107"/>
    <x v="3"/>
    <x v="247"/>
    <n v="170"/>
    <n v="2.2000000000000002"/>
    <x v="1"/>
    <x v="6"/>
    <x v="0"/>
    <x v="3"/>
    <m/>
    <m/>
    <m/>
    <m/>
    <m/>
    <m/>
    <m/>
    <m/>
  </r>
  <r>
    <s v="Call_8040"/>
    <x v="1"/>
    <x v="134"/>
    <x v="4"/>
    <x v="247"/>
    <n v="68"/>
    <n v="3.4"/>
    <x v="1"/>
    <x v="6"/>
    <x v="0"/>
    <x v="1"/>
    <m/>
    <m/>
    <m/>
    <m/>
    <m/>
    <m/>
    <m/>
    <m/>
  </r>
  <r>
    <s v="Call_8041"/>
    <x v="4"/>
    <x v="74"/>
    <x v="0"/>
    <x v="247"/>
    <n v="195"/>
    <n v="2.7"/>
    <x v="1"/>
    <x v="6"/>
    <x v="0"/>
    <x v="1"/>
    <m/>
    <m/>
    <m/>
    <m/>
    <m/>
    <m/>
    <m/>
    <m/>
  </r>
  <r>
    <s v="Call_8042"/>
    <x v="3"/>
    <x v="19"/>
    <x v="0"/>
    <x v="247"/>
    <n v="96"/>
    <n v="3.7"/>
    <x v="1"/>
    <x v="6"/>
    <x v="0"/>
    <x v="2"/>
    <m/>
    <m/>
    <m/>
    <m/>
    <m/>
    <m/>
    <m/>
    <m/>
  </r>
  <r>
    <s v="Call_8043"/>
    <x v="11"/>
    <x v="1"/>
    <x v="0"/>
    <x v="247"/>
    <n v="96"/>
    <n v="3.1"/>
    <x v="1"/>
    <x v="6"/>
    <x v="0"/>
    <x v="1"/>
    <m/>
    <m/>
    <m/>
    <m/>
    <m/>
    <m/>
    <m/>
    <m/>
  </r>
  <r>
    <s v="Call_8044"/>
    <x v="14"/>
    <x v="84"/>
    <x v="2"/>
    <x v="247"/>
    <n v="117"/>
    <n v="4.0999999999999996"/>
    <x v="1"/>
    <x v="6"/>
    <x v="0"/>
    <x v="2"/>
    <m/>
    <m/>
    <m/>
    <m/>
    <m/>
    <m/>
    <m/>
    <m/>
  </r>
  <r>
    <s v="Call_8045"/>
    <x v="4"/>
    <x v="26"/>
    <x v="3"/>
    <x v="247"/>
    <n v="80"/>
    <n v="4.8"/>
    <x v="1"/>
    <x v="6"/>
    <x v="3"/>
    <x v="0"/>
    <m/>
    <m/>
    <m/>
    <m/>
    <m/>
    <m/>
    <m/>
    <m/>
  </r>
  <r>
    <s v="Call_8046"/>
    <x v="8"/>
    <x v="104"/>
    <x v="4"/>
    <x v="247"/>
    <n v="117"/>
    <n v="4"/>
    <x v="1"/>
    <x v="6"/>
    <x v="1"/>
    <x v="2"/>
    <m/>
    <m/>
    <m/>
    <m/>
    <m/>
    <m/>
    <m/>
    <m/>
  </r>
  <r>
    <s v="Call_8047"/>
    <x v="10"/>
    <x v="97"/>
    <x v="0"/>
    <x v="248"/>
    <n v="40"/>
    <n v="3"/>
    <x v="1"/>
    <x v="0"/>
    <x v="0"/>
    <x v="1"/>
    <m/>
    <m/>
    <m/>
    <m/>
    <m/>
    <m/>
    <m/>
    <m/>
  </r>
  <r>
    <s v="Call_8048"/>
    <x v="13"/>
    <x v="158"/>
    <x v="4"/>
    <x v="248"/>
    <n v="117"/>
    <n v="4.8"/>
    <x v="1"/>
    <x v="0"/>
    <x v="3"/>
    <x v="0"/>
    <m/>
    <m/>
    <m/>
    <m/>
    <m/>
    <m/>
    <m/>
    <m/>
  </r>
  <r>
    <s v="Call_8049"/>
    <x v="7"/>
    <x v="67"/>
    <x v="3"/>
    <x v="248"/>
    <n v="135"/>
    <n v="4.0999999999999996"/>
    <x v="1"/>
    <x v="0"/>
    <x v="0"/>
    <x v="2"/>
    <m/>
    <m/>
    <m/>
    <m/>
    <m/>
    <m/>
    <m/>
    <m/>
  </r>
  <r>
    <s v="Call_8050"/>
    <x v="11"/>
    <x v="25"/>
    <x v="1"/>
    <x v="248"/>
    <n v="99"/>
    <n v="4.2"/>
    <x v="1"/>
    <x v="0"/>
    <x v="0"/>
    <x v="2"/>
    <m/>
    <m/>
    <m/>
    <m/>
    <m/>
    <m/>
    <m/>
    <m/>
  </r>
  <r>
    <s v="Call_8051"/>
    <x v="6"/>
    <x v="40"/>
    <x v="2"/>
    <x v="248"/>
    <n v="130"/>
    <n v="3.3"/>
    <x v="1"/>
    <x v="0"/>
    <x v="1"/>
    <x v="1"/>
    <m/>
    <m/>
    <m/>
    <m/>
    <m/>
    <m/>
    <m/>
    <m/>
  </r>
  <r>
    <s v="Call_8052"/>
    <x v="5"/>
    <x v="108"/>
    <x v="4"/>
    <x v="248"/>
    <n v="96"/>
    <n v="4.7"/>
    <x v="1"/>
    <x v="0"/>
    <x v="2"/>
    <x v="0"/>
    <m/>
    <m/>
    <m/>
    <m/>
    <m/>
    <m/>
    <m/>
    <m/>
  </r>
  <r>
    <s v="Call_8053"/>
    <x v="4"/>
    <x v="24"/>
    <x v="2"/>
    <x v="248"/>
    <n v="128"/>
    <n v="3.7"/>
    <x v="1"/>
    <x v="0"/>
    <x v="0"/>
    <x v="2"/>
    <m/>
    <m/>
    <m/>
    <m/>
    <m/>
    <m/>
    <m/>
    <m/>
  </r>
  <r>
    <s v="Call_8054"/>
    <x v="14"/>
    <x v="37"/>
    <x v="0"/>
    <x v="248"/>
    <n v="69"/>
    <n v="4.7"/>
    <x v="1"/>
    <x v="0"/>
    <x v="1"/>
    <x v="0"/>
    <m/>
    <m/>
    <m/>
    <m/>
    <m/>
    <m/>
    <m/>
    <m/>
  </r>
  <r>
    <s v="Call_8055"/>
    <x v="14"/>
    <x v="66"/>
    <x v="0"/>
    <x v="248"/>
    <n v="44"/>
    <n v="4.5999999999999996"/>
    <x v="1"/>
    <x v="0"/>
    <x v="0"/>
    <x v="0"/>
    <m/>
    <m/>
    <m/>
    <m/>
    <m/>
    <m/>
    <m/>
    <m/>
  </r>
  <r>
    <s v="Call_8056"/>
    <x v="5"/>
    <x v="112"/>
    <x v="0"/>
    <x v="248"/>
    <n v="44"/>
    <n v="4.8"/>
    <x v="1"/>
    <x v="0"/>
    <x v="1"/>
    <x v="0"/>
    <m/>
    <m/>
    <m/>
    <m/>
    <m/>
    <m/>
    <m/>
    <m/>
  </r>
  <r>
    <s v="Call_8057"/>
    <x v="9"/>
    <x v="59"/>
    <x v="4"/>
    <x v="249"/>
    <n v="135"/>
    <n v="2"/>
    <x v="1"/>
    <x v="1"/>
    <x v="0"/>
    <x v="3"/>
    <m/>
    <m/>
    <m/>
    <m/>
    <m/>
    <m/>
    <m/>
    <m/>
  </r>
  <r>
    <s v="Call_8058"/>
    <x v="3"/>
    <x v="107"/>
    <x v="2"/>
    <x v="249"/>
    <n v="45"/>
    <n v="3.9"/>
    <x v="1"/>
    <x v="1"/>
    <x v="0"/>
    <x v="2"/>
    <m/>
    <m/>
    <m/>
    <m/>
    <m/>
    <m/>
    <m/>
    <m/>
  </r>
  <r>
    <s v="Call_8059"/>
    <x v="13"/>
    <x v="62"/>
    <x v="2"/>
    <x v="249"/>
    <n v="87"/>
    <n v="3"/>
    <x v="1"/>
    <x v="1"/>
    <x v="2"/>
    <x v="1"/>
    <m/>
    <m/>
    <m/>
    <m/>
    <m/>
    <m/>
    <m/>
    <m/>
  </r>
  <r>
    <s v="Call_8060"/>
    <x v="8"/>
    <x v="67"/>
    <x v="3"/>
    <x v="250"/>
    <n v="84"/>
    <n v="4.5999999999999996"/>
    <x v="1"/>
    <x v="2"/>
    <x v="0"/>
    <x v="0"/>
    <m/>
    <m/>
    <m/>
    <m/>
    <m/>
    <m/>
    <m/>
    <m/>
  </r>
  <r>
    <s v="Call_8061"/>
    <x v="9"/>
    <x v="34"/>
    <x v="0"/>
    <x v="250"/>
    <n v="81"/>
    <n v="3.8"/>
    <x v="1"/>
    <x v="2"/>
    <x v="0"/>
    <x v="2"/>
    <m/>
    <m/>
    <m/>
    <m/>
    <m/>
    <m/>
    <m/>
    <m/>
  </r>
  <r>
    <s v="Call_8062"/>
    <x v="5"/>
    <x v="25"/>
    <x v="1"/>
    <x v="250"/>
    <n v="130"/>
    <n v="4.4000000000000004"/>
    <x v="1"/>
    <x v="2"/>
    <x v="0"/>
    <x v="2"/>
    <m/>
    <m/>
    <m/>
    <m/>
    <m/>
    <m/>
    <m/>
    <m/>
  </r>
  <r>
    <s v="Call_8063"/>
    <x v="4"/>
    <x v="96"/>
    <x v="0"/>
    <x v="251"/>
    <n v="92"/>
    <n v="2.4"/>
    <x v="1"/>
    <x v="3"/>
    <x v="0"/>
    <x v="3"/>
    <m/>
    <m/>
    <m/>
    <m/>
    <m/>
    <m/>
    <m/>
    <m/>
  </r>
  <r>
    <s v="Call_8064"/>
    <x v="12"/>
    <x v="82"/>
    <x v="3"/>
    <x v="251"/>
    <n v="48"/>
    <n v="4.5"/>
    <x v="1"/>
    <x v="3"/>
    <x v="2"/>
    <x v="0"/>
    <m/>
    <m/>
    <m/>
    <m/>
    <m/>
    <m/>
    <m/>
    <m/>
  </r>
  <r>
    <s v="Call_8065"/>
    <x v="3"/>
    <x v="6"/>
    <x v="4"/>
    <x v="251"/>
    <n v="160"/>
    <n v="4.5"/>
    <x v="1"/>
    <x v="3"/>
    <x v="0"/>
    <x v="0"/>
    <m/>
    <m/>
    <m/>
    <m/>
    <m/>
    <m/>
    <m/>
    <m/>
  </r>
  <r>
    <s v="Call_8066"/>
    <x v="7"/>
    <x v="87"/>
    <x v="3"/>
    <x v="252"/>
    <n v="155"/>
    <n v="2.7"/>
    <x v="1"/>
    <x v="4"/>
    <x v="1"/>
    <x v="1"/>
    <m/>
    <m/>
    <m/>
    <m/>
    <m/>
    <m/>
    <m/>
    <m/>
  </r>
  <r>
    <s v="Call_8067"/>
    <x v="6"/>
    <x v="117"/>
    <x v="1"/>
    <x v="252"/>
    <n v="100"/>
    <n v="4.9000000000000004"/>
    <x v="1"/>
    <x v="4"/>
    <x v="0"/>
    <x v="0"/>
    <m/>
    <m/>
    <m/>
    <m/>
    <m/>
    <m/>
    <m/>
    <m/>
  </r>
  <r>
    <s v="Call_8068"/>
    <x v="9"/>
    <x v="46"/>
    <x v="2"/>
    <x v="252"/>
    <n v="56"/>
    <n v="3.7"/>
    <x v="1"/>
    <x v="4"/>
    <x v="0"/>
    <x v="2"/>
    <m/>
    <m/>
    <m/>
    <m/>
    <m/>
    <m/>
    <m/>
    <m/>
  </r>
  <r>
    <s v="Call_8069"/>
    <x v="4"/>
    <x v="159"/>
    <x v="0"/>
    <x v="252"/>
    <n v="170"/>
    <n v="3.9"/>
    <x v="1"/>
    <x v="4"/>
    <x v="4"/>
    <x v="2"/>
    <m/>
    <m/>
    <m/>
    <m/>
    <m/>
    <m/>
    <m/>
    <m/>
  </r>
  <r>
    <s v="Call_8070"/>
    <x v="13"/>
    <x v="67"/>
    <x v="4"/>
    <x v="253"/>
    <n v="74"/>
    <n v="3.5"/>
    <x v="1"/>
    <x v="5"/>
    <x v="0"/>
    <x v="2"/>
    <m/>
    <m/>
    <m/>
    <m/>
    <m/>
    <m/>
    <m/>
    <m/>
  </r>
  <r>
    <s v="Call_8071"/>
    <x v="10"/>
    <x v="53"/>
    <x v="0"/>
    <x v="253"/>
    <n v="99"/>
    <n v="2.7"/>
    <x v="1"/>
    <x v="5"/>
    <x v="0"/>
    <x v="1"/>
    <m/>
    <m/>
    <m/>
    <m/>
    <m/>
    <m/>
    <m/>
    <m/>
  </r>
  <r>
    <s v="Call_8072"/>
    <x v="5"/>
    <x v="31"/>
    <x v="3"/>
    <x v="253"/>
    <n v="84"/>
    <n v="3.9"/>
    <x v="1"/>
    <x v="5"/>
    <x v="0"/>
    <x v="2"/>
    <m/>
    <m/>
    <m/>
    <m/>
    <m/>
    <m/>
    <m/>
    <m/>
  </r>
  <r>
    <s v="Call_8073"/>
    <x v="10"/>
    <x v="104"/>
    <x v="0"/>
    <x v="253"/>
    <n v="35"/>
    <n v="3.4"/>
    <x v="1"/>
    <x v="5"/>
    <x v="1"/>
    <x v="1"/>
    <m/>
    <m/>
    <m/>
    <m/>
    <m/>
    <m/>
    <m/>
    <m/>
  </r>
  <r>
    <s v="Call_8074"/>
    <x v="1"/>
    <x v="83"/>
    <x v="2"/>
    <x v="253"/>
    <n v="150"/>
    <n v="5"/>
    <x v="1"/>
    <x v="5"/>
    <x v="0"/>
    <x v="0"/>
    <m/>
    <m/>
    <m/>
    <m/>
    <m/>
    <m/>
    <m/>
    <m/>
  </r>
  <r>
    <s v="Call_8075"/>
    <x v="2"/>
    <x v="17"/>
    <x v="4"/>
    <x v="254"/>
    <n v="176"/>
    <n v="4.4000000000000004"/>
    <x v="1"/>
    <x v="6"/>
    <x v="2"/>
    <x v="2"/>
    <m/>
    <m/>
    <m/>
    <m/>
    <m/>
    <m/>
    <m/>
    <m/>
  </r>
  <r>
    <s v="Call_8076"/>
    <x v="2"/>
    <x v="31"/>
    <x v="4"/>
    <x v="254"/>
    <n v="84"/>
    <n v="4.3"/>
    <x v="1"/>
    <x v="6"/>
    <x v="0"/>
    <x v="2"/>
    <m/>
    <m/>
    <m/>
    <m/>
    <m/>
    <m/>
    <m/>
    <m/>
  </r>
  <r>
    <s v="Call_8077"/>
    <x v="5"/>
    <x v="131"/>
    <x v="4"/>
    <x v="254"/>
    <n v="136"/>
    <n v="4.7"/>
    <x v="1"/>
    <x v="6"/>
    <x v="0"/>
    <x v="0"/>
    <m/>
    <m/>
    <m/>
    <m/>
    <m/>
    <m/>
    <m/>
    <m/>
  </r>
  <r>
    <s v="Call_8078"/>
    <x v="4"/>
    <x v="124"/>
    <x v="4"/>
    <x v="255"/>
    <n v="70"/>
    <n v="4.0999999999999996"/>
    <x v="1"/>
    <x v="0"/>
    <x v="1"/>
    <x v="2"/>
    <m/>
    <m/>
    <m/>
    <m/>
    <m/>
    <m/>
    <m/>
    <m/>
  </r>
  <r>
    <s v="Call_8079"/>
    <x v="8"/>
    <x v="157"/>
    <x v="2"/>
    <x v="255"/>
    <n v="96"/>
    <n v="4.8"/>
    <x v="1"/>
    <x v="0"/>
    <x v="3"/>
    <x v="0"/>
    <m/>
    <m/>
    <m/>
    <m/>
    <m/>
    <m/>
    <m/>
    <m/>
  </r>
  <r>
    <s v="Call_8080"/>
    <x v="2"/>
    <x v="69"/>
    <x v="2"/>
    <x v="255"/>
    <n v="23"/>
    <n v="4.2"/>
    <x v="1"/>
    <x v="0"/>
    <x v="0"/>
    <x v="2"/>
    <m/>
    <m/>
    <m/>
    <m/>
    <m/>
    <m/>
    <m/>
    <m/>
  </r>
  <r>
    <s v="Call_8081"/>
    <x v="7"/>
    <x v="30"/>
    <x v="4"/>
    <x v="256"/>
    <n v="120"/>
    <n v="3.4"/>
    <x v="1"/>
    <x v="1"/>
    <x v="0"/>
    <x v="1"/>
    <m/>
    <m/>
    <m/>
    <m/>
    <m/>
    <m/>
    <m/>
    <m/>
  </r>
  <r>
    <s v="Call_8082"/>
    <x v="12"/>
    <x v="108"/>
    <x v="4"/>
    <x v="256"/>
    <n v="205"/>
    <n v="3.3"/>
    <x v="1"/>
    <x v="1"/>
    <x v="2"/>
    <x v="1"/>
    <m/>
    <m/>
    <m/>
    <m/>
    <m/>
    <m/>
    <m/>
    <m/>
  </r>
  <r>
    <s v="Call_8083"/>
    <x v="9"/>
    <x v="103"/>
    <x v="1"/>
    <x v="257"/>
    <n v="42"/>
    <n v="3.8"/>
    <x v="1"/>
    <x v="2"/>
    <x v="2"/>
    <x v="2"/>
    <m/>
    <m/>
    <m/>
    <m/>
    <m/>
    <m/>
    <m/>
    <m/>
  </r>
  <r>
    <s v="Call_8084"/>
    <x v="4"/>
    <x v="1"/>
    <x v="3"/>
    <x v="257"/>
    <n v="111"/>
    <n v="3.9"/>
    <x v="1"/>
    <x v="2"/>
    <x v="0"/>
    <x v="2"/>
    <m/>
    <m/>
    <m/>
    <m/>
    <m/>
    <m/>
    <m/>
    <m/>
  </r>
  <r>
    <s v="Call_8085"/>
    <x v="3"/>
    <x v="130"/>
    <x v="4"/>
    <x v="257"/>
    <n v="68"/>
    <n v="2.5"/>
    <x v="1"/>
    <x v="2"/>
    <x v="0"/>
    <x v="1"/>
    <m/>
    <m/>
    <m/>
    <m/>
    <m/>
    <m/>
    <m/>
    <m/>
  </r>
  <r>
    <s v="Call_8086"/>
    <x v="13"/>
    <x v="47"/>
    <x v="0"/>
    <x v="257"/>
    <n v="172"/>
    <n v="4.9000000000000004"/>
    <x v="1"/>
    <x v="2"/>
    <x v="0"/>
    <x v="0"/>
    <m/>
    <m/>
    <m/>
    <m/>
    <m/>
    <m/>
    <m/>
    <m/>
  </r>
  <r>
    <s v="Call_8087"/>
    <x v="11"/>
    <x v="44"/>
    <x v="4"/>
    <x v="257"/>
    <n v="152"/>
    <n v="4.8"/>
    <x v="1"/>
    <x v="2"/>
    <x v="2"/>
    <x v="0"/>
    <m/>
    <m/>
    <m/>
    <m/>
    <m/>
    <m/>
    <m/>
    <m/>
  </r>
  <r>
    <s v="Call_8088"/>
    <x v="11"/>
    <x v="31"/>
    <x v="1"/>
    <x v="257"/>
    <n v="48"/>
    <n v="4.7"/>
    <x v="1"/>
    <x v="2"/>
    <x v="0"/>
    <x v="0"/>
    <m/>
    <m/>
    <m/>
    <m/>
    <m/>
    <m/>
    <m/>
    <m/>
  </r>
  <r>
    <s v="Call_8089"/>
    <x v="6"/>
    <x v="71"/>
    <x v="1"/>
    <x v="257"/>
    <n v="25"/>
    <n v="4.7"/>
    <x v="1"/>
    <x v="2"/>
    <x v="2"/>
    <x v="0"/>
    <m/>
    <m/>
    <m/>
    <m/>
    <m/>
    <m/>
    <m/>
    <m/>
  </r>
  <r>
    <s v="Call_8090"/>
    <x v="3"/>
    <x v="5"/>
    <x v="3"/>
    <x v="258"/>
    <n v="54"/>
    <n v="3.3"/>
    <x v="1"/>
    <x v="3"/>
    <x v="0"/>
    <x v="1"/>
    <m/>
    <m/>
    <m/>
    <m/>
    <m/>
    <m/>
    <m/>
    <m/>
  </r>
  <r>
    <s v="Call_8091"/>
    <x v="3"/>
    <x v="124"/>
    <x v="2"/>
    <x v="258"/>
    <n v="108"/>
    <n v="4.7"/>
    <x v="1"/>
    <x v="3"/>
    <x v="1"/>
    <x v="0"/>
    <m/>
    <m/>
    <m/>
    <m/>
    <m/>
    <m/>
    <m/>
    <m/>
  </r>
  <r>
    <s v="Call_8092"/>
    <x v="14"/>
    <x v="53"/>
    <x v="4"/>
    <x v="258"/>
    <n v="36"/>
    <n v="4.5"/>
    <x v="1"/>
    <x v="3"/>
    <x v="0"/>
    <x v="0"/>
    <m/>
    <m/>
    <m/>
    <m/>
    <m/>
    <m/>
    <m/>
    <m/>
  </r>
  <r>
    <s v="Call_8093"/>
    <x v="0"/>
    <x v="134"/>
    <x v="1"/>
    <x v="259"/>
    <n v="140"/>
    <n v="4.5999999999999996"/>
    <x v="1"/>
    <x v="4"/>
    <x v="0"/>
    <x v="0"/>
    <m/>
    <m/>
    <m/>
    <m/>
    <m/>
    <m/>
    <m/>
    <m/>
  </r>
  <r>
    <s v="Call_8094"/>
    <x v="2"/>
    <x v="116"/>
    <x v="3"/>
    <x v="259"/>
    <n v="50"/>
    <n v="4.8"/>
    <x v="1"/>
    <x v="4"/>
    <x v="1"/>
    <x v="0"/>
    <m/>
    <m/>
    <m/>
    <m/>
    <m/>
    <m/>
    <m/>
    <m/>
  </r>
  <r>
    <s v="Call_8095"/>
    <x v="14"/>
    <x v="134"/>
    <x v="0"/>
    <x v="259"/>
    <n v="195"/>
    <n v="4.3"/>
    <x v="1"/>
    <x v="4"/>
    <x v="0"/>
    <x v="2"/>
    <m/>
    <m/>
    <m/>
    <m/>
    <m/>
    <m/>
    <m/>
    <m/>
  </r>
  <r>
    <s v="Call_8096"/>
    <x v="2"/>
    <x v="12"/>
    <x v="1"/>
    <x v="260"/>
    <n v="48"/>
    <n v="4.7"/>
    <x v="1"/>
    <x v="5"/>
    <x v="1"/>
    <x v="0"/>
    <m/>
    <m/>
    <m/>
    <m/>
    <m/>
    <m/>
    <m/>
    <m/>
  </r>
  <r>
    <s v="Call_8097"/>
    <x v="6"/>
    <x v="55"/>
    <x v="4"/>
    <x v="261"/>
    <n v="29"/>
    <n v="4.8"/>
    <x v="1"/>
    <x v="6"/>
    <x v="1"/>
    <x v="0"/>
    <m/>
    <m/>
    <m/>
    <m/>
    <m/>
    <m/>
    <m/>
    <m/>
  </r>
  <r>
    <s v="Call_8098"/>
    <x v="0"/>
    <x v="130"/>
    <x v="0"/>
    <x v="261"/>
    <n v="44"/>
    <n v="4.7"/>
    <x v="1"/>
    <x v="6"/>
    <x v="0"/>
    <x v="0"/>
    <m/>
    <m/>
    <m/>
    <m/>
    <m/>
    <m/>
    <m/>
    <m/>
  </r>
  <r>
    <s v="Call_8099"/>
    <x v="1"/>
    <x v="35"/>
    <x v="2"/>
    <x v="261"/>
    <n v="140"/>
    <n v="4.3"/>
    <x v="1"/>
    <x v="6"/>
    <x v="1"/>
    <x v="2"/>
    <m/>
    <m/>
    <m/>
    <m/>
    <m/>
    <m/>
    <m/>
    <m/>
  </r>
  <r>
    <s v="Call_8100"/>
    <x v="13"/>
    <x v="19"/>
    <x v="2"/>
    <x v="261"/>
    <n v="105"/>
    <n v="3.8"/>
    <x v="1"/>
    <x v="6"/>
    <x v="0"/>
    <x v="2"/>
    <m/>
    <m/>
    <m/>
    <m/>
    <m/>
    <m/>
    <m/>
    <m/>
  </r>
  <r>
    <s v="Call_8101"/>
    <x v="5"/>
    <x v="118"/>
    <x v="2"/>
    <x v="261"/>
    <n v="82"/>
    <n v="4.5999999999999996"/>
    <x v="1"/>
    <x v="6"/>
    <x v="1"/>
    <x v="0"/>
    <m/>
    <m/>
    <m/>
    <m/>
    <m/>
    <m/>
    <m/>
    <m/>
  </r>
  <r>
    <s v="Call_8102"/>
    <x v="0"/>
    <x v="123"/>
    <x v="0"/>
    <x v="261"/>
    <n v="24"/>
    <n v="2.9"/>
    <x v="1"/>
    <x v="6"/>
    <x v="3"/>
    <x v="1"/>
    <m/>
    <m/>
    <m/>
    <m/>
    <m/>
    <m/>
    <m/>
    <m/>
  </r>
  <r>
    <s v="Call_8103"/>
    <x v="4"/>
    <x v="37"/>
    <x v="4"/>
    <x v="262"/>
    <n v="205"/>
    <n v="4.8"/>
    <x v="1"/>
    <x v="0"/>
    <x v="1"/>
    <x v="0"/>
    <m/>
    <m/>
    <m/>
    <m/>
    <m/>
    <m/>
    <m/>
    <m/>
  </r>
  <r>
    <s v="Call_8104"/>
    <x v="1"/>
    <x v="108"/>
    <x v="1"/>
    <x v="262"/>
    <n v="225"/>
    <n v="4.9000000000000004"/>
    <x v="1"/>
    <x v="0"/>
    <x v="2"/>
    <x v="0"/>
    <m/>
    <m/>
    <m/>
    <m/>
    <m/>
    <m/>
    <m/>
    <m/>
  </r>
  <r>
    <s v="Call_8105"/>
    <x v="4"/>
    <x v="95"/>
    <x v="4"/>
    <x v="262"/>
    <n v="50"/>
    <n v="3.4"/>
    <x v="1"/>
    <x v="0"/>
    <x v="0"/>
    <x v="1"/>
    <m/>
    <m/>
    <m/>
    <m/>
    <m/>
    <m/>
    <m/>
    <m/>
  </r>
  <r>
    <s v="Call_8106"/>
    <x v="4"/>
    <x v="71"/>
    <x v="2"/>
    <x v="262"/>
    <n v="80"/>
    <n v="4.3"/>
    <x v="1"/>
    <x v="0"/>
    <x v="2"/>
    <x v="2"/>
    <m/>
    <m/>
    <m/>
    <m/>
    <m/>
    <m/>
    <m/>
    <m/>
  </r>
  <r>
    <s v="Call_8107"/>
    <x v="5"/>
    <x v="120"/>
    <x v="1"/>
    <x v="262"/>
    <n v="78"/>
    <n v="3.9"/>
    <x v="1"/>
    <x v="0"/>
    <x v="0"/>
    <x v="2"/>
    <m/>
    <m/>
    <m/>
    <m/>
    <m/>
    <m/>
    <m/>
    <m/>
  </r>
  <r>
    <s v="Call_8108"/>
    <x v="3"/>
    <x v="122"/>
    <x v="4"/>
    <x v="263"/>
    <n v="40"/>
    <n v="3.9"/>
    <x v="1"/>
    <x v="1"/>
    <x v="1"/>
    <x v="2"/>
    <m/>
    <m/>
    <m/>
    <m/>
    <m/>
    <m/>
    <m/>
    <m/>
  </r>
  <r>
    <s v="Call_8109"/>
    <x v="5"/>
    <x v="120"/>
    <x v="1"/>
    <x v="263"/>
    <n v="176"/>
    <n v="1.5"/>
    <x v="1"/>
    <x v="1"/>
    <x v="0"/>
    <x v="3"/>
    <m/>
    <m/>
    <m/>
    <m/>
    <m/>
    <m/>
    <m/>
    <m/>
  </r>
  <r>
    <s v="Call_8110"/>
    <x v="11"/>
    <x v="6"/>
    <x v="4"/>
    <x v="263"/>
    <n v="78"/>
    <n v="3"/>
    <x v="1"/>
    <x v="1"/>
    <x v="0"/>
    <x v="1"/>
    <m/>
    <m/>
    <m/>
    <m/>
    <m/>
    <m/>
    <m/>
    <m/>
  </r>
  <r>
    <s v="Call_8111"/>
    <x v="14"/>
    <x v="81"/>
    <x v="1"/>
    <x v="263"/>
    <n v="42"/>
    <n v="4.2"/>
    <x v="1"/>
    <x v="1"/>
    <x v="2"/>
    <x v="2"/>
    <m/>
    <m/>
    <m/>
    <m/>
    <m/>
    <m/>
    <m/>
    <m/>
  </r>
  <r>
    <s v="Call_8112"/>
    <x v="3"/>
    <x v="78"/>
    <x v="4"/>
    <x v="263"/>
    <n v="38"/>
    <n v="3.7"/>
    <x v="1"/>
    <x v="1"/>
    <x v="3"/>
    <x v="2"/>
    <m/>
    <m/>
    <m/>
    <m/>
    <m/>
    <m/>
    <m/>
    <m/>
  </r>
  <r>
    <s v="Call_8113"/>
    <x v="2"/>
    <x v="69"/>
    <x v="3"/>
    <x v="263"/>
    <n v="27"/>
    <n v="4.2"/>
    <x v="1"/>
    <x v="1"/>
    <x v="0"/>
    <x v="2"/>
    <m/>
    <m/>
    <m/>
    <m/>
    <m/>
    <m/>
    <m/>
    <m/>
  </r>
  <r>
    <s v="Call_8114"/>
    <x v="5"/>
    <x v="65"/>
    <x v="0"/>
    <x v="264"/>
    <n v="45"/>
    <n v="4.4000000000000004"/>
    <x v="1"/>
    <x v="2"/>
    <x v="1"/>
    <x v="2"/>
    <m/>
    <m/>
    <m/>
    <m/>
    <m/>
    <m/>
    <m/>
    <m/>
  </r>
  <r>
    <s v="Call_8115"/>
    <x v="7"/>
    <x v="74"/>
    <x v="4"/>
    <x v="264"/>
    <n v="215"/>
    <n v="4"/>
    <x v="1"/>
    <x v="2"/>
    <x v="0"/>
    <x v="2"/>
    <m/>
    <m/>
    <m/>
    <m/>
    <m/>
    <m/>
    <m/>
    <m/>
  </r>
  <r>
    <s v="Call_8116"/>
    <x v="6"/>
    <x v="23"/>
    <x v="4"/>
    <x v="265"/>
    <n v="72"/>
    <n v="4.7"/>
    <x v="1"/>
    <x v="3"/>
    <x v="1"/>
    <x v="0"/>
    <m/>
    <m/>
    <m/>
    <m/>
    <m/>
    <m/>
    <m/>
    <m/>
  </r>
  <r>
    <s v="Call_8117"/>
    <x v="3"/>
    <x v="160"/>
    <x v="2"/>
    <x v="265"/>
    <n v="160"/>
    <n v="2.8"/>
    <x v="1"/>
    <x v="3"/>
    <x v="1"/>
    <x v="1"/>
    <m/>
    <m/>
    <m/>
    <m/>
    <m/>
    <m/>
    <m/>
    <m/>
  </r>
  <r>
    <s v="Call_8118"/>
    <x v="6"/>
    <x v="76"/>
    <x v="4"/>
    <x v="265"/>
    <n v="165"/>
    <n v="2.5"/>
    <x v="1"/>
    <x v="3"/>
    <x v="1"/>
    <x v="1"/>
    <m/>
    <m/>
    <m/>
    <m/>
    <m/>
    <m/>
    <m/>
    <m/>
  </r>
  <r>
    <s v="Call_8119"/>
    <x v="1"/>
    <x v="146"/>
    <x v="2"/>
    <x v="265"/>
    <n v="120"/>
    <n v="3.4"/>
    <x v="1"/>
    <x v="3"/>
    <x v="0"/>
    <x v="1"/>
    <m/>
    <m/>
    <m/>
    <m/>
    <m/>
    <m/>
    <m/>
    <m/>
  </r>
  <r>
    <s v="Call_8120"/>
    <x v="0"/>
    <x v="122"/>
    <x v="1"/>
    <x v="265"/>
    <n v="117"/>
    <n v="4.8"/>
    <x v="1"/>
    <x v="3"/>
    <x v="1"/>
    <x v="0"/>
    <m/>
    <m/>
    <m/>
    <m/>
    <m/>
    <m/>
    <m/>
    <m/>
  </r>
  <r>
    <s v="Call_8121"/>
    <x v="8"/>
    <x v="94"/>
    <x v="3"/>
    <x v="266"/>
    <n v="29"/>
    <n v="4.3"/>
    <x v="1"/>
    <x v="4"/>
    <x v="1"/>
    <x v="2"/>
    <m/>
    <m/>
    <m/>
    <m/>
    <m/>
    <m/>
    <m/>
    <m/>
  </r>
  <r>
    <s v="Call_8122"/>
    <x v="0"/>
    <x v="54"/>
    <x v="2"/>
    <x v="266"/>
    <n v="64"/>
    <n v="4.5"/>
    <x v="1"/>
    <x v="4"/>
    <x v="2"/>
    <x v="0"/>
    <m/>
    <m/>
    <m/>
    <m/>
    <m/>
    <m/>
    <m/>
    <m/>
  </r>
  <r>
    <s v="Call_8123"/>
    <x v="11"/>
    <x v="62"/>
    <x v="1"/>
    <x v="266"/>
    <n v="84"/>
    <n v="3.6"/>
    <x v="1"/>
    <x v="4"/>
    <x v="2"/>
    <x v="2"/>
    <m/>
    <m/>
    <m/>
    <m/>
    <m/>
    <m/>
    <m/>
    <m/>
  </r>
  <r>
    <s v="Call_8124"/>
    <x v="7"/>
    <x v="55"/>
    <x v="4"/>
    <x v="266"/>
    <n v="42"/>
    <n v="3.7"/>
    <x v="1"/>
    <x v="4"/>
    <x v="1"/>
    <x v="2"/>
    <m/>
    <m/>
    <m/>
    <m/>
    <m/>
    <m/>
    <m/>
    <m/>
  </r>
  <r>
    <s v="Call_8125"/>
    <x v="3"/>
    <x v="30"/>
    <x v="4"/>
    <x v="266"/>
    <n v="120"/>
    <n v="3.5"/>
    <x v="1"/>
    <x v="4"/>
    <x v="0"/>
    <x v="2"/>
    <m/>
    <m/>
    <m/>
    <m/>
    <m/>
    <m/>
    <m/>
    <m/>
  </r>
  <r>
    <s v="Call_8126"/>
    <x v="11"/>
    <x v="116"/>
    <x v="3"/>
    <x v="267"/>
    <n v="80"/>
    <n v="4.7"/>
    <x v="1"/>
    <x v="5"/>
    <x v="1"/>
    <x v="0"/>
    <m/>
    <m/>
    <m/>
    <m/>
    <m/>
    <m/>
    <m/>
    <m/>
  </r>
  <r>
    <s v="Call_8127"/>
    <x v="8"/>
    <x v="28"/>
    <x v="2"/>
    <x v="267"/>
    <n v="185"/>
    <n v="3.5"/>
    <x v="1"/>
    <x v="5"/>
    <x v="0"/>
    <x v="2"/>
    <m/>
    <m/>
    <m/>
    <m/>
    <m/>
    <m/>
    <m/>
    <m/>
  </r>
  <r>
    <s v="Call_8128"/>
    <x v="4"/>
    <x v="73"/>
    <x v="0"/>
    <x v="268"/>
    <n v="135"/>
    <n v="3.9"/>
    <x v="1"/>
    <x v="6"/>
    <x v="2"/>
    <x v="2"/>
    <m/>
    <m/>
    <m/>
    <m/>
    <m/>
    <m/>
    <m/>
    <m/>
  </r>
  <r>
    <s v="Call_8129"/>
    <x v="4"/>
    <x v="113"/>
    <x v="2"/>
    <x v="268"/>
    <n v="20"/>
    <n v="4.8"/>
    <x v="1"/>
    <x v="6"/>
    <x v="0"/>
    <x v="0"/>
    <m/>
    <m/>
    <m/>
    <m/>
    <m/>
    <m/>
    <m/>
    <m/>
  </r>
  <r>
    <s v="Call_8130"/>
    <x v="12"/>
    <x v="101"/>
    <x v="2"/>
    <x v="268"/>
    <n v="31"/>
    <n v="4"/>
    <x v="1"/>
    <x v="6"/>
    <x v="2"/>
    <x v="2"/>
    <m/>
    <m/>
    <m/>
    <m/>
    <m/>
    <m/>
    <m/>
    <m/>
  </r>
  <r>
    <s v="Call_8131"/>
    <x v="14"/>
    <x v="17"/>
    <x v="3"/>
    <x v="269"/>
    <n v="120"/>
    <n v="4.7"/>
    <x v="1"/>
    <x v="0"/>
    <x v="2"/>
    <x v="0"/>
    <m/>
    <m/>
    <m/>
    <m/>
    <m/>
    <m/>
    <m/>
    <m/>
  </r>
  <r>
    <s v="Call_8132"/>
    <x v="1"/>
    <x v="22"/>
    <x v="1"/>
    <x v="269"/>
    <n v="117"/>
    <n v="3.6"/>
    <x v="1"/>
    <x v="0"/>
    <x v="0"/>
    <x v="2"/>
    <m/>
    <m/>
    <m/>
    <m/>
    <m/>
    <m/>
    <m/>
    <m/>
  </r>
  <r>
    <s v="Call_8133"/>
    <x v="14"/>
    <x v="77"/>
    <x v="4"/>
    <x v="269"/>
    <n v="80"/>
    <n v="4.5"/>
    <x v="1"/>
    <x v="0"/>
    <x v="0"/>
    <x v="0"/>
    <m/>
    <m/>
    <m/>
    <m/>
    <m/>
    <m/>
    <m/>
    <m/>
  </r>
  <r>
    <s v="Call_8134"/>
    <x v="14"/>
    <x v="39"/>
    <x v="0"/>
    <x v="270"/>
    <n v="117"/>
    <n v="4"/>
    <x v="1"/>
    <x v="1"/>
    <x v="2"/>
    <x v="2"/>
    <m/>
    <m/>
    <m/>
    <m/>
    <m/>
    <m/>
    <m/>
    <m/>
  </r>
  <r>
    <s v="Call_8135"/>
    <x v="8"/>
    <x v="74"/>
    <x v="3"/>
    <x v="270"/>
    <n v="60"/>
    <n v="4.5"/>
    <x v="1"/>
    <x v="1"/>
    <x v="0"/>
    <x v="0"/>
    <m/>
    <m/>
    <m/>
    <m/>
    <m/>
    <m/>
    <m/>
    <m/>
  </r>
  <r>
    <s v="Call_8136"/>
    <x v="4"/>
    <x v="79"/>
    <x v="4"/>
    <x v="271"/>
    <n v="58"/>
    <n v="3.9"/>
    <x v="1"/>
    <x v="2"/>
    <x v="3"/>
    <x v="2"/>
    <m/>
    <m/>
    <m/>
    <m/>
    <m/>
    <m/>
    <m/>
    <m/>
  </r>
  <r>
    <s v="Call_8137"/>
    <x v="12"/>
    <x v="113"/>
    <x v="0"/>
    <x v="271"/>
    <n v="41"/>
    <n v="4.3"/>
    <x v="1"/>
    <x v="2"/>
    <x v="0"/>
    <x v="2"/>
    <m/>
    <m/>
    <m/>
    <m/>
    <m/>
    <m/>
    <m/>
    <m/>
  </r>
  <r>
    <s v="Call_8138"/>
    <x v="3"/>
    <x v="21"/>
    <x v="1"/>
    <x v="271"/>
    <n v="180"/>
    <n v="3.6"/>
    <x v="1"/>
    <x v="2"/>
    <x v="0"/>
    <x v="2"/>
    <m/>
    <m/>
    <m/>
    <m/>
    <m/>
    <m/>
    <m/>
    <m/>
  </r>
  <r>
    <s v="Call_8139"/>
    <x v="13"/>
    <x v="69"/>
    <x v="1"/>
    <x v="271"/>
    <n v="42"/>
    <n v="3.6"/>
    <x v="1"/>
    <x v="2"/>
    <x v="0"/>
    <x v="2"/>
    <m/>
    <m/>
    <m/>
    <m/>
    <m/>
    <m/>
    <m/>
    <m/>
  </r>
  <r>
    <s v="Call_8140"/>
    <x v="13"/>
    <x v="2"/>
    <x v="1"/>
    <x v="272"/>
    <n v="24"/>
    <n v="4"/>
    <x v="1"/>
    <x v="3"/>
    <x v="0"/>
    <x v="2"/>
    <m/>
    <m/>
    <m/>
    <m/>
    <m/>
    <m/>
    <m/>
    <m/>
  </r>
  <r>
    <s v="Call_8141"/>
    <x v="12"/>
    <x v="58"/>
    <x v="1"/>
    <x v="272"/>
    <n v="125"/>
    <n v="4.2"/>
    <x v="1"/>
    <x v="3"/>
    <x v="0"/>
    <x v="2"/>
    <m/>
    <m/>
    <m/>
    <m/>
    <m/>
    <m/>
    <m/>
    <m/>
  </r>
  <r>
    <s v="Call_8142"/>
    <x v="12"/>
    <x v="99"/>
    <x v="0"/>
    <x v="273"/>
    <n v="78"/>
    <n v="4.3"/>
    <x v="1"/>
    <x v="4"/>
    <x v="0"/>
    <x v="2"/>
    <m/>
    <m/>
    <m/>
    <m/>
    <m/>
    <m/>
    <m/>
    <m/>
  </r>
  <r>
    <s v="Call_8143"/>
    <x v="9"/>
    <x v="66"/>
    <x v="2"/>
    <x v="273"/>
    <n v="180"/>
    <n v="3.8"/>
    <x v="1"/>
    <x v="4"/>
    <x v="0"/>
    <x v="2"/>
    <m/>
    <m/>
    <m/>
    <m/>
    <m/>
    <m/>
    <m/>
    <m/>
  </r>
  <r>
    <s v="Call_8144"/>
    <x v="7"/>
    <x v="161"/>
    <x v="0"/>
    <x v="273"/>
    <n v="84"/>
    <n v="4.4000000000000004"/>
    <x v="1"/>
    <x v="4"/>
    <x v="1"/>
    <x v="2"/>
    <m/>
    <m/>
    <m/>
    <m/>
    <m/>
    <m/>
    <m/>
    <m/>
  </r>
  <r>
    <s v="Call_8145"/>
    <x v="4"/>
    <x v="98"/>
    <x v="0"/>
    <x v="273"/>
    <n v="26"/>
    <n v="4.7"/>
    <x v="1"/>
    <x v="4"/>
    <x v="3"/>
    <x v="0"/>
    <m/>
    <m/>
    <m/>
    <m/>
    <m/>
    <m/>
    <m/>
    <m/>
  </r>
  <r>
    <s v="Call_8146"/>
    <x v="1"/>
    <x v="30"/>
    <x v="0"/>
    <x v="274"/>
    <n v="140"/>
    <n v="3.6"/>
    <x v="1"/>
    <x v="5"/>
    <x v="0"/>
    <x v="2"/>
    <m/>
    <m/>
    <m/>
    <m/>
    <m/>
    <m/>
    <m/>
    <m/>
  </r>
  <r>
    <s v="Call_8147"/>
    <x v="3"/>
    <x v="156"/>
    <x v="2"/>
    <x v="274"/>
    <n v="31"/>
    <n v="2.2000000000000002"/>
    <x v="1"/>
    <x v="5"/>
    <x v="0"/>
    <x v="3"/>
    <m/>
    <m/>
    <m/>
    <m/>
    <m/>
    <m/>
    <m/>
    <m/>
  </r>
  <r>
    <s v="Call_8148"/>
    <x v="8"/>
    <x v="113"/>
    <x v="2"/>
    <x v="274"/>
    <n v="108"/>
    <n v="4.8"/>
    <x v="1"/>
    <x v="5"/>
    <x v="0"/>
    <x v="0"/>
    <m/>
    <m/>
    <m/>
    <m/>
    <m/>
    <m/>
    <m/>
    <m/>
  </r>
  <r>
    <s v="Call_8149"/>
    <x v="7"/>
    <x v="70"/>
    <x v="3"/>
    <x v="275"/>
    <n v="58"/>
    <n v="4.3"/>
    <x v="1"/>
    <x v="6"/>
    <x v="1"/>
    <x v="2"/>
    <m/>
    <m/>
    <m/>
    <m/>
    <m/>
    <m/>
    <m/>
    <m/>
  </r>
  <r>
    <s v="Call_8150"/>
    <x v="7"/>
    <x v="90"/>
    <x v="2"/>
    <x v="275"/>
    <n v="185"/>
    <n v="2.2000000000000002"/>
    <x v="1"/>
    <x v="6"/>
    <x v="0"/>
    <x v="3"/>
    <m/>
    <m/>
    <m/>
    <m/>
    <m/>
    <m/>
    <m/>
    <m/>
  </r>
  <r>
    <s v="Call_8151"/>
    <x v="7"/>
    <x v="53"/>
    <x v="2"/>
    <x v="275"/>
    <n v="40"/>
    <n v="4.8"/>
    <x v="1"/>
    <x v="6"/>
    <x v="0"/>
    <x v="0"/>
    <m/>
    <m/>
    <m/>
    <m/>
    <m/>
    <m/>
    <m/>
    <m/>
  </r>
  <r>
    <s v="Call_8152"/>
    <x v="7"/>
    <x v="157"/>
    <x v="4"/>
    <x v="275"/>
    <n v="225"/>
    <n v="2.6"/>
    <x v="1"/>
    <x v="6"/>
    <x v="3"/>
    <x v="1"/>
    <m/>
    <m/>
    <m/>
    <m/>
    <m/>
    <m/>
    <m/>
    <m/>
  </r>
  <r>
    <s v="Call_8153"/>
    <x v="3"/>
    <x v="41"/>
    <x v="3"/>
    <x v="275"/>
    <n v="150"/>
    <n v="2.6"/>
    <x v="1"/>
    <x v="6"/>
    <x v="0"/>
    <x v="1"/>
    <m/>
    <m/>
    <m/>
    <m/>
    <m/>
    <m/>
    <m/>
    <m/>
  </r>
  <r>
    <s v="Call_8154"/>
    <x v="6"/>
    <x v="50"/>
    <x v="1"/>
    <x v="276"/>
    <n v="88"/>
    <n v="3.4"/>
    <x v="1"/>
    <x v="0"/>
    <x v="0"/>
    <x v="1"/>
    <m/>
    <m/>
    <m/>
    <m/>
    <m/>
    <m/>
    <m/>
    <m/>
  </r>
  <r>
    <s v="Call_8155"/>
    <x v="10"/>
    <x v="103"/>
    <x v="0"/>
    <x v="276"/>
    <n v="140"/>
    <n v="3.7"/>
    <x v="1"/>
    <x v="0"/>
    <x v="2"/>
    <x v="2"/>
    <m/>
    <m/>
    <m/>
    <m/>
    <m/>
    <m/>
    <m/>
    <m/>
  </r>
  <r>
    <s v="Call_8156"/>
    <x v="6"/>
    <x v="52"/>
    <x v="1"/>
    <x v="276"/>
    <n v="68"/>
    <n v="2.1"/>
    <x v="1"/>
    <x v="0"/>
    <x v="1"/>
    <x v="3"/>
    <m/>
    <m/>
    <m/>
    <m/>
    <m/>
    <m/>
    <m/>
    <m/>
  </r>
  <r>
    <s v="Call_8157"/>
    <x v="1"/>
    <x v="7"/>
    <x v="4"/>
    <x v="277"/>
    <n v="105"/>
    <n v="3.6"/>
    <x v="1"/>
    <x v="1"/>
    <x v="2"/>
    <x v="2"/>
    <m/>
    <m/>
    <m/>
    <m/>
    <m/>
    <m/>
    <m/>
    <m/>
  </r>
  <r>
    <s v="Call_8158"/>
    <x v="13"/>
    <x v="112"/>
    <x v="0"/>
    <x v="277"/>
    <n v="40"/>
    <n v="3.8"/>
    <x v="1"/>
    <x v="1"/>
    <x v="1"/>
    <x v="2"/>
    <m/>
    <m/>
    <m/>
    <m/>
    <m/>
    <m/>
    <m/>
    <m/>
  </r>
  <r>
    <s v="Call_8159"/>
    <x v="9"/>
    <x v="84"/>
    <x v="0"/>
    <x v="277"/>
    <n v="82"/>
    <n v="3.1"/>
    <x v="1"/>
    <x v="1"/>
    <x v="0"/>
    <x v="1"/>
    <m/>
    <m/>
    <m/>
    <m/>
    <m/>
    <m/>
    <m/>
    <m/>
  </r>
  <r>
    <s v="Call_8160"/>
    <x v="0"/>
    <x v="96"/>
    <x v="4"/>
    <x v="278"/>
    <n v="90"/>
    <n v="4.4000000000000004"/>
    <x v="1"/>
    <x v="2"/>
    <x v="0"/>
    <x v="2"/>
    <m/>
    <m/>
    <m/>
    <m/>
    <m/>
    <m/>
    <m/>
    <m/>
  </r>
  <r>
    <s v="Call_8161"/>
    <x v="2"/>
    <x v="133"/>
    <x v="3"/>
    <x v="279"/>
    <n v="66"/>
    <n v="4.8"/>
    <x v="1"/>
    <x v="3"/>
    <x v="1"/>
    <x v="0"/>
    <m/>
    <m/>
    <m/>
    <m/>
    <m/>
    <m/>
    <m/>
    <m/>
  </r>
  <r>
    <s v="Call_8162"/>
    <x v="14"/>
    <x v="63"/>
    <x v="1"/>
    <x v="279"/>
    <n v="78"/>
    <n v="3.5"/>
    <x v="1"/>
    <x v="3"/>
    <x v="0"/>
    <x v="2"/>
    <m/>
    <m/>
    <m/>
    <m/>
    <m/>
    <m/>
    <m/>
    <m/>
  </r>
  <r>
    <s v="Call_8163"/>
    <x v="3"/>
    <x v="6"/>
    <x v="3"/>
    <x v="280"/>
    <n v="66"/>
    <n v="4.4000000000000004"/>
    <x v="1"/>
    <x v="4"/>
    <x v="0"/>
    <x v="2"/>
    <m/>
    <m/>
    <m/>
    <m/>
    <m/>
    <m/>
    <m/>
    <m/>
  </r>
  <r>
    <s v="Call_8164"/>
    <x v="13"/>
    <x v="108"/>
    <x v="4"/>
    <x v="281"/>
    <n v="160"/>
    <n v="3.8"/>
    <x v="1"/>
    <x v="5"/>
    <x v="2"/>
    <x v="2"/>
    <m/>
    <m/>
    <m/>
    <m/>
    <m/>
    <m/>
    <m/>
    <m/>
  </r>
  <r>
    <s v="Call_8165"/>
    <x v="12"/>
    <x v="59"/>
    <x v="0"/>
    <x v="282"/>
    <n v="144"/>
    <n v="3.8"/>
    <x v="1"/>
    <x v="6"/>
    <x v="0"/>
    <x v="2"/>
    <m/>
    <m/>
    <m/>
    <m/>
    <m/>
    <m/>
    <m/>
    <m/>
  </r>
  <r>
    <s v="Call_8166"/>
    <x v="13"/>
    <x v="141"/>
    <x v="2"/>
    <x v="282"/>
    <n v="200"/>
    <n v="4.5999999999999996"/>
    <x v="1"/>
    <x v="6"/>
    <x v="0"/>
    <x v="0"/>
    <m/>
    <m/>
    <m/>
    <m/>
    <m/>
    <m/>
    <m/>
    <m/>
  </r>
  <r>
    <s v="Call_8167"/>
    <x v="5"/>
    <x v="143"/>
    <x v="1"/>
    <x v="283"/>
    <n v="220"/>
    <n v="5"/>
    <x v="1"/>
    <x v="1"/>
    <x v="2"/>
    <x v="0"/>
    <m/>
    <m/>
    <m/>
    <m/>
    <m/>
    <m/>
    <m/>
    <m/>
  </r>
  <r>
    <s v="Call_8168"/>
    <x v="3"/>
    <x v="28"/>
    <x v="3"/>
    <x v="284"/>
    <n v="112"/>
    <n v="3.2"/>
    <x v="1"/>
    <x v="2"/>
    <x v="0"/>
    <x v="1"/>
    <m/>
    <m/>
    <m/>
    <m/>
    <m/>
    <m/>
    <m/>
    <m/>
  </r>
  <r>
    <s v="Call_8169"/>
    <x v="2"/>
    <x v="129"/>
    <x v="4"/>
    <x v="284"/>
    <n v="110"/>
    <n v="3.7"/>
    <x v="1"/>
    <x v="2"/>
    <x v="0"/>
    <x v="2"/>
    <m/>
    <m/>
    <m/>
    <m/>
    <m/>
    <m/>
    <m/>
    <m/>
  </r>
  <r>
    <s v="Call_8170"/>
    <x v="11"/>
    <x v="33"/>
    <x v="0"/>
    <x v="285"/>
    <n v="160"/>
    <n v="2.7"/>
    <x v="1"/>
    <x v="3"/>
    <x v="0"/>
    <x v="1"/>
    <m/>
    <m/>
    <m/>
    <m/>
    <m/>
    <m/>
    <m/>
    <m/>
  </r>
  <r>
    <s v="Call_8171"/>
    <x v="11"/>
    <x v="78"/>
    <x v="4"/>
    <x v="285"/>
    <n v="84"/>
    <n v="4"/>
    <x v="1"/>
    <x v="3"/>
    <x v="3"/>
    <x v="2"/>
    <m/>
    <m/>
    <m/>
    <m/>
    <m/>
    <m/>
    <m/>
    <m/>
  </r>
  <r>
    <s v="Call_8172"/>
    <x v="2"/>
    <x v="108"/>
    <x v="1"/>
    <x v="285"/>
    <n v="124"/>
    <n v="2.6"/>
    <x v="1"/>
    <x v="3"/>
    <x v="2"/>
    <x v="1"/>
    <m/>
    <m/>
    <m/>
    <m/>
    <m/>
    <m/>
    <m/>
    <m/>
  </r>
  <r>
    <s v="Call_8173"/>
    <x v="11"/>
    <x v="89"/>
    <x v="2"/>
    <x v="285"/>
    <n v="84"/>
    <n v="4.5999999999999996"/>
    <x v="1"/>
    <x v="3"/>
    <x v="1"/>
    <x v="0"/>
    <m/>
    <m/>
    <m/>
    <m/>
    <m/>
    <m/>
    <m/>
    <m/>
  </r>
  <r>
    <s v="Call_8174"/>
    <x v="1"/>
    <x v="130"/>
    <x v="3"/>
    <x v="286"/>
    <n v="130"/>
    <n v="2.7"/>
    <x v="1"/>
    <x v="4"/>
    <x v="0"/>
    <x v="1"/>
    <m/>
    <m/>
    <m/>
    <m/>
    <m/>
    <m/>
    <m/>
    <m/>
  </r>
  <r>
    <s v="Call_8175"/>
    <x v="12"/>
    <x v="55"/>
    <x v="0"/>
    <x v="286"/>
    <n v="215"/>
    <n v="3.5"/>
    <x v="1"/>
    <x v="4"/>
    <x v="1"/>
    <x v="2"/>
    <m/>
    <m/>
    <m/>
    <m/>
    <m/>
    <m/>
    <m/>
    <m/>
  </r>
  <r>
    <s v="Call_8176"/>
    <x v="3"/>
    <x v="50"/>
    <x v="1"/>
    <x v="287"/>
    <n v="132"/>
    <n v="3.6"/>
    <x v="1"/>
    <x v="5"/>
    <x v="0"/>
    <x v="2"/>
    <m/>
    <m/>
    <m/>
    <m/>
    <m/>
    <m/>
    <m/>
    <m/>
  </r>
  <r>
    <s v="Call_8177"/>
    <x v="6"/>
    <x v="34"/>
    <x v="3"/>
    <x v="287"/>
    <n v="88"/>
    <n v="4.9000000000000004"/>
    <x v="1"/>
    <x v="5"/>
    <x v="0"/>
    <x v="0"/>
    <m/>
    <m/>
    <m/>
    <m/>
    <m/>
    <m/>
    <m/>
    <m/>
  </r>
  <r>
    <s v="Call_8178"/>
    <x v="0"/>
    <x v="48"/>
    <x v="1"/>
    <x v="287"/>
    <n v="140"/>
    <n v="3.9"/>
    <x v="1"/>
    <x v="5"/>
    <x v="0"/>
    <x v="2"/>
    <m/>
    <m/>
    <m/>
    <m/>
    <m/>
    <m/>
    <m/>
    <m/>
  </r>
  <r>
    <s v="Call_8179"/>
    <x v="11"/>
    <x v="5"/>
    <x v="3"/>
    <x v="288"/>
    <n v="66"/>
    <n v="4.7"/>
    <x v="1"/>
    <x v="6"/>
    <x v="0"/>
    <x v="0"/>
    <m/>
    <m/>
    <m/>
    <m/>
    <m/>
    <m/>
    <m/>
    <m/>
  </r>
  <r>
    <s v="Call_8180"/>
    <x v="8"/>
    <x v="34"/>
    <x v="0"/>
    <x v="288"/>
    <n v="23"/>
    <n v="4.5"/>
    <x v="1"/>
    <x v="6"/>
    <x v="0"/>
    <x v="0"/>
    <m/>
    <m/>
    <m/>
    <m/>
    <m/>
    <m/>
    <m/>
    <m/>
  </r>
  <r>
    <s v="Call_8181"/>
    <x v="6"/>
    <x v="148"/>
    <x v="0"/>
    <x v="289"/>
    <n v="220"/>
    <n v="4.5"/>
    <x v="1"/>
    <x v="0"/>
    <x v="1"/>
    <x v="0"/>
    <m/>
    <m/>
    <m/>
    <m/>
    <m/>
    <m/>
    <m/>
    <m/>
  </r>
  <r>
    <s v="Call_8182"/>
    <x v="7"/>
    <x v="63"/>
    <x v="4"/>
    <x v="290"/>
    <n v="175"/>
    <n v="4.4000000000000004"/>
    <x v="1"/>
    <x v="1"/>
    <x v="0"/>
    <x v="2"/>
    <m/>
    <m/>
    <m/>
    <m/>
    <m/>
    <m/>
    <m/>
    <m/>
  </r>
  <r>
    <s v="Call_8183"/>
    <x v="13"/>
    <x v="25"/>
    <x v="0"/>
    <x v="290"/>
    <n v="172"/>
    <n v="4.0999999999999996"/>
    <x v="1"/>
    <x v="1"/>
    <x v="0"/>
    <x v="2"/>
    <m/>
    <m/>
    <m/>
    <m/>
    <m/>
    <m/>
    <m/>
    <m/>
  </r>
  <r>
    <s v="Call_8184"/>
    <x v="9"/>
    <x v="129"/>
    <x v="2"/>
    <x v="290"/>
    <n v="108"/>
    <n v="3.8"/>
    <x v="1"/>
    <x v="1"/>
    <x v="0"/>
    <x v="2"/>
    <m/>
    <m/>
    <m/>
    <m/>
    <m/>
    <m/>
    <m/>
    <m/>
  </r>
  <r>
    <s v="Call_8185"/>
    <x v="8"/>
    <x v="121"/>
    <x v="0"/>
    <x v="291"/>
    <n v="43"/>
    <n v="4.2"/>
    <x v="1"/>
    <x v="2"/>
    <x v="2"/>
    <x v="2"/>
    <m/>
    <m/>
    <m/>
    <m/>
    <m/>
    <m/>
    <m/>
    <m/>
  </r>
  <r>
    <s v="Call_8186"/>
    <x v="6"/>
    <x v="40"/>
    <x v="1"/>
    <x v="291"/>
    <n v="44"/>
    <n v="2.2000000000000002"/>
    <x v="1"/>
    <x v="2"/>
    <x v="1"/>
    <x v="3"/>
    <m/>
    <m/>
    <m/>
    <m/>
    <m/>
    <m/>
    <m/>
    <m/>
  </r>
  <r>
    <s v="Call_8187"/>
    <x v="13"/>
    <x v="87"/>
    <x v="4"/>
    <x v="291"/>
    <n v="105"/>
    <n v="3.9"/>
    <x v="1"/>
    <x v="2"/>
    <x v="1"/>
    <x v="2"/>
    <m/>
    <m/>
    <m/>
    <m/>
    <m/>
    <m/>
    <m/>
    <m/>
  </r>
  <r>
    <s v="Call_8188"/>
    <x v="7"/>
    <x v="97"/>
    <x v="1"/>
    <x v="292"/>
    <n v="34"/>
    <n v="3.9"/>
    <x v="1"/>
    <x v="3"/>
    <x v="0"/>
    <x v="2"/>
    <m/>
    <m/>
    <m/>
    <m/>
    <m/>
    <m/>
    <m/>
    <m/>
  </r>
  <r>
    <s v="Call_8189"/>
    <x v="4"/>
    <x v="117"/>
    <x v="0"/>
    <x v="292"/>
    <n v="220"/>
    <n v="4.0999999999999996"/>
    <x v="1"/>
    <x v="3"/>
    <x v="0"/>
    <x v="2"/>
    <m/>
    <m/>
    <m/>
    <m/>
    <m/>
    <m/>
    <m/>
    <m/>
  </r>
  <r>
    <s v="Call_8190"/>
    <x v="0"/>
    <x v="90"/>
    <x v="4"/>
    <x v="292"/>
    <n v="225"/>
    <n v="4.5999999999999996"/>
    <x v="1"/>
    <x v="3"/>
    <x v="0"/>
    <x v="0"/>
    <m/>
    <m/>
    <m/>
    <m/>
    <m/>
    <m/>
    <m/>
    <m/>
  </r>
  <r>
    <s v="Call_8191"/>
    <x v="2"/>
    <x v="93"/>
    <x v="4"/>
    <x v="293"/>
    <n v="37"/>
    <n v="4.0999999999999996"/>
    <x v="1"/>
    <x v="4"/>
    <x v="2"/>
    <x v="2"/>
    <m/>
    <m/>
    <m/>
    <m/>
    <m/>
    <m/>
    <m/>
    <m/>
  </r>
  <r>
    <s v="Call_8192"/>
    <x v="12"/>
    <x v="47"/>
    <x v="1"/>
    <x v="293"/>
    <n v="44"/>
    <n v="5"/>
    <x v="1"/>
    <x v="4"/>
    <x v="0"/>
    <x v="0"/>
    <m/>
    <m/>
    <m/>
    <m/>
    <m/>
    <m/>
    <m/>
    <m/>
  </r>
  <r>
    <s v="Call_8193"/>
    <x v="5"/>
    <x v="17"/>
    <x v="1"/>
    <x v="294"/>
    <n v="35"/>
    <n v="2.8"/>
    <x v="1"/>
    <x v="5"/>
    <x v="2"/>
    <x v="1"/>
    <m/>
    <m/>
    <m/>
    <m/>
    <m/>
    <m/>
    <m/>
    <m/>
  </r>
  <r>
    <s v="Call_8194"/>
    <x v="12"/>
    <x v="17"/>
    <x v="0"/>
    <x v="294"/>
    <n v="145"/>
    <n v="2.7"/>
    <x v="1"/>
    <x v="5"/>
    <x v="2"/>
    <x v="1"/>
    <m/>
    <m/>
    <m/>
    <m/>
    <m/>
    <m/>
    <m/>
    <m/>
  </r>
  <r>
    <s v="Call_8195"/>
    <x v="6"/>
    <x v="51"/>
    <x v="4"/>
    <x v="294"/>
    <n v="64"/>
    <n v="3.9"/>
    <x v="1"/>
    <x v="5"/>
    <x v="0"/>
    <x v="2"/>
    <m/>
    <m/>
    <m/>
    <m/>
    <m/>
    <m/>
    <m/>
    <m/>
  </r>
  <r>
    <s v="Call_8196"/>
    <x v="12"/>
    <x v="107"/>
    <x v="0"/>
    <x v="295"/>
    <n v="185"/>
    <n v="4.3"/>
    <x v="1"/>
    <x v="6"/>
    <x v="0"/>
    <x v="2"/>
    <m/>
    <m/>
    <m/>
    <m/>
    <m/>
    <m/>
    <m/>
    <m/>
  </r>
  <r>
    <s v="Call_8197"/>
    <x v="3"/>
    <x v="74"/>
    <x v="1"/>
    <x v="295"/>
    <n v="215"/>
    <n v="2.5"/>
    <x v="1"/>
    <x v="6"/>
    <x v="0"/>
    <x v="1"/>
    <m/>
    <m/>
    <m/>
    <m/>
    <m/>
    <m/>
    <m/>
    <m/>
  </r>
  <r>
    <s v="Call_8198"/>
    <x v="8"/>
    <x v="7"/>
    <x v="2"/>
    <x v="295"/>
    <n v="88"/>
    <n v="3.4"/>
    <x v="1"/>
    <x v="6"/>
    <x v="2"/>
    <x v="1"/>
    <m/>
    <m/>
    <m/>
    <m/>
    <m/>
    <m/>
    <m/>
    <m/>
  </r>
  <r>
    <s v="Call_8199"/>
    <x v="12"/>
    <x v="99"/>
    <x v="4"/>
    <x v="295"/>
    <n v="23"/>
    <n v="3.4"/>
    <x v="1"/>
    <x v="6"/>
    <x v="0"/>
    <x v="1"/>
    <m/>
    <m/>
    <m/>
    <m/>
    <m/>
    <m/>
    <m/>
    <m/>
  </r>
  <r>
    <s v="Call_8200"/>
    <x v="2"/>
    <x v="54"/>
    <x v="2"/>
    <x v="296"/>
    <n v="180"/>
    <n v="1.8"/>
    <x v="1"/>
    <x v="0"/>
    <x v="2"/>
    <x v="3"/>
    <m/>
    <m/>
    <m/>
    <m/>
    <m/>
    <m/>
    <m/>
    <m/>
  </r>
  <r>
    <s v="Call_8201"/>
    <x v="13"/>
    <x v="53"/>
    <x v="4"/>
    <x v="297"/>
    <n v="225"/>
    <n v="3.7"/>
    <x v="1"/>
    <x v="1"/>
    <x v="0"/>
    <x v="2"/>
    <m/>
    <m/>
    <m/>
    <m/>
    <m/>
    <m/>
    <m/>
    <m/>
  </r>
  <r>
    <s v="Call_8202"/>
    <x v="4"/>
    <x v="137"/>
    <x v="1"/>
    <x v="298"/>
    <n v="74"/>
    <n v="4.0999999999999996"/>
    <x v="1"/>
    <x v="2"/>
    <x v="3"/>
    <x v="2"/>
    <m/>
    <m/>
    <m/>
    <m/>
    <m/>
    <m/>
    <m/>
    <m/>
  </r>
  <r>
    <s v="Call_8203"/>
    <x v="3"/>
    <x v="119"/>
    <x v="4"/>
    <x v="298"/>
    <n v="36"/>
    <n v="3"/>
    <x v="1"/>
    <x v="2"/>
    <x v="1"/>
    <x v="1"/>
    <m/>
    <m/>
    <m/>
    <m/>
    <m/>
    <m/>
    <m/>
    <m/>
  </r>
  <r>
    <s v="Call_8204"/>
    <x v="5"/>
    <x v="15"/>
    <x v="4"/>
    <x v="299"/>
    <n v="116"/>
    <n v="3.9"/>
    <x v="1"/>
    <x v="4"/>
    <x v="0"/>
    <x v="2"/>
    <m/>
    <m/>
    <m/>
    <m/>
    <m/>
    <m/>
    <m/>
    <m/>
  </r>
  <r>
    <s v="Call_8205"/>
    <x v="3"/>
    <x v="67"/>
    <x v="2"/>
    <x v="299"/>
    <n v="140"/>
    <n v="4"/>
    <x v="1"/>
    <x v="4"/>
    <x v="0"/>
    <x v="2"/>
    <m/>
    <m/>
    <m/>
    <m/>
    <m/>
    <m/>
    <m/>
    <m/>
  </r>
  <r>
    <s v="Call_8206"/>
    <x v="3"/>
    <x v="9"/>
    <x v="1"/>
    <x v="300"/>
    <n v="104"/>
    <n v="4.5"/>
    <x v="1"/>
    <x v="5"/>
    <x v="0"/>
    <x v="0"/>
    <m/>
    <m/>
    <m/>
    <m/>
    <m/>
    <m/>
    <m/>
    <m/>
  </r>
  <r>
    <s v="Call_8207"/>
    <x v="5"/>
    <x v="119"/>
    <x v="3"/>
    <x v="300"/>
    <n v="148"/>
    <n v="4"/>
    <x v="1"/>
    <x v="5"/>
    <x v="1"/>
    <x v="2"/>
    <m/>
    <m/>
    <m/>
    <m/>
    <m/>
    <m/>
    <m/>
    <m/>
  </r>
  <r>
    <s v="Call_8208"/>
    <x v="8"/>
    <x v="108"/>
    <x v="4"/>
    <x v="300"/>
    <n v="205"/>
    <n v="4.3"/>
    <x v="1"/>
    <x v="5"/>
    <x v="2"/>
    <x v="2"/>
    <m/>
    <m/>
    <m/>
    <m/>
    <m/>
    <m/>
    <m/>
    <m/>
  </r>
  <r>
    <s v="Call_8209"/>
    <x v="1"/>
    <x v="132"/>
    <x v="0"/>
    <x v="300"/>
    <n v="210"/>
    <n v="4.8"/>
    <x v="1"/>
    <x v="5"/>
    <x v="3"/>
    <x v="0"/>
    <m/>
    <m/>
    <m/>
    <m/>
    <m/>
    <m/>
    <m/>
    <m/>
  </r>
  <r>
    <s v="Call_8210"/>
    <x v="4"/>
    <x v="38"/>
    <x v="3"/>
    <x v="301"/>
    <n v="41"/>
    <n v="4.7"/>
    <x v="1"/>
    <x v="0"/>
    <x v="0"/>
    <x v="0"/>
    <m/>
    <m/>
    <m/>
    <m/>
    <m/>
    <m/>
    <m/>
    <m/>
  </r>
  <r>
    <s v="Call_8211"/>
    <x v="11"/>
    <x v="74"/>
    <x v="2"/>
    <x v="301"/>
    <n v="136"/>
    <n v="5"/>
    <x v="1"/>
    <x v="0"/>
    <x v="0"/>
    <x v="0"/>
    <m/>
    <m/>
    <m/>
    <m/>
    <m/>
    <m/>
    <m/>
    <m/>
  </r>
  <r>
    <s v="Call_8212"/>
    <x v="9"/>
    <x v="45"/>
    <x v="1"/>
    <x v="302"/>
    <n v="126"/>
    <n v="1.5"/>
    <x v="1"/>
    <x v="1"/>
    <x v="0"/>
    <x v="3"/>
    <m/>
    <m/>
    <m/>
    <m/>
    <m/>
    <m/>
    <m/>
    <m/>
  </r>
  <r>
    <s v="Call_8213"/>
    <x v="2"/>
    <x v="24"/>
    <x v="0"/>
    <x v="303"/>
    <n v="148"/>
    <n v="4.0999999999999996"/>
    <x v="1"/>
    <x v="2"/>
    <x v="0"/>
    <x v="2"/>
    <m/>
    <m/>
    <m/>
    <m/>
    <m/>
    <m/>
    <m/>
    <m/>
  </r>
  <r>
    <s v="Call_8214"/>
    <x v="9"/>
    <x v="72"/>
    <x v="1"/>
    <x v="303"/>
    <n v="125"/>
    <n v="3.9"/>
    <x v="1"/>
    <x v="2"/>
    <x v="1"/>
    <x v="2"/>
    <m/>
    <m/>
    <m/>
    <m/>
    <m/>
    <m/>
    <m/>
    <m/>
  </r>
  <r>
    <s v="Call_8215"/>
    <x v="6"/>
    <x v="144"/>
    <x v="2"/>
    <x v="303"/>
    <n v="25"/>
    <n v="4.0999999999999996"/>
    <x v="1"/>
    <x v="2"/>
    <x v="2"/>
    <x v="2"/>
    <m/>
    <m/>
    <m/>
    <m/>
    <m/>
    <m/>
    <m/>
    <m/>
  </r>
  <r>
    <s v="Call_8216"/>
    <x v="7"/>
    <x v="162"/>
    <x v="4"/>
    <x v="304"/>
    <n v="62"/>
    <n v="2.8"/>
    <x v="1"/>
    <x v="3"/>
    <x v="4"/>
    <x v="1"/>
    <m/>
    <m/>
    <m/>
    <m/>
    <m/>
    <m/>
    <m/>
    <m/>
  </r>
  <r>
    <s v="Call_8217"/>
    <x v="2"/>
    <x v="115"/>
    <x v="2"/>
    <x v="305"/>
    <n v="90"/>
    <n v="4.5999999999999996"/>
    <x v="1"/>
    <x v="4"/>
    <x v="1"/>
    <x v="0"/>
    <m/>
    <m/>
    <m/>
    <m/>
    <m/>
    <m/>
    <m/>
    <m/>
  </r>
  <r>
    <s v="Call_8218"/>
    <x v="1"/>
    <x v="116"/>
    <x v="3"/>
    <x v="306"/>
    <n v="33"/>
    <n v="4.8"/>
    <x v="1"/>
    <x v="5"/>
    <x v="1"/>
    <x v="0"/>
    <m/>
    <m/>
    <m/>
    <m/>
    <m/>
    <m/>
    <m/>
    <m/>
  </r>
  <r>
    <s v="Call_8219"/>
    <x v="3"/>
    <x v="42"/>
    <x v="4"/>
    <x v="306"/>
    <n v="115"/>
    <n v="2.2999999999999998"/>
    <x v="1"/>
    <x v="5"/>
    <x v="0"/>
    <x v="3"/>
    <m/>
    <m/>
    <m/>
    <m/>
    <m/>
    <m/>
    <m/>
    <m/>
  </r>
  <r>
    <s v="Call_8220"/>
    <x v="1"/>
    <x v="122"/>
    <x v="3"/>
    <x v="306"/>
    <n v="45"/>
    <n v="2.6"/>
    <x v="1"/>
    <x v="5"/>
    <x v="1"/>
    <x v="1"/>
    <m/>
    <m/>
    <m/>
    <m/>
    <m/>
    <m/>
    <m/>
    <m/>
  </r>
  <r>
    <s v="Call_8221"/>
    <x v="6"/>
    <x v="156"/>
    <x v="0"/>
    <x v="306"/>
    <n v="114"/>
    <n v="4.8"/>
    <x v="1"/>
    <x v="5"/>
    <x v="0"/>
    <x v="0"/>
    <m/>
    <m/>
    <m/>
    <m/>
    <m/>
    <m/>
    <m/>
    <m/>
  </r>
  <r>
    <s v="Call_8222"/>
    <x v="3"/>
    <x v="9"/>
    <x v="1"/>
    <x v="307"/>
    <n v="72"/>
    <n v="3.7"/>
    <x v="1"/>
    <x v="6"/>
    <x v="0"/>
    <x v="2"/>
    <m/>
    <m/>
    <m/>
    <m/>
    <m/>
    <m/>
    <m/>
    <m/>
  </r>
  <r>
    <s v="Call_8223"/>
    <x v="10"/>
    <x v="63"/>
    <x v="0"/>
    <x v="307"/>
    <n v="205"/>
    <n v="4.2"/>
    <x v="1"/>
    <x v="6"/>
    <x v="0"/>
    <x v="2"/>
    <m/>
    <m/>
    <m/>
    <m/>
    <m/>
    <m/>
    <m/>
    <m/>
  </r>
  <r>
    <s v="Call_8224"/>
    <x v="1"/>
    <x v="40"/>
    <x v="1"/>
    <x v="308"/>
    <n v="42"/>
    <n v="3.3"/>
    <x v="1"/>
    <x v="0"/>
    <x v="1"/>
    <x v="1"/>
    <m/>
    <m/>
    <m/>
    <m/>
    <m/>
    <m/>
    <m/>
    <m/>
  </r>
  <r>
    <s v="Call_8225"/>
    <x v="7"/>
    <x v="122"/>
    <x v="0"/>
    <x v="308"/>
    <n v="96"/>
    <n v="4.3"/>
    <x v="1"/>
    <x v="0"/>
    <x v="1"/>
    <x v="2"/>
    <m/>
    <m/>
    <m/>
    <m/>
    <m/>
    <m/>
    <m/>
    <m/>
  </r>
  <r>
    <s v="Call_8226"/>
    <x v="3"/>
    <x v="145"/>
    <x v="4"/>
    <x v="308"/>
    <n v="64"/>
    <n v="3.7"/>
    <x v="1"/>
    <x v="0"/>
    <x v="2"/>
    <x v="2"/>
    <m/>
    <m/>
    <m/>
    <m/>
    <m/>
    <m/>
    <m/>
    <m/>
  </r>
  <r>
    <s v="Call_8227"/>
    <x v="10"/>
    <x v="50"/>
    <x v="0"/>
    <x v="309"/>
    <n v="72"/>
    <n v="3.7"/>
    <x v="1"/>
    <x v="1"/>
    <x v="0"/>
    <x v="2"/>
    <m/>
    <m/>
    <m/>
    <m/>
    <m/>
    <m/>
    <m/>
    <m/>
  </r>
  <r>
    <s v="Call_8228"/>
    <x v="6"/>
    <x v="18"/>
    <x v="3"/>
    <x v="310"/>
    <n v="27"/>
    <n v="3.1"/>
    <x v="1"/>
    <x v="2"/>
    <x v="2"/>
    <x v="1"/>
    <m/>
    <m/>
    <m/>
    <m/>
    <m/>
    <m/>
    <m/>
    <m/>
  </r>
  <r>
    <s v="Call_8229"/>
    <x v="7"/>
    <x v="67"/>
    <x v="3"/>
    <x v="311"/>
    <n v="200"/>
    <n v="2.4"/>
    <x v="1"/>
    <x v="4"/>
    <x v="0"/>
    <x v="3"/>
    <m/>
    <m/>
    <m/>
    <m/>
    <m/>
    <m/>
    <m/>
    <m/>
  </r>
  <r>
    <s v="Call_8230"/>
    <x v="6"/>
    <x v="128"/>
    <x v="1"/>
    <x v="312"/>
    <n v="93"/>
    <n v="3.5"/>
    <x v="1"/>
    <x v="5"/>
    <x v="3"/>
    <x v="2"/>
    <m/>
    <m/>
    <m/>
    <m/>
    <m/>
    <m/>
    <m/>
    <m/>
  </r>
  <r>
    <s v="Call_8231"/>
    <x v="12"/>
    <x v="54"/>
    <x v="4"/>
    <x v="312"/>
    <n v="54"/>
    <n v="4.3"/>
    <x v="1"/>
    <x v="5"/>
    <x v="2"/>
    <x v="2"/>
    <m/>
    <m/>
    <m/>
    <m/>
    <m/>
    <m/>
    <m/>
    <m/>
  </r>
  <r>
    <s v="Call_8232"/>
    <x v="6"/>
    <x v="6"/>
    <x v="1"/>
    <x v="313"/>
    <n v="72"/>
    <n v="3.4"/>
    <x v="1"/>
    <x v="6"/>
    <x v="0"/>
    <x v="1"/>
    <m/>
    <m/>
    <m/>
    <m/>
    <m/>
    <m/>
    <m/>
    <m/>
  </r>
  <r>
    <s v="Call_8233"/>
    <x v="9"/>
    <x v="47"/>
    <x v="2"/>
    <x v="313"/>
    <n v="82"/>
    <n v="3.7"/>
    <x v="1"/>
    <x v="6"/>
    <x v="0"/>
    <x v="2"/>
    <m/>
    <m/>
    <m/>
    <m/>
    <m/>
    <m/>
    <m/>
    <m/>
  </r>
  <r>
    <s v="Call_8234"/>
    <x v="12"/>
    <x v="74"/>
    <x v="4"/>
    <x v="314"/>
    <n v="164"/>
    <n v="4.8"/>
    <x v="1"/>
    <x v="3"/>
    <x v="0"/>
    <x v="0"/>
    <m/>
    <m/>
    <m/>
    <m/>
    <m/>
    <m/>
    <m/>
    <m/>
  </r>
  <r>
    <s v="Call_8235"/>
    <x v="2"/>
    <x v="30"/>
    <x v="1"/>
    <x v="314"/>
    <n v="78"/>
    <n v="3.3"/>
    <x v="1"/>
    <x v="3"/>
    <x v="0"/>
    <x v="1"/>
    <m/>
    <m/>
    <m/>
    <m/>
    <m/>
    <m/>
    <m/>
    <m/>
  </r>
  <r>
    <s v="Call_8236"/>
    <x v="10"/>
    <x v="109"/>
    <x v="3"/>
    <x v="315"/>
    <n v="135"/>
    <n v="4.2"/>
    <x v="1"/>
    <x v="4"/>
    <x v="2"/>
    <x v="2"/>
    <m/>
    <m/>
    <m/>
    <m/>
    <m/>
    <m/>
    <m/>
    <m/>
  </r>
  <r>
    <s v="Call_8237"/>
    <x v="14"/>
    <x v="76"/>
    <x v="4"/>
    <x v="316"/>
    <n v="145"/>
    <n v="2.6"/>
    <x v="1"/>
    <x v="5"/>
    <x v="1"/>
    <x v="1"/>
    <m/>
    <m/>
    <m/>
    <m/>
    <m/>
    <m/>
    <m/>
    <m/>
  </r>
  <r>
    <s v="Call_8238"/>
    <x v="5"/>
    <x v="74"/>
    <x v="3"/>
    <x v="316"/>
    <n v="115"/>
    <n v="4.9000000000000004"/>
    <x v="1"/>
    <x v="5"/>
    <x v="0"/>
    <x v="0"/>
    <m/>
    <m/>
    <m/>
    <m/>
    <m/>
    <m/>
    <m/>
    <m/>
  </r>
  <r>
    <s v="Call_8239"/>
    <x v="13"/>
    <x v="89"/>
    <x v="1"/>
    <x v="316"/>
    <n v="117"/>
    <n v="2"/>
    <x v="1"/>
    <x v="5"/>
    <x v="1"/>
    <x v="3"/>
    <m/>
    <m/>
    <m/>
    <m/>
    <m/>
    <m/>
    <m/>
    <m/>
  </r>
  <r>
    <s v="Call_8240"/>
    <x v="14"/>
    <x v="119"/>
    <x v="0"/>
    <x v="317"/>
    <n v="36"/>
    <n v="4.7"/>
    <x v="1"/>
    <x v="6"/>
    <x v="1"/>
    <x v="0"/>
    <m/>
    <m/>
    <m/>
    <m/>
    <m/>
    <m/>
    <m/>
    <m/>
  </r>
  <r>
    <s v="Call_8241"/>
    <x v="2"/>
    <x v="64"/>
    <x v="0"/>
    <x v="317"/>
    <n v="84"/>
    <n v="2.8"/>
    <x v="1"/>
    <x v="6"/>
    <x v="2"/>
    <x v="1"/>
    <m/>
    <m/>
    <m/>
    <m/>
    <m/>
    <m/>
    <m/>
    <m/>
  </r>
  <r>
    <s v="Call_8242"/>
    <x v="8"/>
    <x v="56"/>
    <x v="0"/>
    <x v="317"/>
    <n v="66"/>
    <n v="3.2"/>
    <x v="1"/>
    <x v="6"/>
    <x v="1"/>
    <x v="1"/>
    <m/>
    <m/>
    <m/>
    <m/>
    <m/>
    <m/>
    <m/>
    <m/>
  </r>
  <r>
    <s v="Call_8243"/>
    <x v="6"/>
    <x v="52"/>
    <x v="3"/>
    <x v="317"/>
    <n v="76"/>
    <n v="4.7"/>
    <x v="1"/>
    <x v="6"/>
    <x v="1"/>
    <x v="0"/>
    <m/>
    <m/>
    <m/>
    <m/>
    <m/>
    <m/>
    <m/>
    <m/>
  </r>
  <r>
    <s v="Call_8244"/>
    <x v="11"/>
    <x v="116"/>
    <x v="3"/>
    <x v="317"/>
    <n v="185"/>
    <n v="4.8"/>
    <x v="1"/>
    <x v="6"/>
    <x v="1"/>
    <x v="0"/>
    <m/>
    <m/>
    <m/>
    <m/>
    <m/>
    <m/>
    <m/>
    <m/>
  </r>
  <r>
    <s v="Call_8245"/>
    <x v="2"/>
    <x v="116"/>
    <x v="2"/>
    <x v="318"/>
    <n v="80"/>
    <n v="4.7"/>
    <x v="1"/>
    <x v="0"/>
    <x v="1"/>
    <x v="0"/>
    <m/>
    <m/>
    <m/>
    <m/>
    <m/>
    <m/>
    <m/>
    <m/>
  </r>
  <r>
    <s v="Call_8246"/>
    <x v="7"/>
    <x v="81"/>
    <x v="3"/>
    <x v="318"/>
    <n v="148"/>
    <n v="4"/>
    <x v="1"/>
    <x v="0"/>
    <x v="2"/>
    <x v="2"/>
    <m/>
    <m/>
    <m/>
    <m/>
    <m/>
    <m/>
    <m/>
    <m/>
  </r>
  <r>
    <s v="Call_8247"/>
    <x v="2"/>
    <x v="5"/>
    <x v="4"/>
    <x v="319"/>
    <n v="180"/>
    <n v="4.9000000000000004"/>
    <x v="1"/>
    <x v="2"/>
    <x v="0"/>
    <x v="0"/>
    <m/>
    <m/>
    <m/>
    <m/>
    <m/>
    <m/>
    <m/>
    <m/>
  </r>
  <r>
    <s v="Call_8248"/>
    <x v="9"/>
    <x v="134"/>
    <x v="2"/>
    <x v="320"/>
    <n v="190"/>
    <n v="3.7"/>
    <x v="1"/>
    <x v="3"/>
    <x v="0"/>
    <x v="2"/>
    <m/>
    <m/>
    <m/>
    <m/>
    <m/>
    <m/>
    <m/>
    <m/>
  </r>
  <r>
    <s v="Call_8249"/>
    <x v="4"/>
    <x v="107"/>
    <x v="3"/>
    <x v="320"/>
    <n v="38"/>
    <n v="4.5"/>
    <x v="1"/>
    <x v="3"/>
    <x v="0"/>
    <x v="0"/>
    <m/>
    <m/>
    <m/>
    <m/>
    <m/>
    <m/>
    <m/>
    <m/>
  </r>
  <r>
    <s v="Call_8250"/>
    <x v="5"/>
    <x v="77"/>
    <x v="1"/>
    <x v="321"/>
    <n v="82"/>
    <n v="2.1"/>
    <x v="1"/>
    <x v="4"/>
    <x v="0"/>
    <x v="3"/>
    <m/>
    <m/>
    <m/>
    <m/>
    <m/>
    <m/>
    <m/>
    <m/>
  </r>
  <r>
    <s v="Call_8251"/>
    <x v="14"/>
    <x v="34"/>
    <x v="3"/>
    <x v="322"/>
    <n v="88"/>
    <n v="2.8"/>
    <x v="1"/>
    <x v="0"/>
    <x v="0"/>
    <x v="1"/>
    <m/>
    <m/>
    <m/>
    <m/>
    <m/>
    <m/>
    <m/>
    <m/>
  </r>
  <r>
    <s v="Call_8252"/>
    <x v="3"/>
    <x v="129"/>
    <x v="4"/>
    <x v="322"/>
    <n v="42"/>
    <n v="4.0999999999999996"/>
    <x v="1"/>
    <x v="0"/>
    <x v="0"/>
    <x v="2"/>
    <m/>
    <m/>
    <m/>
    <m/>
    <m/>
    <m/>
    <m/>
    <m/>
  </r>
  <r>
    <s v="Call_8253"/>
    <x v="10"/>
    <x v="163"/>
    <x v="0"/>
    <x v="323"/>
    <n v="64"/>
    <n v="3.3"/>
    <x v="1"/>
    <x v="1"/>
    <x v="4"/>
    <x v="1"/>
    <m/>
    <m/>
    <m/>
    <m/>
    <m/>
    <m/>
    <m/>
    <m/>
  </r>
  <r>
    <s v="Call_8254"/>
    <x v="7"/>
    <x v="115"/>
    <x v="0"/>
    <x v="323"/>
    <n v="105"/>
    <n v="1.7"/>
    <x v="1"/>
    <x v="1"/>
    <x v="1"/>
    <x v="3"/>
    <m/>
    <m/>
    <m/>
    <m/>
    <m/>
    <m/>
    <m/>
    <m/>
  </r>
  <r>
    <s v="Call_8255"/>
    <x v="1"/>
    <x v="20"/>
    <x v="2"/>
    <x v="323"/>
    <n v="25"/>
    <n v="3.6"/>
    <x v="1"/>
    <x v="1"/>
    <x v="2"/>
    <x v="2"/>
    <m/>
    <m/>
    <m/>
    <m/>
    <m/>
    <m/>
    <m/>
    <m/>
  </r>
  <r>
    <s v="Call_8256"/>
    <x v="0"/>
    <x v="31"/>
    <x v="1"/>
    <x v="324"/>
    <n v="176"/>
    <n v="3.6"/>
    <x v="1"/>
    <x v="2"/>
    <x v="0"/>
    <x v="2"/>
    <m/>
    <m/>
    <m/>
    <m/>
    <m/>
    <m/>
    <m/>
    <m/>
  </r>
  <r>
    <s v="Call_8257"/>
    <x v="0"/>
    <x v="32"/>
    <x v="3"/>
    <x v="325"/>
    <n v="46"/>
    <n v="4.5999999999999996"/>
    <x v="1"/>
    <x v="3"/>
    <x v="0"/>
    <x v="0"/>
    <m/>
    <m/>
    <m/>
    <m/>
    <m/>
    <m/>
    <m/>
    <m/>
  </r>
  <r>
    <s v="Call_8258"/>
    <x v="9"/>
    <x v="113"/>
    <x v="0"/>
    <x v="325"/>
    <n v="164"/>
    <n v="4.8"/>
    <x v="1"/>
    <x v="3"/>
    <x v="0"/>
    <x v="0"/>
    <m/>
    <m/>
    <m/>
    <m/>
    <m/>
    <m/>
    <m/>
    <m/>
  </r>
  <r>
    <s v="Call_8259"/>
    <x v="10"/>
    <x v="55"/>
    <x v="0"/>
    <x v="326"/>
    <n v="64"/>
    <n v="4.5"/>
    <x v="1"/>
    <x v="4"/>
    <x v="1"/>
    <x v="0"/>
    <m/>
    <m/>
    <m/>
    <m/>
    <m/>
    <m/>
    <m/>
    <m/>
  </r>
  <r>
    <s v="Call_8260"/>
    <x v="8"/>
    <x v="96"/>
    <x v="4"/>
    <x v="326"/>
    <n v="205"/>
    <n v="4.5"/>
    <x v="1"/>
    <x v="4"/>
    <x v="0"/>
    <x v="0"/>
    <m/>
    <m/>
    <m/>
    <m/>
    <m/>
    <m/>
    <m/>
    <m/>
  </r>
  <r>
    <s v="Call_8261"/>
    <x v="2"/>
    <x v="155"/>
    <x v="4"/>
    <x v="327"/>
    <n v="100"/>
    <n v="4.5999999999999996"/>
    <x v="1"/>
    <x v="5"/>
    <x v="1"/>
    <x v="0"/>
    <m/>
    <m/>
    <m/>
    <m/>
    <m/>
    <m/>
    <m/>
    <m/>
  </r>
  <r>
    <s v="Call_8262"/>
    <x v="4"/>
    <x v="101"/>
    <x v="1"/>
    <x v="327"/>
    <n v="111"/>
    <n v="4.5999999999999996"/>
    <x v="1"/>
    <x v="5"/>
    <x v="2"/>
    <x v="0"/>
    <m/>
    <m/>
    <m/>
    <m/>
    <m/>
    <m/>
    <m/>
    <m/>
  </r>
  <r>
    <s v="Call_8263"/>
    <x v="3"/>
    <x v="77"/>
    <x v="2"/>
    <x v="327"/>
    <n v="80"/>
    <n v="3.5"/>
    <x v="1"/>
    <x v="5"/>
    <x v="0"/>
    <x v="2"/>
    <m/>
    <m/>
    <m/>
    <m/>
    <m/>
    <m/>
    <m/>
    <m/>
  </r>
  <r>
    <s v="Call_8264"/>
    <x v="10"/>
    <x v="48"/>
    <x v="3"/>
    <x v="327"/>
    <n v="50"/>
    <n v="2.9"/>
    <x v="1"/>
    <x v="5"/>
    <x v="0"/>
    <x v="1"/>
    <m/>
    <m/>
    <m/>
    <m/>
    <m/>
    <m/>
    <m/>
    <m/>
  </r>
  <r>
    <s v="Call_8265"/>
    <x v="3"/>
    <x v="97"/>
    <x v="0"/>
    <x v="328"/>
    <n v="165"/>
    <n v="4.7"/>
    <x v="1"/>
    <x v="6"/>
    <x v="0"/>
    <x v="0"/>
    <m/>
    <m/>
    <m/>
    <m/>
    <m/>
    <m/>
    <m/>
    <m/>
  </r>
  <r>
    <s v="Call_8266"/>
    <x v="8"/>
    <x v="22"/>
    <x v="0"/>
    <x v="328"/>
    <n v="28"/>
    <n v="3.9"/>
    <x v="1"/>
    <x v="6"/>
    <x v="0"/>
    <x v="2"/>
    <m/>
    <m/>
    <m/>
    <m/>
    <m/>
    <m/>
    <m/>
    <m/>
  </r>
  <r>
    <s v="Call_8267"/>
    <x v="5"/>
    <x v="76"/>
    <x v="3"/>
    <x v="328"/>
    <n v="215"/>
    <n v="3.8"/>
    <x v="1"/>
    <x v="6"/>
    <x v="1"/>
    <x v="2"/>
    <m/>
    <m/>
    <m/>
    <m/>
    <m/>
    <m/>
    <m/>
    <m/>
  </r>
  <r>
    <s v="Call_8268"/>
    <x v="7"/>
    <x v="148"/>
    <x v="0"/>
    <x v="329"/>
    <n v="115"/>
    <n v="2.2999999999999998"/>
    <x v="1"/>
    <x v="0"/>
    <x v="1"/>
    <x v="3"/>
    <m/>
    <m/>
    <m/>
    <m/>
    <m/>
    <m/>
    <m/>
    <m/>
  </r>
  <r>
    <s v="Call_8269"/>
    <x v="6"/>
    <x v="114"/>
    <x v="0"/>
    <x v="329"/>
    <n v="64"/>
    <n v="3.7"/>
    <x v="1"/>
    <x v="0"/>
    <x v="1"/>
    <x v="2"/>
    <m/>
    <m/>
    <m/>
    <m/>
    <m/>
    <m/>
    <m/>
    <m/>
  </r>
  <r>
    <s v="Call_8270"/>
    <x v="9"/>
    <x v="59"/>
    <x v="2"/>
    <x v="329"/>
    <n v="40"/>
    <n v="3.9"/>
    <x v="1"/>
    <x v="0"/>
    <x v="0"/>
    <x v="2"/>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BD46A-B421-4EAA-AC65-D21B3AE2E451}" name="Call_Dat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22">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6"/>
  </dataFields>
  <formats count="1">
    <format dxfId="4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F4566B-9DAD-4A55-BA8D-2DF64FF8CE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2">
    <pivotField showAll="0"/>
    <pivotField axis="axisRow" showAll="0" measureFilter="1">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h="1" x="1"/>
        <item h="1" x="4"/>
        <item h="1" x="3"/>
        <item h="1" x="0"/>
        <item t="default"/>
      </items>
    </pivotField>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3"/>
    </i>
    <i>
      <x v="6"/>
    </i>
    <i>
      <x v="8"/>
    </i>
    <i>
      <x v="10"/>
    </i>
    <i>
      <x v="11"/>
    </i>
    <i>
      <x v="12"/>
    </i>
    <i>
      <x v="13"/>
    </i>
    <i>
      <x v="14"/>
    </i>
    <i t="grand">
      <x/>
    </i>
  </rowItems>
  <colItems count="1">
    <i/>
  </colItems>
  <dataFields count="1">
    <dataField name="Sum of Purchase Amount" fld="5"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618EC7-6F7E-4E7A-9B6F-38F28B774B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 firstHeaderRow="1" firstDataRow="1" firstDataCol="1"/>
  <pivotFields count="22">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5">
    <i>
      <x/>
    </i>
    <i>
      <x v="1"/>
    </i>
    <i>
      <x v="2"/>
    </i>
    <i>
      <x v="3"/>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655E66-A445-4EDC-BCE6-0E0458EF7E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22">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x="3"/>
        <item h="1" x="0"/>
        <item t="default"/>
      </items>
    </pivotField>
    <pivotField axis="axisRow"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4">
        <item x="0"/>
        <item x="1"/>
        <item x="2"/>
        <item x="3"/>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1"/>
    <field x="20"/>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226EBE-83F8-4FF3-9A91-2A17F5057ED9}" name="Call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12:C2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1"/>
          </reference>
        </references>
      </pivotArea>
    </chartFormat>
    <chartFormat chart="27" format="5"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_2].[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23"/>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hr s xl.xlsx!Data__2">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EF24CF-8488-4383-8FB8-DD6175B386AE}"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2:E67" firstHeaderRow="1" firstDataRow="2"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s>
  <rowFields count="1">
    <field x="1"/>
  </rowFields>
  <rowItems count="4">
    <i>
      <x/>
    </i>
    <i>
      <x v="1"/>
    </i>
    <i>
      <x v="2"/>
    </i>
    <i t="grand">
      <x/>
    </i>
  </rowItems>
  <colFields count="1">
    <field x="2"/>
  </colFields>
  <colItems count="3">
    <i>
      <x/>
    </i>
    <i>
      <x v="1"/>
    </i>
    <i t="grand">
      <x/>
    </i>
  </colItems>
  <dataFields count="1">
    <dataField fld="0" subtotal="count" baseField="0" baseItem="0"/>
  </dataFields>
  <chartFormats count="4">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2D51FB-5529-45D6-AC7B-5EAC54600491}" name="Summa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hr s xl.xlsx!Data__2">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6B3F3B-DE54-485A-9B9A-10653288DD74}" name="Satisfica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77:C8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_2].[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32A912-485E-4D7E-B3E3-2C484D61F104}"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3">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_2].[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4 hr s xl.xlsx!Data__2">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208DBE-B25F-4A00-A0A4-CA6BF8D4E0FD}" name="SEL Pivots" cacheId="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B57:B5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7">
      <pivotArea dataOnly="0" labelOnly="1" fieldPosition="0">
        <references count="1">
          <reference field="0" count="0"/>
        </references>
      </pivotArea>
    </format>
  </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320F2E-F764-40F9-9281-8581131AAA09}" name="PivotTable9"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F35:G4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9">
    <chartFormat chart="7"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 chart="7" format="4">
      <pivotArea type="data" outline="0" fieldPosition="0">
        <references count="2">
          <reference field="4294967294" count="1" selected="0">
            <x v="0"/>
          </reference>
          <reference field="0" count="1" selected="0">
            <x v="0"/>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 chart="7" format="6">
      <pivotArea type="data" outline="0" fieldPosition="0">
        <references count="2">
          <reference field="4294967294" count="1" selected="0">
            <x v="0"/>
          </reference>
          <reference field="0" count="1" selected="0">
            <x v="5"/>
          </reference>
        </references>
      </pivotArea>
    </chartFormat>
    <chartFormat chart="7" format="7">
      <pivotArea type="data" outline="0" fieldPosition="0">
        <references count="2">
          <reference field="4294967294" count="1" selected="0">
            <x v="0"/>
          </reference>
          <reference field="0" count="1" selected="0">
            <x v="6"/>
          </reference>
        </references>
      </pivotArea>
    </chartFormat>
    <chartFormat chart="7" format="8">
      <pivotArea type="data" outline="0" fieldPosition="0">
        <references count="2">
          <reference field="4294967294" count="1" selected="0">
            <x v="0"/>
          </reference>
          <reference field="0" count="1" selected="0">
            <x v="4"/>
          </reference>
        </references>
      </pivotArea>
    </chartFormat>
    <chartFormat chart="7" format="9">
      <pivotArea type="data" outline="0" fieldPosition="0">
        <references count="2">
          <reference field="4294967294" count="1" selected="0">
            <x v="0"/>
          </reference>
          <reference field="0"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_2].[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AB6E1DF-D214-4E61-8249-5E5E1D19D270}" name="Total analysis" cacheId="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B97:D116"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1">
        <item s="1" x="0"/>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2">
    <i>
      <x/>
    </i>
    <i t="grand">
      <x/>
    </i>
  </colItems>
  <dataFields count="1">
    <dataField fld="3" subtotal="count" baseField="0" baseItem="0"/>
  </dataField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
    <rowHierarchyUsage hierarchyUsage="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D61E6F-CF38-47C3-A56A-4423E6BEB042}" name="reps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7:D5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6" xr16:uid="{1CA23823-3C0B-4A0C-9FD8-D58B267275D2}" autoFormatId="16" applyNumberFormats="0" applyBorderFormats="0" applyFontFormats="0" applyPatternFormats="0" applyAlignmentFormats="0" applyWidthHeightFormats="0">
  <queryTableRefresh nextId="10">
    <queryTableFields count="9">
      <queryTableField id="1" name="Emp ID" tableColumnId="1"/>
      <queryTableField id="2" name="Name" tableColumnId="2"/>
      <queryTableField id="3" name="Gender" tableColumnId="3"/>
      <queryTableField id="4" name="Department" tableColumnId="4"/>
      <queryTableField id="5" name="Salary" tableColumnId="5"/>
      <queryTableField id="6" name="Start Date" tableColumnId="6"/>
      <queryTableField id="7" name="FTE" tableColumnId="7"/>
      <queryTableField id="8" name="Employee type" tableColumnId="8"/>
      <queryTableField id="9" name="Work location"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8" xr16:uid="{5889F856-FA70-42E9-A4A2-A58A2AB198D8}" autoFormatId="16" applyNumberFormats="0" applyBorderFormats="0" applyFontFormats="0" applyPatternFormats="0" applyAlignmentFormats="0" applyWidthHeightFormats="0">
  <queryTableRefresh nextId="8">
    <queryTableFields count="7">
      <queryTableField id="1" name="Rank" tableColumnId="1"/>
      <queryTableField id="2" name="NOC" tableColumnId="2"/>
      <queryTableField id="3" name="Gold" tableColumnId="3"/>
      <queryTableField id="4" name="Silver" tableColumnId="4"/>
      <queryTableField id="5" name="Bronze" tableColumnId="5"/>
      <queryTableField id="6" name="Total" tableColumnId="6"/>
      <queryTableField id="7" name="Divis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9" xr16:uid="{48645511-9CCF-428C-8394-DEE57A577A0F}" autoFormatId="16" applyNumberFormats="0" applyBorderFormats="0" applyFontFormats="0" applyPatternFormats="0" applyAlignmentFormats="0" applyWidthHeightFormats="0">
  <queryTableRefresh nextId="16" unboundColumnsRight="1">
    <queryTableFields count="15">
      <queryTableField id="1" name="Emp ID" tableColumnId="1"/>
      <queryTableField id="2" name="First Name" tableColumnId="2"/>
      <queryTableField id="3" name="Sencond Name" tableColumnId="3"/>
      <queryTableField id="4" name="Gender" tableColumnId="4"/>
      <queryTableField id="5" name="Department" tableColumnId="5"/>
      <queryTableField id="6" name="Salary" tableColumnId="6"/>
      <queryTableField id="7" name="Salary Bucket" tableColumnId="7"/>
      <queryTableField id="8" name="Start Date" tableColumnId="8"/>
      <queryTableField id="9" name="FTE" tableColumnId="9"/>
      <queryTableField id="10" name="work type." tableColumnId="10"/>
      <queryTableField id="11" name="Employee type" tableColumnId="11"/>
      <queryTableField id="12" name="Work location" tableColumnId="12"/>
      <queryTableField id="13" name="Age" tableColumnId="13"/>
      <queryTableField id="14" name="Total Years" tableColumnId="14"/>
      <queryTableField id="15" dataBound="0"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34330F9-69AB-4DB8-A456-1989C473AD40}" autoFormatId="16" applyNumberFormats="0" applyBorderFormats="0" applyFontFormats="0" applyPatternFormats="0" applyAlignmentFormats="0" applyWidthHeightFormats="0">
  <queryTableRefresh nextId="20">
    <queryTableFields count="19">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A4CE7D2B-4B2F-4857-B227-879EB139A6E6}" autoFormatId="16" applyNumberFormats="0" applyBorderFormats="0" applyFontFormats="0" applyPatternFormats="0" applyAlignmentFormats="0" applyWidthHeightFormats="0">
  <queryTableRefresh nextId="20">
    <queryTableFields count="19">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60142912-7F6B-44EF-9320-7DE820A0897B}" autoFormatId="16" applyNumberFormats="0" applyBorderFormats="0" applyFontFormats="0" applyPatternFormats="0" applyAlignmentFormats="0" applyWidthHeightFormats="0">
  <queryTableRefresh nextId="22">
    <queryTableFields count="21">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 id="20" name="Data__2[Date of Call (Month)]" tableColumnId="20"/>
      <queryTableField id="21" name="Data__2[Date of Call (Month Index)]" tableColumnId="21"/>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E3BE8834-46B6-4FBC-94C1-7AB7BA9EADAE}" autoFormatId="16" applyNumberFormats="0" applyBorderFormats="0" applyFontFormats="0" applyPatternFormats="0" applyAlignmentFormats="0" applyWidthHeightFormats="0">
  <queryTableRefresh nextId="22">
    <queryTableFields count="21">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 id="20" name="Data__2[Date of Call (Month)]" tableColumnId="20"/>
      <queryTableField id="21" name="Data__2[Date of Call (Month Index)]" tableColumnId="21"/>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DCE8D613-1C3C-4AED-889B-DB8C5EA1B218}" autoFormatId="16" applyNumberFormats="0" applyBorderFormats="0" applyFontFormats="0" applyPatternFormats="0" applyAlignmentFormats="0" applyWidthHeightFormats="0">
  <queryTableRefresh nextId="22">
    <queryTableFields count="21">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 id="20" name="Data__2[Date of Call (Month)]" tableColumnId="20"/>
      <queryTableField id="21" name="Data__2[Date of Call (Month Index)]" tableColumnId="21"/>
    </queryTableFields>
  </queryTableRefresh>
  <extLst>
    <ext xmlns:x15="http://schemas.microsoft.com/office/spreadsheetml/2010/11/main" uri="{883FBD77-0823-4a55-B5E3-86C4891E6966}">
      <x15:queryTable drillThrough="1"/>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6BFE5755-31CA-4599-BA7D-4B9761A9F7EB}" autoFormatId="16" applyNumberFormats="0" applyBorderFormats="0" applyFontFormats="0" applyPatternFormats="0" applyAlignmentFormats="0" applyWidthHeightFormats="0">
  <queryTableRefresh nextId="22">
    <queryTableFields count="21">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 id="20" name="Data__2[Date of Call (Month)]" tableColumnId="20"/>
      <queryTableField id="21" name="Data__2[Date of Call (Month Index)]" tableColumnId="21"/>
    </queryTableFields>
  </queryTableRefresh>
  <extLst>
    <ext xmlns:x15="http://schemas.microsoft.com/office/spreadsheetml/2010/11/main" uri="{883FBD77-0823-4a55-B5E3-86C4891E6966}">
      <x15:queryTable drillThrough="1"/>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2B9CC1D6-4CA3-4042-8E72-2BD4548C41BA}" autoFormatId="16" applyNumberFormats="0" applyBorderFormats="0" applyFontFormats="0" applyPatternFormats="0" applyAlignmentFormats="0" applyWidthHeightFormats="0">
  <queryTableRefresh nextId="20">
    <queryTableFields count="19">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s>
  </queryTableRefresh>
  <extLst>
    <ext xmlns:x15="http://schemas.microsoft.com/office/spreadsheetml/2010/11/main" uri="{883FBD77-0823-4a55-B5E3-86C4891E6966}">
      <x15:queryTable drillThrough="1"/>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916390CD-C89B-4E29-8EC7-37C5DE62B41F}" autoFormatId="16" applyNumberFormats="0" applyBorderFormats="0" applyFontFormats="0" applyPatternFormats="0" applyAlignmentFormats="0" applyWidthHeightFormats="0">
  <queryTableRefresh nextId="22">
    <queryTableFields count="21">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 id="20" name="Data__2[Date of Call (Month)]" tableColumnId="20"/>
      <queryTableField id="21" name="Data__2[Date of Call (Month Index)]" tableColumnId="21"/>
    </queryTableFields>
  </queryTableRefresh>
  <extLst>
    <ext xmlns:x15="http://schemas.microsoft.com/office/spreadsheetml/2010/11/main" uri="{883FBD77-0823-4a55-B5E3-86C4891E6966}">
      <x15:queryTable drillThrough="1"/>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419882C4-5125-49EC-A6B6-25066842B8EF}" autoFormatId="16" applyNumberFormats="0" applyBorderFormats="0" applyFontFormats="0" applyPatternFormats="0" applyAlignmentFormats="0" applyWidthHeightFormats="0">
  <queryTableRefresh nextId="22">
    <queryTableFields count="21">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 id="20" name="Data__2[Date of Call (Month)]" tableColumnId="20"/>
      <queryTableField id="21" name="Data__2[Date of Call (Month Index)]" tableColumnId="21"/>
    </queryTableFields>
  </queryTableRefresh>
  <extLst>
    <ext xmlns:x15="http://schemas.microsoft.com/office/spreadsheetml/2010/11/main" uri="{883FBD77-0823-4a55-B5E3-86C4891E6966}">
      <x15:queryTable drillThrough="1"/>
    </ext>
  </extLst>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218913B4-7166-4E96-A35D-E905B9322FBE}" autoFormatId="16" applyNumberFormats="0" applyBorderFormats="0" applyFontFormats="0" applyPatternFormats="0" applyAlignmentFormats="0" applyWidthHeightFormats="0">
  <queryTableRefresh nextId="22">
    <queryTableFields count="21">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 id="20" name="Data__2[Date of Call (Month)]" tableColumnId="20"/>
      <queryTableField id="21" name="Data__2[Date of Call (Month Index)]" tableColumnId="21"/>
    </queryTableFields>
  </queryTableRefresh>
  <extLst>
    <ext xmlns:x15="http://schemas.microsoft.com/office/spreadsheetml/2010/11/main" uri="{883FBD77-0823-4a55-B5E3-86C4891E6966}">
      <x15:queryTable drillThrough="1"/>
    </ext>
  </extLst>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47F98D48-A38E-4816-8D0F-655DD2E7FFB6}" autoFormatId="16" applyNumberFormats="0" applyBorderFormats="0" applyFontFormats="0" applyPatternFormats="0" applyAlignmentFormats="0" applyWidthHeightFormats="0">
  <queryTableRefresh nextId="22">
    <queryTableFields count="21">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 id="20" name="Data__2[Date of Call (Month)]" tableColumnId="20"/>
      <queryTableField id="21" name="Data__2[Date of Call (Month Index)]" tableColumnId="21"/>
    </queryTableFields>
  </queryTableRefresh>
  <extLst>
    <ext xmlns:x15="http://schemas.microsoft.com/office/spreadsheetml/2010/11/main" uri="{883FBD77-0823-4a55-B5E3-86C4891E6966}">
      <x15:queryTable drillThrough="1"/>
    </ext>
  </extLst>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BAD236A5-C179-446F-AF3D-58C76B0B8F57}" autoFormatId="16" applyNumberFormats="0" applyBorderFormats="0" applyFontFormats="0" applyPatternFormats="0" applyAlignmentFormats="0" applyWidthHeightFormats="0">
  <queryTableRefresh nextId="22">
    <queryTableFields count="21">
      <queryTableField id="1" name="Data__2[Call number]" tableColumnId="1"/>
      <queryTableField id="2" name="Data__2[Customer ID]" tableColumnId="2"/>
      <queryTableField id="3" name="Data__2[Duration]" tableColumnId="3"/>
      <queryTableField id="4" name="Data__2[Representative]" tableColumnId="4"/>
      <queryTableField id="5" name="Data__2[Date of Call]" tableColumnId="5"/>
      <queryTableField id="6" name="Data__2[Purchase Amount]" tableColumnId="6"/>
      <queryTableField id="7" name="Data__2[Satisfaction Rating]" tableColumnId="7"/>
      <queryTableField id="8" name="Data__2[FY]" tableColumnId="8"/>
      <queryTableField id="9" name="Data__2[Day of week]" tableColumnId="9"/>
      <queryTableField id="10" name="Data__2[Duration Bucket]" tableColumnId="10"/>
      <queryTableField id="11" name="Data__2[Rating rounded]" tableColumnId="11"/>
      <queryTableField id="12" name="Data__2[employee tpe]" tableColumnId="12"/>
      <queryTableField id="13" name="Data__2[Column2]" tableColumnId="13"/>
      <queryTableField id="14" name="Data__2[Column3]" tableColumnId="14"/>
      <queryTableField id="15" name="Data__2[Column4]" tableColumnId="15"/>
      <queryTableField id="16" name="Data__2[Customer ID2]" tableColumnId="16"/>
      <queryTableField id="17" name="Data__2[Gedner]" tableColumnId="17"/>
      <queryTableField id="18" name="Data__2[Age]" tableColumnId="18"/>
      <queryTableField id="19" name="Data__2[City]" tableColumnId="19"/>
      <queryTableField id="20" name="Data__2[Date of Call (Month)]" tableColumnId="20"/>
      <queryTableField id="21" name="Data__2[Date of Call (Month Index)]" tableColumnId="21"/>
    </queryTableFields>
  </queryTableRefresh>
  <extLst>
    <ext xmlns:x15="http://schemas.microsoft.com/office/spreadsheetml/2010/11/main" uri="{883FBD77-0823-4a55-B5E3-86C4891E6966}">
      <x15:queryTable drillThrough="1"/>
    </ext>
  </extLst>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4" connectionId="17" xr16:uid="{003A0A69-011D-4142-B5E3-F5CC1A7C8F02}" autoFormatId="16" applyNumberFormats="0" applyBorderFormats="0" applyFontFormats="0" applyPatternFormats="0" applyAlignmentFormats="0" applyWidthHeightFormats="0">
  <queryTableRefresh nextId="20">
    <queryTableFields count="19">
      <queryTableField id="1" name="Call Centre Data"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3" connectionId="13" xr16:uid="{9B7F6A1B-9C07-4A59-9BBB-4357DE42C26F}" autoFormatId="16" applyNumberFormats="0" applyBorderFormats="0" applyFontFormats="0" applyPatternFormats="0" applyAlignmentFormats="0" applyWidthHeightFormats="0">
  <queryTableRefresh nextId="3">
    <queryTableFields count="2">
      <queryTableField id="1" name="Rep ID" tableColumnId="1"/>
      <queryTableField id="2" name="Rep Image" tableColumnId="2"/>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2" connectionId="15" xr16:uid="{721A8250-331D-4124-BFAF-DE478BF668DD}" autoFormatId="16" applyNumberFormats="0" applyBorderFormats="0" applyFontFormats="0" applyPatternFormats="0" applyAlignmentFormats="0" applyWidthHeightFormats="0">
  <queryTableRefresh nextId="5">
    <queryTableFields count="4">
      <queryTableField id="1" name="Customer ID" tableColumnId="1"/>
      <queryTableField id="2" name="Gedner" tableColumnId="2"/>
      <queryTableField id="3" name="Age" tableColumnId="3"/>
      <queryTableField id="4" name="City" tableColumnId="4"/>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connectionId="14" xr16:uid="{F476A86A-8557-4AA3-ADBE-CDE7F8B98710}" autoFormatId="16" applyNumberFormats="0" applyBorderFormats="0" applyFontFormats="0" applyPatternFormats="0" applyAlignmentFormats="0" applyWidthHeightFormats="0">
  <queryTableRefresh nextId="12">
    <queryTableFields count="11">
      <queryTableField id="1" name="Call number" tableColumnId="1"/>
      <queryTableField id="2" name="Customer ID" tableColumnId="2"/>
      <queryTableField id="3" name="Duration" tableColumnId="3"/>
      <queryTableField id="4" name="Representative" tableColumnId="4"/>
      <queryTableField id="5" name="Date of Call" tableColumnId="5"/>
      <queryTableField id="6" name="Purchase Amount" tableColumnId="6"/>
      <queryTableField id="7" name="Satisfaction Rating" tableColumnId="7"/>
      <queryTableField id="8" name="FY" tableColumnId="8"/>
      <queryTableField id="9" name="Day of week" tableColumnId="9"/>
      <queryTableField id="10" name="Duration Bucket" tableColumnId="10"/>
      <queryTableField id="11" name="Rating rounded" tableColumnId="11"/>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6</v>
    <v>8</v>
    <v>17</v>
    <v>1</v>
  </rv>
</rvData>
</file>

<file path=xl/richData/rdrichvaluestructure.xml><?xml version="1.0" encoding="utf-8"?>
<rvStructures xmlns="http://schemas.microsoft.com/office/spreadsheetml/2017/richdata" count="2">
  <s t="_error">
    <k n="errorType" t="i"/>
    <k n="subType" t="i"/>
  </s>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06520ED-8695-4C0A-A72E-E9784696CC54}" sourceName="Representative">
  <pivotTables>
    <pivotTable tabId="16" name="PivotTable3"/>
  </pivotTables>
  <data>
    <tabular pivotCacheId="943513674">
      <items count="5">
        <i x="2" s="1"/>
        <i x="1"/>
        <i x="4"/>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F1D1326B-24BD-4894-9B09-F72B5D3D5D0C}" sourceName="Representative">
  <pivotTables>
    <pivotTable tabId="18" name="PivotTable5"/>
  </pivotTables>
  <data>
    <tabular pivotCacheId="943513674">
      <items count="5">
        <i x="2"/>
        <i x="1"/>
        <i x="4"/>
        <i x="3"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39906CA5-62A9-4DCD-B9FB-6E47DF732639}" sourceName="[Data__2].[Representative]">
  <pivotTables>
    <pivotTable tabId="48" name="Rep Pivot"/>
    <pivotTable tabId="48" name="Call Trend"/>
    <pivotTable tabId="48" name="PivotTable9"/>
    <pivotTable tabId="48" name="SEL Pivots"/>
    <pivotTable tabId="48" name="Satisfication"/>
    <pivotTable tabId="48" name="Total analysis"/>
  </pivotTables>
  <data>
    <olap pivotCacheId="1685139448">
      <levels count="2">
        <level uniqueName="[Data__2].[Representative].[(All)]" sourceCaption="(All)" count="0"/>
        <level uniqueName="[Data__2].[Representative].[Representative]" sourceCaption="Representative" count="5">
          <ranges>
            <range startItem="0">
              <i n="[Data__2].[Representative].&amp;[R01]" c="R01"/>
              <i n="[Data__2].[Representative].&amp;[R02]" c="R02"/>
              <i n="[Data__2].[Representative].&amp;[R03]" c="R03"/>
              <i n="[Data__2].[Representative].&amp;[R04]" c="R04"/>
              <i n="[Data__2].[Representative].&amp;[R05]" c="R05"/>
            </range>
          </ranges>
        </level>
      </levels>
      <selections count="1">
        <selection n="[Data__2].[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83624C78-1DBC-4BE4-A6F6-947FDC4AFACA}" cache="Slicer_Representative"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A507E15C-06A3-40B8-AE82-0C42D0154E3E}" cache="Slicer_Representative1" caption="Representativ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47EBD5B6-4EE1-418A-A618-D23E51E86C14}" cache="Slicer_Representative2" caption="Representative"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DFB9954E-1C59-4FDC-B287-6FDE4E96513A}" cache="Slicer_Representative2" caption="Representative" startItem="1"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0054A5-26F8-463C-81B5-A84A32E21D1B}" name="data" displayName="data" ref="A1:I59" tableType="queryTable" totalsRowCount="1">
  <autoFilter ref="A1:I58" xr:uid="{730054A5-26F8-463C-81B5-A84A32E21D1B}"/>
  <sortState xmlns:xlrd2="http://schemas.microsoft.com/office/spreadsheetml/2017/richdata2" ref="A2:I58">
    <sortCondition descending="1" ref="E2:E58"/>
  </sortState>
  <tableColumns count="9">
    <tableColumn id="1" xr3:uid="{451450AE-4A24-4430-9677-61D93C2A9E61}" uniqueName="1" name="Emp ID" queryTableFieldId="1" dataDxfId="65"/>
    <tableColumn id="2" xr3:uid="{2F037758-DB00-451B-A5DC-80D511253694}" uniqueName="2" name="Name" queryTableFieldId="2" dataDxfId="64"/>
    <tableColumn id="3" xr3:uid="{54D14EAD-BA70-4642-BA36-54C2F7DF4AAE}" uniqueName="3" name="Gender" queryTableFieldId="3" dataDxfId="63"/>
    <tableColumn id="4" xr3:uid="{1D939210-9BAF-4368-B068-3747B67566B2}" uniqueName="4" name="Department" queryTableFieldId="4" dataDxfId="62"/>
    <tableColumn id="5" xr3:uid="{F93127F6-18E8-40EE-B277-72E5A63A18AC}" uniqueName="5" name="Salary" totalsRowFunction="custom" queryTableFieldId="5" dataDxfId="61" totalsRowDxfId="60">
      <totalsRowFormula>SUM(E2:E58)</totalsRowFormula>
    </tableColumn>
    <tableColumn id="6" xr3:uid="{E1DC492E-D752-4562-B192-3B8D2115C68D}" uniqueName="6" name="Start Date" queryTableFieldId="6" dataDxfId="59" totalsRowDxfId="58"/>
    <tableColumn id="7" xr3:uid="{A0EEBD05-7F01-4D72-B68B-528E2E1EB095}" uniqueName="7" name="FTE" totalsRowFunction="custom" queryTableFieldId="7">
      <totalsRowFormula>SUM(G2:G58)</totalsRowFormula>
    </tableColumn>
    <tableColumn id="8" xr3:uid="{E33E400F-554D-4B59-A228-3084185C3A0B}" uniqueName="8" name="Employee type" queryTableFieldId="8" dataDxfId="57"/>
    <tableColumn id="9" xr3:uid="{1D4B9241-3AFA-40E3-AB92-891C76A8A294}" uniqueName="9" name="Work location" queryTableFieldId="9" dataDxfId="5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A705DE-A069-4349-9D61-09B750F1B458}" name="medals" displayName="medals" ref="A1:G95" tableType="queryTable" totalsRowShown="0">
  <autoFilter ref="A1:G95" xr:uid="{D8A705DE-A069-4349-9D61-09B750F1B458}"/>
  <tableColumns count="7">
    <tableColumn id="1" xr3:uid="{CB10B686-25E6-4CF2-8FCA-CDB541790E1D}" uniqueName="1" name="Rank" queryTableFieldId="1" dataDxfId="55"/>
    <tableColumn id="2" xr3:uid="{6A358455-3A4B-4645-BF78-DD2A764E1B97}" uniqueName="2" name="NOC" queryTableFieldId="2" dataDxfId="54"/>
    <tableColumn id="3" xr3:uid="{1E75495C-D4D0-4845-A21F-DBFCA1B72527}" uniqueName="3" name="Gold" queryTableFieldId="3"/>
    <tableColumn id="4" xr3:uid="{0850B280-C876-4825-9C45-504CA6FB01AD}" uniqueName="4" name="Silver" queryTableFieldId="4"/>
    <tableColumn id="5" xr3:uid="{711B60A4-C04D-463B-9FF1-E15C785229C5}" uniqueName="5" name="Bronze" queryTableFieldId="5"/>
    <tableColumn id="6" xr3:uid="{B0F5DDD0-4882-441C-BFAD-D49B5EF784F1}" uniqueName="6" name="Total" queryTableFieldId="6"/>
    <tableColumn id="7" xr3:uid="{D82A5539-D992-4BCC-8052-E19ED987C6FD}" uniqueName="7" name="Division" queryTableFieldId="7" dataDxfId="53" dataCellStyle="Percent"/>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96AD10-C4BB-45AF-82FE-DC548E6EB374}" name="Staff" displayName="Staff" ref="A1:O261" tableType="queryTable" totalsRowShown="0">
  <autoFilter ref="A1:O261" xr:uid="{D996AD10-C4BB-45AF-82FE-DC548E6EB374}"/>
  <tableColumns count="15">
    <tableColumn id="1" xr3:uid="{0F50149B-4F06-4816-A722-0A08B645A5CE}" uniqueName="1" name="Emp ID" queryTableFieldId="1" dataDxfId="52"/>
    <tableColumn id="2" xr3:uid="{DD5F93E6-3BEF-4C4D-8993-98F55968FDF5}" uniqueName="2" name="First Name" queryTableFieldId="2" dataDxfId="51"/>
    <tableColumn id="3" xr3:uid="{A529671C-43D0-4F58-B715-76AC9D0287C9}" uniqueName="3" name="Sencond Name" queryTableFieldId="3" dataDxfId="50"/>
    <tableColumn id="4" xr3:uid="{6220BD22-E666-47EC-8FD1-52287C189741}" uniqueName="4" name="Gender" queryTableFieldId="4" dataDxfId="49"/>
    <tableColumn id="5" xr3:uid="{9E71E035-95D5-4556-A136-3B4D61BF959B}" uniqueName="5" name="Department" queryTableFieldId="5" dataDxfId="48"/>
    <tableColumn id="6" xr3:uid="{F6F8503E-C0EC-432E-A320-2DBCF2F16895}" uniqueName="6" name="Salary" queryTableFieldId="6" dataDxfId="47" dataCellStyle="Currency"/>
    <tableColumn id="7" xr3:uid="{AE8F0F03-D4DC-45DD-B2A5-D6E445A84D1D}" uniqueName="7" name="Salary Bucket" queryTableFieldId="7"/>
    <tableColumn id="8" xr3:uid="{FC4E0655-E4A8-46AA-A763-9497C8E756D0}" uniqueName="8" name="Start Date" queryTableFieldId="8" dataDxfId="46"/>
    <tableColumn id="9" xr3:uid="{6A6B236F-8A47-4BA0-81EA-45C5A015DF9D}" uniqueName="9" name="FTE" queryTableFieldId="9"/>
    <tableColumn id="10" xr3:uid="{1C68251F-2880-4842-A9A9-A91F93395DD3}" uniqueName="10" name="work type." queryTableFieldId="10"/>
    <tableColumn id="11" xr3:uid="{B405EE15-DA12-4340-9BF3-27AD792B6401}" uniqueName="11" name="Employee type" queryTableFieldId="11" dataDxfId="45"/>
    <tableColumn id="12" xr3:uid="{934D7D89-5174-497A-AEBC-415F9CEDCBDA}" uniqueName="12" name="Work location" queryTableFieldId="12" dataDxfId="44"/>
    <tableColumn id="13" xr3:uid="{AF8F477B-3F06-4FFF-88A0-C362DE96E4E2}" uniqueName="13" name="Age" queryTableFieldId="13" dataDxfId="43"/>
    <tableColumn id="14" xr3:uid="{34F9C32B-B5CF-4FD6-90BA-4A673860FFAC}" uniqueName="14" name="Total Years" queryTableFieldId="14" dataDxfId="42"/>
    <tableColumn id="15" xr3:uid="{56C808A2-F47C-472F-A04F-278B22421703}" uniqueName="15" name="employee type2"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216D3C4-1075-4C72-9358-110ED86EBE0F}" name="Table8" displayName="Table8" ref="A3:S67" totalsRowShown="0">
  <autoFilter ref="A3:S67" xr:uid="{1216D3C4-1075-4C72-9358-110ED86EBE0F}"/>
  <tableColumns count="19">
    <tableColumn id="1" xr3:uid="{95721245-67AB-4761-9C50-0228FBC8D16C}" name="Call number"/>
    <tableColumn id="2" xr3:uid="{FA180BFD-38AB-4195-80C8-07732B8276D9}" name="Customer ID"/>
    <tableColumn id="3" xr3:uid="{7131FE1B-7567-4E1D-A40C-23BED2BE734A}" name="Duration"/>
    <tableColumn id="4" xr3:uid="{3ACC59F8-E55B-49BD-9F13-8D58AC9F5030}" name="Representative"/>
    <tableColumn id="5" xr3:uid="{4DCE8896-AD4D-44C1-8282-1EF8C743D3DC}" name="Date of Call" dataDxfId="40"/>
    <tableColumn id="6" xr3:uid="{78E028A0-1779-4EE1-9CAF-DF7FDA25EB32}" name="Purchase Amount"/>
    <tableColumn id="7" xr3:uid="{0A0D2B0C-D81A-4FD2-B327-EA2647356778}" name="Satisfaction Rating"/>
    <tableColumn id="8" xr3:uid="{8F29744E-0016-4277-8F97-B7FD46B3ED60}" name="FY"/>
    <tableColumn id="9" xr3:uid="{77407E39-687A-4F0D-97C7-9B5DA928F2CA}" name="Day of week"/>
    <tableColumn id="10" xr3:uid="{C27CD654-FB5A-472A-A51F-94E2E39961CD}" name="Duration Bucket"/>
    <tableColumn id="11" xr3:uid="{89D71E34-0072-454F-87DA-7B1793B9AF56}" name="Rating rounded"/>
    <tableColumn id="12" xr3:uid="{40CB5086-C355-4D5C-8939-E5E050426371}" name="employee type"/>
    <tableColumn id="13" xr3:uid="{615D7AC5-E920-47C3-971B-0A4471E5D468}" name="Column13"/>
    <tableColumn id="14" xr3:uid="{37FD14BC-5A28-4964-B19F-26E64D1DB069}" name="Column14"/>
    <tableColumn id="15" xr3:uid="{7978438C-6271-4612-AD2C-3856F4091E09}" name="Column15"/>
    <tableColumn id="16" xr3:uid="{CAAE9193-AA9C-45CE-AC96-3E30D0D93191}" name="Customer ID2"/>
    <tableColumn id="17" xr3:uid="{62A97850-C42C-4EC6-B24C-27064FC55103}" name="Gedner"/>
    <tableColumn id="18" xr3:uid="{1394C4CF-AE24-40E4-9FBA-784EA211B98D}" name="Age"/>
    <tableColumn id="19" xr3:uid="{AA9B7C6D-B1F2-4535-A548-238840D16E31}" name="Cit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6B3E6B-1A9C-4EC0-B7BC-C6A224DCDAF6}" name="Table_ExternalData_1" displayName="Table_ExternalData_1" ref="A3:S192" tableType="queryTable" totalsRowShown="0">
  <autoFilter ref="A3:S192" xr:uid="{2C6B3E6B-1A9C-4EC0-B7BC-C6A224DCDAF6}"/>
  <tableColumns count="19">
    <tableColumn id="1" xr3:uid="{2B7D3A6F-F541-48A1-BDF8-555E5D0487AB}" uniqueName="1" name="Data__2[Call number]" queryTableFieldId="1"/>
    <tableColumn id="2" xr3:uid="{BAC3A024-E0D2-4B09-8142-27514A22A607}" uniqueName="2" name="Data__2[Customer ID]" queryTableFieldId="2"/>
    <tableColumn id="3" xr3:uid="{2B79C553-0C75-412C-8D65-917E97967A51}" uniqueName="3" name="Data__2[Duration]" queryTableFieldId="3"/>
    <tableColumn id="4" xr3:uid="{ED748A26-B651-4932-B8A3-882D54ACF426}" uniqueName="4" name="Data__2[Representative]" queryTableFieldId="4"/>
    <tableColumn id="5" xr3:uid="{64E83336-7C5F-47D2-B2C3-BE638C4537EB}" uniqueName="5" name="Data__2[Date of Call]" queryTableFieldId="5" dataDxfId="39"/>
    <tableColumn id="6" xr3:uid="{2FF32317-FEF0-4183-A90A-DEE733AB187E}" uniqueName="6" name="Data__2[Purchase Amount]" queryTableFieldId="6"/>
    <tableColumn id="7" xr3:uid="{C4201402-B23B-48F3-9DB8-F22A748E0C7D}" uniqueName="7" name="Data__2[Satisfaction Rating]" queryTableFieldId="7"/>
    <tableColumn id="8" xr3:uid="{B05D41A4-FC73-452C-9B8B-003A6A4EADE9}" uniqueName="8" name="Data__2[FY]" queryTableFieldId="8"/>
    <tableColumn id="9" xr3:uid="{B0BA38BA-9C24-4364-ADB5-3CC013074008}" uniqueName="9" name="Data__2[Day of week]" queryTableFieldId="9"/>
    <tableColumn id="10" xr3:uid="{251ACE73-6BF8-4D14-ADA6-8EAACBE02BFE}" uniqueName="10" name="Data__2[Duration Bucket]" queryTableFieldId="10"/>
    <tableColumn id="11" xr3:uid="{27463BF8-A52B-4340-8E83-3AF7F13F9C64}" uniqueName="11" name="Data__2[Rating rounded]" queryTableFieldId="11"/>
    <tableColumn id="12" xr3:uid="{6F4F89AB-3018-46B3-B9D1-E1C334D4A4A2}" uniqueName="12" name="Data__2[employee tpe]" queryTableFieldId="12"/>
    <tableColumn id="13" xr3:uid="{03DD8752-C6D4-4E1A-AF34-B9B4ECA967BC}" uniqueName="13" name="Data__2[Column2]" queryTableFieldId="13"/>
    <tableColumn id="14" xr3:uid="{C6D49BA2-C0AC-4F43-9272-CB7F175133D3}" uniqueName="14" name="Data__2[Column3]" queryTableFieldId="14"/>
    <tableColumn id="15" xr3:uid="{B1C09CE4-BF8D-4D70-9D25-5D219D771E16}" uniqueName="15" name="Data__2[Column4]" queryTableFieldId="15"/>
    <tableColumn id="16" xr3:uid="{F895BCCD-F070-4EF3-AA16-1CE402A90DA3}" uniqueName="16" name="Data__2[Customer ID2]" queryTableFieldId="16"/>
    <tableColumn id="17" xr3:uid="{C665AE0F-0838-443D-BFEA-CDEDE4655D40}" uniqueName="17" name="Data__2[Gedner]" queryTableFieldId="17"/>
    <tableColumn id="18" xr3:uid="{1DEC486F-4503-4B3D-981B-E53C4E55D605}" uniqueName="18" name="Data__2[Age]" queryTableFieldId="18"/>
    <tableColumn id="19" xr3:uid="{9F6FE60B-B30F-4C4B-9931-914A57E57E0B}" uniqueName="19" name="Data__2[City]" queryTableFieldId="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C3697B-C11C-4CE0-B183-30D527C81E5B}" name="Table_ExternalData_114" displayName="Table_ExternalData_114" ref="A3:S189" tableType="queryTable" totalsRowShown="0">
  <autoFilter ref="A3:S189" xr:uid="{6EC3697B-C11C-4CE0-B183-30D527C81E5B}"/>
  <tableColumns count="19">
    <tableColumn id="1" xr3:uid="{B62ADECB-F556-4F79-89A9-C7788BE58A16}" uniqueName="1" name="Data__2[Call number]" queryTableFieldId="1"/>
    <tableColumn id="2" xr3:uid="{B0AC524E-EAC4-401D-9BC3-18EA829E7BAE}" uniqueName="2" name="Data__2[Customer ID]" queryTableFieldId="2"/>
    <tableColumn id="3" xr3:uid="{75D77579-6D35-4FAC-9AE8-35C2F9F4EBD9}" uniqueName="3" name="Data__2[Duration]" queryTableFieldId="3"/>
    <tableColumn id="4" xr3:uid="{663CF064-49D0-4F93-98D5-9CABB3F9DF2D}" uniqueName="4" name="Data__2[Representative]" queryTableFieldId="4"/>
    <tableColumn id="5" xr3:uid="{79E440BA-E5A8-4C60-95BA-99C8642B3027}" uniqueName="5" name="Data__2[Date of Call]" queryTableFieldId="5" dataDxfId="38"/>
    <tableColumn id="6" xr3:uid="{55F756D1-6E05-4526-8344-BBC771218A68}" uniqueName="6" name="Data__2[Purchase Amount]" queryTableFieldId="6"/>
    <tableColumn id="7" xr3:uid="{4E12B4CD-D344-49D7-AD9E-A53EA9B6DC86}" uniqueName="7" name="Data__2[Satisfaction Rating]" queryTableFieldId="7"/>
    <tableColumn id="8" xr3:uid="{F0A9E7B5-3809-41B7-8B41-DFCC13E7E2CB}" uniqueName="8" name="Data__2[FY]" queryTableFieldId="8"/>
    <tableColumn id="9" xr3:uid="{358CE36D-6AFC-40FE-AFF2-046066297F55}" uniqueName="9" name="Data__2[Day of week]" queryTableFieldId="9"/>
    <tableColumn id="10" xr3:uid="{637D713F-B51A-4076-9130-BF557C6E351A}" uniqueName="10" name="Data__2[Duration Bucket]" queryTableFieldId="10"/>
    <tableColumn id="11" xr3:uid="{B6664D64-0B47-4811-9C30-CECC3ECDD55C}" uniqueName="11" name="Data__2[Rating rounded]" queryTableFieldId="11"/>
    <tableColumn id="12" xr3:uid="{3FC36C7C-34D6-417F-A659-2C28ABEBA624}" uniqueName="12" name="Data__2[employee tpe]" queryTableFieldId="12"/>
    <tableColumn id="13" xr3:uid="{F109C8E7-D1E1-43A7-A108-F6FF293B8183}" uniqueName="13" name="Data__2[Column2]" queryTableFieldId="13"/>
    <tableColumn id="14" xr3:uid="{440C397C-AD37-43B7-959F-5D16FDD2A5C9}" uniqueName="14" name="Data__2[Column3]" queryTableFieldId="14"/>
    <tableColumn id="15" xr3:uid="{FAF078A2-1660-4E75-AF5A-E1C78E908DA7}" uniqueName="15" name="Data__2[Column4]" queryTableFieldId="15"/>
    <tableColumn id="16" xr3:uid="{B12DD9C6-436B-4459-87A0-FF714621C6FC}" uniqueName="16" name="Data__2[Customer ID2]" queryTableFieldId="16"/>
    <tableColumn id="17" xr3:uid="{D07388A5-9C32-4FBB-9217-9EF833D6A304}" uniqueName="17" name="Data__2[Gedner]" queryTableFieldId="17"/>
    <tableColumn id="18" xr3:uid="{DB129C0C-8A88-4F83-9DE2-41ACC2CD0D50}" uniqueName="18" name="Data__2[Age]" queryTableFieldId="18"/>
    <tableColumn id="19" xr3:uid="{811A297C-E954-4566-878E-EF8D7E895E35}" uniqueName="19" name="Data__2[City]" queryTableFieldId="1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C48D550-DDAE-4CC1-A272-A836835416E9}" name="Table_ExternalData_110" displayName="Table_ExternalData_110" ref="A3:U30" tableType="queryTable" totalsRowShown="0">
  <autoFilter ref="A3:U30" xr:uid="{7C48D550-DDAE-4CC1-A272-A836835416E9}"/>
  <tableColumns count="21">
    <tableColumn id="1" xr3:uid="{9A1B335D-9DE7-4EBE-8E5B-A0014630B0A3}" uniqueName="1" name="Data__2[Call number]" queryTableFieldId="1"/>
    <tableColumn id="2" xr3:uid="{A45BB17B-27DE-4E82-95EB-EA4C401C2313}" uniqueName="2" name="Data__2[Customer ID]" queryTableFieldId="2"/>
    <tableColumn id="3" xr3:uid="{294EE884-BFE7-493D-9788-2DA38F9CADDC}" uniqueName="3" name="Data__2[Duration]" queryTableFieldId="3"/>
    <tableColumn id="4" xr3:uid="{62B5FA03-2A0F-4D17-83FA-87059586CBE0}" uniqueName="4" name="Data__2[Representative]" queryTableFieldId="4"/>
    <tableColumn id="5" xr3:uid="{4BDFCA7D-8558-4DB9-ADCE-11DC9F8C2F0E}" uniqueName="5" name="Data__2[Date of Call]" queryTableFieldId="5" dataDxfId="37"/>
    <tableColumn id="6" xr3:uid="{01C4E50E-9EFD-4865-822E-D273F647498A}" uniqueName="6" name="Data__2[Purchase Amount]" queryTableFieldId="6"/>
    <tableColumn id="7" xr3:uid="{350BEE69-89BF-4869-906D-C9AF2F4D5F98}" uniqueName="7" name="Data__2[Satisfaction Rating]" queryTableFieldId="7"/>
    <tableColumn id="8" xr3:uid="{BC4C3F1B-2D87-4FFF-9BF6-FE300B62E775}" uniqueName="8" name="Data__2[FY]" queryTableFieldId="8"/>
    <tableColumn id="9" xr3:uid="{01E0FBE5-9A0A-4D0B-9342-6D68DCE64608}" uniqueName="9" name="Data__2[Day of week]" queryTableFieldId="9"/>
    <tableColumn id="10" xr3:uid="{F09FABAF-B522-4C8A-BD7A-450627E13563}" uniqueName="10" name="Data__2[Duration Bucket]" queryTableFieldId="10"/>
    <tableColumn id="11" xr3:uid="{98CEC026-B580-46D2-A1F6-2E7538B35B98}" uniqueName="11" name="Data__2[Rating rounded]" queryTableFieldId="11"/>
    <tableColumn id="12" xr3:uid="{7AD6F172-2731-42E0-A117-BCD101589A9E}" uniqueName="12" name="Data__2[employee tpe]" queryTableFieldId="12"/>
    <tableColumn id="13" xr3:uid="{5E6AA8AC-AA65-4F67-817E-A7BAF9B780EB}" uniqueName="13" name="Data__2[Column2]" queryTableFieldId="13"/>
    <tableColumn id="14" xr3:uid="{4692A58A-9389-42F4-8716-298128519703}" uniqueName="14" name="Data__2[Column3]" queryTableFieldId="14"/>
    <tableColumn id="15" xr3:uid="{3FE8CE70-88EE-4B57-A3EF-A111A77140E7}" uniqueName="15" name="Data__2[Column4]" queryTableFieldId="15"/>
    <tableColumn id="16" xr3:uid="{91CFDEDB-4ED4-4044-BB5A-5AE3D796A36A}" uniqueName="16" name="Data__2[Customer ID2]" queryTableFieldId="16"/>
    <tableColumn id="17" xr3:uid="{7B200CA0-0D3A-4687-812D-2FF6D2CBE455}" uniqueName="17" name="Data__2[Gedner]" queryTableFieldId="17"/>
    <tableColumn id="18" xr3:uid="{8B7009D0-AEEC-4DC1-A12F-91552F58D14A}" uniqueName="18" name="Data__2[Age]" queryTableFieldId="18"/>
    <tableColumn id="19" xr3:uid="{D3DBDD0C-8C18-4AF1-8F6F-9A217E93A9DE}" uniqueName="19" name="Data__2[City]" queryTableFieldId="19"/>
    <tableColumn id="20" xr3:uid="{7F5E68E8-01C4-4E0A-97B4-46FA9F625FCF}" uniqueName="20" name="Data__2[Date of Call (Month)]" queryTableFieldId="20"/>
    <tableColumn id="21" xr3:uid="{0ACB6DBD-7078-4E81-A86F-16E33DFD2855}" uniqueName="21" name="Data__2[Date of Call (Month Index)]" queryTableFieldId="2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75926E-9274-4834-BF37-EBB21D7446F3}" name="Table_ExternalData_111" displayName="Table_ExternalData_111" ref="A3:U47" tableType="queryTable" totalsRowShown="0">
  <autoFilter ref="A3:U47" xr:uid="{DB75926E-9274-4834-BF37-EBB21D7446F3}"/>
  <tableColumns count="21">
    <tableColumn id="1" xr3:uid="{283162F9-3066-42BA-8EFA-020F7F909483}" uniqueName="1" name="Data__2[Call number]" queryTableFieldId="1"/>
    <tableColumn id="2" xr3:uid="{5371313D-BDAE-4424-92ED-5403E745F05C}" uniqueName="2" name="Data__2[Customer ID]" queryTableFieldId="2"/>
    <tableColumn id="3" xr3:uid="{BB071906-25FA-488F-BF6C-64B9847E50FC}" uniqueName="3" name="Data__2[Duration]" queryTableFieldId="3"/>
    <tableColumn id="4" xr3:uid="{5EAFE6A5-EF4C-4083-A609-BCC14301BA58}" uniqueName="4" name="Data__2[Representative]" queryTableFieldId="4"/>
    <tableColumn id="5" xr3:uid="{482F5F2B-D9BF-4A3D-9F03-BE72F4008B62}" uniqueName="5" name="Data__2[Date of Call]" queryTableFieldId="5" dataDxfId="36"/>
    <tableColumn id="6" xr3:uid="{87D55C04-9D2E-47E7-AB0E-AEAAD02D522A}" uniqueName="6" name="Data__2[Purchase Amount]" queryTableFieldId="6"/>
    <tableColumn id="7" xr3:uid="{C499D00D-8432-44D6-8F56-24A14C04F46E}" uniqueName="7" name="Data__2[Satisfaction Rating]" queryTableFieldId="7"/>
    <tableColumn id="8" xr3:uid="{E3B89ED1-C5FB-4667-B582-9755631C484F}" uniqueName="8" name="Data__2[FY]" queryTableFieldId="8"/>
    <tableColumn id="9" xr3:uid="{9C7B086E-3446-42D1-A8FB-877B0F905625}" uniqueName="9" name="Data__2[Day of week]" queryTableFieldId="9"/>
    <tableColumn id="10" xr3:uid="{CEE9F95F-A55C-40D8-BDB0-4819DC69D0B1}" uniqueName="10" name="Data__2[Duration Bucket]" queryTableFieldId="10"/>
    <tableColumn id="11" xr3:uid="{8BDDB8EB-D506-4209-AB32-3899E0D8C25C}" uniqueName="11" name="Data__2[Rating rounded]" queryTableFieldId="11"/>
    <tableColumn id="12" xr3:uid="{03F287AB-36BB-420F-92FD-B3D515C48634}" uniqueName="12" name="Data__2[employee tpe]" queryTableFieldId="12"/>
    <tableColumn id="13" xr3:uid="{E2EEBE73-4871-46C1-A6C2-522072194E1B}" uniqueName="13" name="Data__2[Column2]" queryTableFieldId="13"/>
    <tableColumn id="14" xr3:uid="{D6AA631D-31E9-49BC-9B5E-FE18CFA4E196}" uniqueName="14" name="Data__2[Column3]" queryTableFieldId="14"/>
    <tableColumn id="15" xr3:uid="{CCEA5284-9E29-4FEC-9D22-B89FF45197C5}" uniqueName="15" name="Data__2[Column4]" queryTableFieldId="15"/>
    <tableColumn id="16" xr3:uid="{004D5032-577E-4A6B-88EC-7A72F211AC44}" uniqueName="16" name="Data__2[Customer ID2]" queryTableFieldId="16"/>
    <tableColumn id="17" xr3:uid="{E519E835-CEFB-4805-87AB-B473FE0A3FEE}" uniqueName="17" name="Data__2[Gedner]" queryTableFieldId="17"/>
    <tableColumn id="18" xr3:uid="{CF32216E-3325-4017-93A5-14E602A3C4A6}" uniqueName="18" name="Data__2[Age]" queryTableFieldId="18"/>
    <tableColumn id="19" xr3:uid="{8A9C571F-FF26-400E-8ACC-561BF3B52FC2}" uniqueName="19" name="Data__2[City]" queryTableFieldId="19"/>
    <tableColumn id="20" xr3:uid="{8082CD9E-01A7-4AB5-AB07-076F0F852D19}" uniqueName="20" name="Data__2[Date of Call (Month)]" queryTableFieldId="20"/>
    <tableColumn id="21" xr3:uid="{5FD14F8C-8C9F-439A-9C6E-C0237E397B1E}" uniqueName="21" name="Data__2[Date of Call (Month Index)]" queryTableFieldId="2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5E5E8B1-AC83-40E3-8D8D-8F7FB29A2CF4}" name="Table_ExternalData_112" displayName="Table_ExternalData_112" ref="A3:U6" tableType="queryTable" totalsRowShown="0">
  <autoFilter ref="A3:U6" xr:uid="{D5E5E8B1-AC83-40E3-8D8D-8F7FB29A2CF4}"/>
  <tableColumns count="21">
    <tableColumn id="1" xr3:uid="{3DC879AB-9447-445F-9DEB-27DA2FFFB777}" uniqueName="1" name="Data__2[Call number]" queryTableFieldId="1"/>
    <tableColumn id="2" xr3:uid="{1C3C0EC5-5C84-4600-86D3-606FA52FC328}" uniqueName="2" name="Data__2[Customer ID]" queryTableFieldId="2"/>
    <tableColumn id="3" xr3:uid="{227682C6-6E74-4CBE-BBD5-2CBF5A298D54}" uniqueName="3" name="Data__2[Duration]" queryTableFieldId="3"/>
    <tableColumn id="4" xr3:uid="{E5EFB1EB-3A66-46ED-BEFB-5434A245B4B0}" uniqueName="4" name="Data__2[Representative]" queryTableFieldId="4"/>
    <tableColumn id="5" xr3:uid="{A7D48050-5FF1-4C91-BF2B-41861C799899}" uniqueName="5" name="Data__2[Date of Call]" queryTableFieldId="5" dataDxfId="35"/>
    <tableColumn id="6" xr3:uid="{4C5404B4-65B8-4BA6-85DF-5E54A1F101A5}" uniqueName="6" name="Data__2[Purchase Amount]" queryTableFieldId="6"/>
    <tableColumn id="7" xr3:uid="{BF019933-7988-4FF3-82FE-9B4E2C945345}" uniqueName="7" name="Data__2[Satisfaction Rating]" queryTableFieldId="7"/>
    <tableColumn id="8" xr3:uid="{08BB2300-7B6F-4B05-BDB5-999862EF30F8}" uniqueName="8" name="Data__2[FY]" queryTableFieldId="8"/>
    <tableColumn id="9" xr3:uid="{C2A163C0-1F10-4F8D-B022-AF530DFDB9CE}" uniqueName="9" name="Data__2[Day of week]" queryTableFieldId="9"/>
    <tableColumn id="10" xr3:uid="{6BCEB0D2-4C58-4B7A-AB27-22B0A9831D39}" uniqueName="10" name="Data__2[Duration Bucket]" queryTableFieldId="10"/>
    <tableColumn id="11" xr3:uid="{BECBA802-39F7-458C-A8DD-5CE6DB0389AC}" uniqueName="11" name="Data__2[Rating rounded]" queryTableFieldId="11"/>
    <tableColumn id="12" xr3:uid="{ACFDB0DD-2ED5-4B5F-9C60-24791A3874B4}" uniqueName="12" name="Data__2[employee tpe]" queryTableFieldId="12"/>
    <tableColumn id="13" xr3:uid="{E1AAB84D-F330-4B17-8B55-286B0531F8E1}" uniqueName="13" name="Data__2[Column2]" queryTableFieldId="13"/>
    <tableColumn id="14" xr3:uid="{74FF244D-9EB1-4BF4-80DB-26F2046BC0A3}" uniqueName="14" name="Data__2[Column3]" queryTableFieldId="14"/>
    <tableColumn id="15" xr3:uid="{DF7F9501-2AA0-4920-BA0F-6B6163F807C5}" uniqueName="15" name="Data__2[Column4]" queryTableFieldId="15"/>
    <tableColumn id="16" xr3:uid="{6A30F53C-248D-4C0B-822C-728E0C871956}" uniqueName="16" name="Data__2[Customer ID2]" queryTableFieldId="16"/>
    <tableColumn id="17" xr3:uid="{919D0F32-8925-426C-9CA8-E3E6995C1C7D}" uniqueName="17" name="Data__2[Gedner]" queryTableFieldId="17"/>
    <tableColumn id="18" xr3:uid="{A3B8E8DF-6B9D-4119-93A8-979BABC6FE57}" uniqueName="18" name="Data__2[Age]" queryTableFieldId="18"/>
    <tableColumn id="19" xr3:uid="{BF52F6C9-78AB-4698-BC8D-FFD0F950E8EA}" uniqueName="19" name="Data__2[City]" queryTableFieldId="19"/>
    <tableColumn id="20" xr3:uid="{5C552BA7-218E-4E65-8C77-5FE7989ECE94}" uniqueName="20" name="Data__2[Date of Call (Month)]" queryTableFieldId="20"/>
    <tableColumn id="21" xr3:uid="{AA683BC4-F9DF-4BD4-A086-26D1146E9655}" uniqueName="21" name="Data__2[Date of Call (Month Index)]" queryTableFieldId="2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7408061-28D2-45FC-9176-12D19B9F1CCB}" name="Table_ExternalData_115" displayName="Table_ExternalData_115" ref="A3:U31" tableType="queryTable" totalsRowShown="0">
  <autoFilter ref="A3:U31" xr:uid="{A7408061-28D2-45FC-9176-12D19B9F1CCB}"/>
  <tableColumns count="21">
    <tableColumn id="1" xr3:uid="{A362A39D-9782-4331-AEA8-100373EE8745}" uniqueName="1" name="Data__2[Call number]" queryTableFieldId="1"/>
    <tableColumn id="2" xr3:uid="{F7CD4712-07A5-4B71-824F-507C6D398F6A}" uniqueName="2" name="Data__2[Customer ID]" queryTableFieldId="2"/>
    <tableColumn id="3" xr3:uid="{E8800254-8142-47E7-9E84-BCE152E26DEB}" uniqueName="3" name="Data__2[Duration]" queryTableFieldId="3"/>
    <tableColumn id="4" xr3:uid="{D36F0E29-04F7-4BB8-B697-85B4A8E78C61}" uniqueName="4" name="Data__2[Representative]" queryTableFieldId="4"/>
    <tableColumn id="5" xr3:uid="{E5766282-A246-4210-A3F5-4EE7CBCE2654}" uniqueName="5" name="Data__2[Date of Call]" queryTableFieldId="5" dataDxfId="34"/>
    <tableColumn id="6" xr3:uid="{58B3B409-53F1-432A-8CF7-590EB7D8A313}" uniqueName="6" name="Data__2[Purchase Amount]" queryTableFieldId="6"/>
    <tableColumn id="7" xr3:uid="{C2345807-6E63-4AEA-BE34-4BEB186E5CF6}" uniqueName="7" name="Data__2[Satisfaction Rating]" queryTableFieldId="7"/>
    <tableColumn id="8" xr3:uid="{B747C38E-2444-49DA-903F-C33764CFF820}" uniqueName="8" name="Data__2[FY]" queryTableFieldId="8"/>
    <tableColumn id="9" xr3:uid="{D47D2DD0-B33A-45DB-BC2F-2FE453799FAD}" uniqueName="9" name="Data__2[Day of week]" queryTableFieldId="9"/>
    <tableColumn id="10" xr3:uid="{6F24CD4D-08DA-4A03-9575-2F44E0379124}" uniqueName="10" name="Data__2[Duration Bucket]" queryTableFieldId="10"/>
    <tableColumn id="11" xr3:uid="{9398AD26-4AB5-411F-B3E3-F32B00438294}" uniqueName="11" name="Data__2[Rating rounded]" queryTableFieldId="11"/>
    <tableColumn id="12" xr3:uid="{6312C4C2-220D-4035-B546-1D6DB9108EDA}" uniqueName="12" name="Data__2[employee tpe]" queryTableFieldId="12"/>
    <tableColumn id="13" xr3:uid="{CB886493-01B4-4752-A4DD-091D6518A657}" uniqueName="13" name="Data__2[Column2]" queryTableFieldId="13"/>
    <tableColumn id="14" xr3:uid="{232422B9-A8B3-4448-953C-9756B8B59C99}" uniqueName="14" name="Data__2[Column3]" queryTableFieldId="14"/>
    <tableColumn id="15" xr3:uid="{32BA0E59-1995-4EC0-AA3A-A75D304592B2}" uniqueName="15" name="Data__2[Column4]" queryTableFieldId="15"/>
    <tableColumn id="16" xr3:uid="{53F6A3E0-8BE0-4B6D-9FBF-E290FF95EA94}" uniqueName="16" name="Data__2[Customer ID2]" queryTableFieldId="16"/>
    <tableColumn id="17" xr3:uid="{24627B9A-2BD1-4E49-846D-1A4E49C71228}" uniqueName="17" name="Data__2[Gedner]" queryTableFieldId="17"/>
    <tableColumn id="18" xr3:uid="{5557017B-AE4E-4136-990D-70D22F37A3AB}" uniqueName="18" name="Data__2[Age]" queryTableFieldId="18"/>
    <tableColumn id="19" xr3:uid="{C7E23473-F90A-4D8C-9620-4DB09E10D981}" uniqueName="19" name="Data__2[City]" queryTableFieldId="19"/>
    <tableColumn id="20" xr3:uid="{6E840A66-F082-42D1-90A8-11C086CD3E46}" uniqueName="20" name="Data__2[Date of Call (Month)]" queryTableFieldId="20"/>
    <tableColumn id="21" xr3:uid="{39068ED6-D9E7-4EA9-86EC-D1A62C5E5462}" uniqueName="21" name="Data__2[Date of Call (Month Index)]" queryTableFieldId="2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9745FD6-97E8-4A54-A395-E001B7410E5E}" name="Table_ExternalData_116" displayName="Table_ExternalData_116" ref="A3:S210" tableType="queryTable" totalsRowShown="0">
  <autoFilter ref="A3:S210" xr:uid="{89745FD6-97E8-4A54-A395-E001B7410E5E}"/>
  <tableColumns count="19">
    <tableColumn id="1" xr3:uid="{D5FDAF49-263A-41B7-8A57-C6ED6C8855B8}" uniqueName="1" name="Data__2[Call number]" queryTableFieldId="1"/>
    <tableColumn id="2" xr3:uid="{535FAF22-5766-4D8E-9F81-61ED345CDF5B}" uniqueName="2" name="Data__2[Customer ID]" queryTableFieldId="2"/>
    <tableColumn id="3" xr3:uid="{AD6FD495-259E-40D9-AF48-0161A1F0C1A1}" uniqueName="3" name="Data__2[Duration]" queryTableFieldId="3"/>
    <tableColumn id="4" xr3:uid="{A93C16C9-E42C-455B-94BE-0C1C0E75D531}" uniqueName="4" name="Data__2[Representative]" queryTableFieldId="4"/>
    <tableColumn id="5" xr3:uid="{843DD78F-D0FD-4218-B725-769112BF8C30}" uniqueName="5" name="Data__2[Date of Call]" queryTableFieldId="5" dataDxfId="33"/>
    <tableColumn id="6" xr3:uid="{61601C5D-B962-452C-9EB0-9141578F083F}" uniqueName="6" name="Data__2[Purchase Amount]" queryTableFieldId="6"/>
    <tableColumn id="7" xr3:uid="{4E1BE53B-3DDC-4440-8C63-90594EA4FAEF}" uniqueName="7" name="Data__2[Satisfaction Rating]" queryTableFieldId="7"/>
    <tableColumn id="8" xr3:uid="{5ACF65EF-0889-4F66-A13D-B2C1E102450B}" uniqueName="8" name="Data__2[FY]" queryTableFieldId="8"/>
    <tableColumn id="9" xr3:uid="{20233B7C-B3A4-4124-8025-AF829DEE6AB6}" uniqueName="9" name="Data__2[Day of week]" queryTableFieldId="9"/>
    <tableColumn id="10" xr3:uid="{18359AD4-8121-40D5-A8B5-3451CBFD698A}" uniqueName="10" name="Data__2[Duration Bucket]" queryTableFieldId="10"/>
    <tableColumn id="11" xr3:uid="{09AC67E8-4B42-4B21-B443-467DC7B3E164}" uniqueName="11" name="Data__2[Rating rounded]" queryTableFieldId="11"/>
    <tableColumn id="12" xr3:uid="{64F6912D-2773-4E1D-936C-78E083D73FB4}" uniqueName="12" name="Data__2[employee tpe]" queryTableFieldId="12"/>
    <tableColumn id="13" xr3:uid="{DA988C2F-FF92-43B0-9A8A-26BA8DCE3695}" uniqueName="13" name="Data__2[Column2]" queryTableFieldId="13"/>
    <tableColumn id="14" xr3:uid="{BDEA0AFB-A779-429E-96AB-24CDDC49F847}" uniqueName="14" name="Data__2[Column3]" queryTableFieldId="14"/>
    <tableColumn id="15" xr3:uid="{B9CEC09F-3ED1-47BF-8103-EA37208B282F}" uniqueName="15" name="Data__2[Column4]" queryTableFieldId="15"/>
    <tableColumn id="16" xr3:uid="{9D71FF0E-AD71-4C7F-900D-1AFBA10BC1BF}" uniqueName="16" name="Data__2[Customer ID2]" queryTableFieldId="16"/>
    <tableColumn id="17" xr3:uid="{BD903B3D-95A4-49C8-B284-4F215A35E306}" uniqueName="17" name="Data__2[Gedner]" queryTableFieldId="17"/>
    <tableColumn id="18" xr3:uid="{01A396BD-DBAD-424D-8513-2103A62CF4CF}" uniqueName="18" name="Data__2[Age]" queryTableFieldId="18"/>
    <tableColumn id="19" xr3:uid="{8DBCE31C-9271-48E7-9A62-9D232EAC3635}" uniqueName="19" name="Data__2[City]" queryTableFieldId="1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B2440B0-5E16-41D8-998F-1591B605A43C}" name="Table_ExternalData_117" displayName="Table_ExternalData_117" ref="A3:U16" tableType="queryTable" totalsRowShown="0">
  <autoFilter ref="A3:U16" xr:uid="{0B2440B0-5E16-41D8-998F-1591B605A43C}"/>
  <tableColumns count="21">
    <tableColumn id="1" xr3:uid="{1E7A9CCA-8EA4-413B-BAC1-E88C72C78D57}" uniqueName="1" name="Data__2[Call number]" queryTableFieldId="1"/>
    <tableColumn id="2" xr3:uid="{2EAD6FAA-DE50-4873-A3EA-C574F7E53206}" uniqueName="2" name="Data__2[Customer ID]" queryTableFieldId="2"/>
    <tableColumn id="3" xr3:uid="{C704D902-746D-4178-B4C8-9DA3A2A7F283}" uniqueName="3" name="Data__2[Duration]" queryTableFieldId="3"/>
    <tableColumn id="4" xr3:uid="{4E611911-84DF-4297-BDA1-58E2AC83E1C5}" uniqueName="4" name="Data__2[Representative]" queryTableFieldId="4"/>
    <tableColumn id="5" xr3:uid="{9813498C-0E58-44AB-9CB7-3C83B7730935}" uniqueName="5" name="Data__2[Date of Call]" queryTableFieldId="5" dataDxfId="32"/>
    <tableColumn id="6" xr3:uid="{E6B033EA-8F80-4D0E-A962-9EE8398919FB}" uniqueName="6" name="Data__2[Purchase Amount]" queryTableFieldId="6"/>
    <tableColumn id="7" xr3:uid="{F1F7581D-0F0D-4953-8A59-AD9C0550D52F}" uniqueName="7" name="Data__2[Satisfaction Rating]" queryTableFieldId="7"/>
    <tableColumn id="8" xr3:uid="{605DB899-2649-4465-B062-41CFDD26EE06}" uniqueName="8" name="Data__2[FY]" queryTableFieldId="8"/>
    <tableColumn id="9" xr3:uid="{9721135D-E2F5-49F4-9D14-E5DC36FBB0FB}" uniqueName="9" name="Data__2[Day of week]" queryTableFieldId="9"/>
    <tableColumn id="10" xr3:uid="{71C44474-C356-4FA1-9257-1429D10FD3C4}" uniqueName="10" name="Data__2[Duration Bucket]" queryTableFieldId="10"/>
    <tableColumn id="11" xr3:uid="{BD5C63AA-7D3D-4D06-ADBD-66BF70B2F4DC}" uniqueName="11" name="Data__2[Rating rounded]" queryTableFieldId="11"/>
    <tableColumn id="12" xr3:uid="{51843A7F-A095-4074-9D07-5FE1BD503AD0}" uniqueName="12" name="Data__2[employee tpe]" queryTableFieldId="12"/>
    <tableColumn id="13" xr3:uid="{702987A9-7436-4B59-8ECB-B69E7525C691}" uniqueName="13" name="Data__2[Column2]" queryTableFieldId="13"/>
    <tableColumn id="14" xr3:uid="{57D38D9F-506E-45FE-8B55-E8A9CB289F49}" uniqueName="14" name="Data__2[Column3]" queryTableFieldId="14"/>
    <tableColumn id="15" xr3:uid="{E9CF7CF6-F6A7-4818-9C2D-0571EF095A9C}" uniqueName="15" name="Data__2[Column4]" queryTableFieldId="15"/>
    <tableColumn id="16" xr3:uid="{FD73E8A0-D152-4D9D-A7D1-E23971DABDB8}" uniqueName="16" name="Data__2[Customer ID2]" queryTableFieldId="16"/>
    <tableColumn id="17" xr3:uid="{69914656-D3FF-4495-9BC1-247C85ED097D}" uniqueName="17" name="Data__2[Gedner]" queryTableFieldId="17"/>
    <tableColumn id="18" xr3:uid="{F57530CE-0FD7-483E-BC8E-D62CE2CF369C}" uniqueName="18" name="Data__2[Age]" queryTableFieldId="18"/>
    <tableColumn id="19" xr3:uid="{76BF2006-61CF-49A5-B882-E848A8210850}" uniqueName="19" name="Data__2[City]" queryTableFieldId="19"/>
    <tableColumn id="20" xr3:uid="{55A75F14-31F7-4052-B86F-8C454FDFB9B9}" uniqueName="20" name="Data__2[Date of Call (Month)]" queryTableFieldId="20"/>
    <tableColumn id="21" xr3:uid="{A3479688-C3BE-4168-AFDE-E8D71C6232DC}" uniqueName="21" name="Data__2[Date of Call (Month Index)]" queryTableFieldId="2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843F2F3-94A6-47EE-AA97-8760EB424B63}" name="Table_ExternalData_118" displayName="Table_ExternalData_118" ref="A3:U25" tableType="queryTable" totalsRowShown="0">
  <autoFilter ref="A3:U25" xr:uid="{7843F2F3-94A6-47EE-AA97-8760EB424B63}"/>
  <tableColumns count="21">
    <tableColumn id="1" xr3:uid="{961F62B6-BC64-4031-BD73-8406BFF5A6B3}" uniqueName="1" name="Data__2[Call number]" queryTableFieldId="1"/>
    <tableColumn id="2" xr3:uid="{2DFCDE49-5096-4440-9112-AFE2862F4CF3}" uniqueName="2" name="Data__2[Customer ID]" queryTableFieldId="2"/>
    <tableColumn id="3" xr3:uid="{F32D72EC-A858-4F8A-950B-8D2D7EF00A04}" uniqueName="3" name="Data__2[Duration]" queryTableFieldId="3"/>
    <tableColumn id="4" xr3:uid="{75A24893-66E0-4B40-A658-34C0FB378D5B}" uniqueName="4" name="Data__2[Representative]" queryTableFieldId="4"/>
    <tableColumn id="5" xr3:uid="{746ACC06-8792-4353-9A04-71767A819D1A}" uniqueName="5" name="Data__2[Date of Call]" queryTableFieldId="5" dataDxfId="31"/>
    <tableColumn id="6" xr3:uid="{9E930F1F-8D96-4DE1-9C20-A5BFA0B49811}" uniqueName="6" name="Data__2[Purchase Amount]" queryTableFieldId="6"/>
    <tableColumn id="7" xr3:uid="{18FCF6DE-64E2-4854-A099-FA5F8CCBBEDD}" uniqueName="7" name="Data__2[Satisfaction Rating]" queryTableFieldId="7"/>
    <tableColumn id="8" xr3:uid="{BDECB630-99C3-449B-BB57-9402BE57F1BA}" uniqueName="8" name="Data__2[FY]" queryTableFieldId="8"/>
    <tableColumn id="9" xr3:uid="{4E05A4E8-DC44-46B1-9925-9B4E5739DEDD}" uniqueName="9" name="Data__2[Day of week]" queryTableFieldId="9"/>
    <tableColumn id="10" xr3:uid="{D2106EE8-4D9A-4EAA-823D-689FAE736F4F}" uniqueName="10" name="Data__2[Duration Bucket]" queryTableFieldId="10"/>
    <tableColumn id="11" xr3:uid="{9625B4BA-C130-4AF9-B6AD-89066FD7931D}" uniqueName="11" name="Data__2[Rating rounded]" queryTableFieldId="11"/>
    <tableColumn id="12" xr3:uid="{016B10A4-61C3-4B59-B068-FD82B98D5D83}" uniqueName="12" name="Data__2[employee tpe]" queryTableFieldId="12"/>
    <tableColumn id="13" xr3:uid="{4A44C958-FD73-4B32-A3FF-D17CC440A950}" uniqueName="13" name="Data__2[Column2]" queryTableFieldId="13"/>
    <tableColumn id="14" xr3:uid="{B2615FE2-106F-412D-9162-D162601FDF32}" uniqueName="14" name="Data__2[Column3]" queryTableFieldId="14"/>
    <tableColumn id="15" xr3:uid="{190BB21D-040D-44BF-BB4B-D4FE4938758F}" uniqueName="15" name="Data__2[Column4]" queryTableFieldId="15"/>
    <tableColumn id="16" xr3:uid="{6159A21C-1158-420D-9EF1-EF499CAFFF50}" uniqueName="16" name="Data__2[Customer ID2]" queryTableFieldId="16"/>
    <tableColumn id="17" xr3:uid="{221EA43E-1897-41ED-BFA8-B8B932CC6086}" uniqueName="17" name="Data__2[Gedner]" queryTableFieldId="17"/>
    <tableColumn id="18" xr3:uid="{9E4F171B-9B7B-4929-82D0-505024B1F7CA}" uniqueName="18" name="Data__2[Age]" queryTableFieldId="18"/>
    <tableColumn id="19" xr3:uid="{5D7D18EE-FEE5-45DE-9887-8F490ADB4C91}" uniqueName="19" name="Data__2[City]" queryTableFieldId="19"/>
    <tableColumn id="20" xr3:uid="{71AD2461-C373-48E8-84DD-9B44FAFFE0E3}" uniqueName="20" name="Data__2[Date of Call (Month)]" queryTableFieldId="20"/>
    <tableColumn id="21" xr3:uid="{2F8FCA88-5239-400E-8E54-1136E2A9A665}" uniqueName="21" name="Data__2[Date of Call (Month Index)]" queryTableFieldId="21"/>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00582F0-29A5-408D-95CF-64B866E1B026}" name="Table_ExternalData_119" displayName="Table_ExternalData_119" ref="A3:U26" tableType="queryTable" totalsRowShown="0">
  <autoFilter ref="A3:U26" xr:uid="{100582F0-29A5-408D-95CF-64B866E1B026}"/>
  <tableColumns count="21">
    <tableColumn id="1" xr3:uid="{9A745A66-F7C8-4D81-AAD9-1A3456B90365}" uniqueName="1" name="Data__2[Call number]" queryTableFieldId="1"/>
    <tableColumn id="2" xr3:uid="{6BB4F384-1A98-406F-9710-734E64A1EAFB}" uniqueName="2" name="Data__2[Customer ID]" queryTableFieldId="2"/>
    <tableColumn id="3" xr3:uid="{DE76CC4D-22AA-4226-A852-6BD560EE7AEF}" uniqueName="3" name="Data__2[Duration]" queryTableFieldId="3"/>
    <tableColumn id="4" xr3:uid="{C1DBD835-A15C-43B3-BE47-E38D3F7DDB7E}" uniqueName="4" name="Data__2[Representative]" queryTableFieldId="4"/>
    <tableColumn id="5" xr3:uid="{317E2994-A229-4471-A262-1783F70817ED}" uniqueName="5" name="Data__2[Date of Call]" queryTableFieldId="5" dataDxfId="30"/>
    <tableColumn id="6" xr3:uid="{B31428FC-3B77-413F-ADB8-0AB333FE95D5}" uniqueName="6" name="Data__2[Purchase Amount]" queryTableFieldId="6"/>
    <tableColumn id="7" xr3:uid="{FE870E17-0E11-4A46-979A-E45B5DE52237}" uniqueName="7" name="Data__2[Satisfaction Rating]" queryTableFieldId="7"/>
    <tableColumn id="8" xr3:uid="{E9216FAF-1D9C-4C76-A7A5-ED736DA6B38A}" uniqueName="8" name="Data__2[FY]" queryTableFieldId="8"/>
    <tableColumn id="9" xr3:uid="{EC19440D-D35F-42A4-AE44-8C09622406E9}" uniqueName="9" name="Data__2[Day of week]" queryTableFieldId="9"/>
    <tableColumn id="10" xr3:uid="{46777108-F6CE-4DCA-B67B-00DF21074631}" uniqueName="10" name="Data__2[Duration Bucket]" queryTableFieldId="10"/>
    <tableColumn id="11" xr3:uid="{38F0A1E4-C5CD-474B-8690-698DD7D9F738}" uniqueName="11" name="Data__2[Rating rounded]" queryTableFieldId="11"/>
    <tableColumn id="12" xr3:uid="{9B1F5012-5535-497A-9FFF-F1024EA90B83}" uniqueName="12" name="Data__2[employee tpe]" queryTableFieldId="12"/>
    <tableColumn id="13" xr3:uid="{4F96CDDC-1109-4999-889A-828736795E17}" uniqueName="13" name="Data__2[Column2]" queryTableFieldId="13"/>
    <tableColumn id="14" xr3:uid="{C2C388DA-3A1C-4690-9640-C474297B0BF4}" uniqueName="14" name="Data__2[Column3]" queryTableFieldId="14"/>
    <tableColumn id="15" xr3:uid="{1EA98E2C-18D1-4DF5-B7E2-D53D177718C2}" uniqueName="15" name="Data__2[Column4]" queryTableFieldId="15"/>
    <tableColumn id="16" xr3:uid="{4A9FE67E-EA7F-495F-A693-6B560662161A}" uniqueName="16" name="Data__2[Customer ID2]" queryTableFieldId="16"/>
    <tableColumn id="17" xr3:uid="{7239A81F-6932-4623-B5B6-34C85D2CE02B}" uniqueName="17" name="Data__2[Gedner]" queryTableFieldId="17"/>
    <tableColumn id="18" xr3:uid="{376E111B-FF99-4DD9-AD20-2B273E9DE477}" uniqueName="18" name="Data__2[Age]" queryTableFieldId="18"/>
    <tableColumn id="19" xr3:uid="{68375CC5-800A-4D46-BC48-A2C75CC6AB12}" uniqueName="19" name="Data__2[City]" queryTableFieldId="19"/>
    <tableColumn id="20" xr3:uid="{6EFE64B2-6A1A-4A9A-93C2-F9EA88BECAA3}" uniqueName="20" name="Data__2[Date of Call (Month)]" queryTableFieldId="20"/>
    <tableColumn id="21" xr3:uid="{45130C67-D58A-438E-89C6-80C6CEDB412D}" uniqueName="21" name="Data__2[Date of Call (Month Index)]" queryTableFieldId="2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74703FE-84FD-4147-879F-F5A8D1C231A2}" name="Table_ExternalData_120" displayName="Table_ExternalData_120" ref="A3:U392" tableType="queryTable" totalsRowShown="0">
  <autoFilter ref="A3:U392" xr:uid="{D74703FE-84FD-4147-879F-F5A8D1C231A2}"/>
  <tableColumns count="21">
    <tableColumn id="1" xr3:uid="{161E46D9-7FB6-436B-A181-21078BA5CDFA}" uniqueName="1" name="Data__2[Call number]" queryTableFieldId="1"/>
    <tableColumn id="2" xr3:uid="{5A8B395D-E60B-4656-BD39-2C7B59950442}" uniqueName="2" name="Data__2[Customer ID]" queryTableFieldId="2"/>
    <tableColumn id="3" xr3:uid="{C41C4AF3-872B-4157-8E84-4E44003F2043}" uniqueName="3" name="Data__2[Duration]" queryTableFieldId="3"/>
    <tableColumn id="4" xr3:uid="{9381AB19-37EE-4119-B13D-74014B583CF8}" uniqueName="4" name="Data__2[Representative]" queryTableFieldId="4"/>
    <tableColumn id="5" xr3:uid="{0A97C655-7832-4732-B7F6-7E2AAD3470A3}" uniqueName="5" name="Data__2[Date of Call]" queryTableFieldId="5" dataDxfId="29"/>
    <tableColumn id="6" xr3:uid="{A8D807A8-615D-47E2-B056-DF94BF13BEC8}" uniqueName="6" name="Data__2[Purchase Amount]" queryTableFieldId="6"/>
    <tableColumn id="7" xr3:uid="{ADF62A92-2E38-4935-9D66-081119A77BA2}" uniqueName="7" name="Data__2[Satisfaction Rating]" queryTableFieldId="7"/>
    <tableColumn id="8" xr3:uid="{BBF418DE-BCE5-4F0F-874F-278C09A6E503}" uniqueName="8" name="Data__2[FY]" queryTableFieldId="8"/>
    <tableColumn id="9" xr3:uid="{B2A294FF-1AB0-485C-AF7A-FF6373C23F67}" uniqueName="9" name="Data__2[Day of week]" queryTableFieldId="9"/>
    <tableColumn id="10" xr3:uid="{50EA079F-F24C-41E5-87CB-D26085DB5502}" uniqueName="10" name="Data__2[Duration Bucket]" queryTableFieldId="10"/>
    <tableColumn id="11" xr3:uid="{A039ACF5-B23D-460A-A49D-E41F4CC6D44F}" uniqueName="11" name="Data__2[Rating rounded]" queryTableFieldId="11"/>
    <tableColumn id="12" xr3:uid="{1871F226-E043-4E51-916E-B891FC39DB29}" uniqueName="12" name="Data__2[employee tpe]" queryTableFieldId="12"/>
    <tableColumn id="13" xr3:uid="{4B6D776F-4E74-4485-B86D-983A94FFB33C}" uniqueName="13" name="Data__2[Column2]" queryTableFieldId="13"/>
    <tableColumn id="14" xr3:uid="{88DBECB5-D022-43CE-92AA-9E485B71CCEF}" uniqueName="14" name="Data__2[Column3]" queryTableFieldId="14"/>
    <tableColumn id="15" xr3:uid="{36ED6E96-6BB4-4310-B1C8-6D3A2C0F25DC}" uniqueName="15" name="Data__2[Column4]" queryTableFieldId="15"/>
    <tableColumn id="16" xr3:uid="{898FFC56-09F0-48A2-B526-0E0A0619DF02}" uniqueName="16" name="Data__2[Customer ID2]" queryTableFieldId="16"/>
    <tableColumn id="17" xr3:uid="{C311C0CA-D184-4495-8BEB-7621F55C3A34}" uniqueName="17" name="Data__2[Gedner]" queryTableFieldId="17"/>
    <tableColumn id="18" xr3:uid="{65D45611-40B8-416C-BE42-A3FF66C42C5D}" uniqueName="18" name="Data__2[Age]" queryTableFieldId="18"/>
    <tableColumn id="19" xr3:uid="{FDD4973E-5BC2-4A2C-A377-6AD0A8908A15}" uniqueName="19" name="Data__2[City]" queryTableFieldId="19"/>
    <tableColumn id="20" xr3:uid="{21D4C260-422F-4CAE-AF3A-73C2C31CB80C}" uniqueName="20" name="Data__2[Date of Call (Month)]" queryTableFieldId="20"/>
    <tableColumn id="21" xr3:uid="{07520EB3-B4F5-4AC0-83FB-8B21C82FCD14}" uniqueName="21" name="Data__2[Date of Call (Month Index)]" queryTableFieldId="2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97FAA95-0DB2-451D-A0A6-3E2CE6550944}" name="Table_ExternalData_121" displayName="Table_ExternalData_121" ref="A3:U135" tableType="queryTable" totalsRowShown="0">
  <autoFilter ref="A3:U135" xr:uid="{597FAA95-0DB2-451D-A0A6-3E2CE6550944}"/>
  <tableColumns count="21">
    <tableColumn id="1" xr3:uid="{EA37BADF-05BF-4564-AB70-6DE7F2D3E69D}" uniqueName="1" name="Data__2[Call number]" queryTableFieldId="1"/>
    <tableColumn id="2" xr3:uid="{94931267-D9EA-4368-A58E-B5527734BB80}" uniqueName="2" name="Data__2[Customer ID]" queryTableFieldId="2"/>
    <tableColumn id="3" xr3:uid="{3F0324D0-8B6D-4B20-A750-75E4D064C2CC}" uniqueName="3" name="Data__2[Duration]" queryTableFieldId="3"/>
    <tableColumn id="4" xr3:uid="{7EE57D65-BBB9-4F41-B140-17AB1A23E299}" uniqueName="4" name="Data__2[Representative]" queryTableFieldId="4"/>
    <tableColumn id="5" xr3:uid="{FB7114D6-7BB4-41D1-BC39-0B61BB30AFF6}" uniqueName="5" name="Data__2[Date of Call]" queryTableFieldId="5" dataDxfId="28"/>
    <tableColumn id="6" xr3:uid="{5E97BF72-5BB3-456A-B2C7-38D28A608FBD}" uniqueName="6" name="Data__2[Purchase Amount]" queryTableFieldId="6"/>
    <tableColumn id="7" xr3:uid="{DCED64C8-AAE8-4679-BDC1-4B0723BF3A82}" uniqueName="7" name="Data__2[Satisfaction Rating]" queryTableFieldId="7"/>
    <tableColumn id="8" xr3:uid="{24442D26-C4ED-4C42-A6FB-AC923E264BCD}" uniqueName="8" name="Data__2[FY]" queryTableFieldId="8"/>
    <tableColumn id="9" xr3:uid="{829FBDDA-157D-4FEE-A959-A75F91B03744}" uniqueName="9" name="Data__2[Day of week]" queryTableFieldId="9"/>
    <tableColumn id="10" xr3:uid="{6E1DF49B-E9EB-46DA-85E8-59ED0AB692BD}" uniqueName="10" name="Data__2[Duration Bucket]" queryTableFieldId="10"/>
    <tableColumn id="11" xr3:uid="{2E533EDE-654F-4D3B-B3E8-3103827A7917}" uniqueName="11" name="Data__2[Rating rounded]" queryTableFieldId="11"/>
    <tableColumn id="12" xr3:uid="{40DC1AD6-6D15-429E-A6A3-1A4896781554}" uniqueName="12" name="Data__2[employee tpe]" queryTableFieldId="12"/>
    <tableColumn id="13" xr3:uid="{FD6B5253-A472-4A86-A038-8640C7A2DC4B}" uniqueName="13" name="Data__2[Column2]" queryTableFieldId="13"/>
    <tableColumn id="14" xr3:uid="{A763049A-6B15-48DA-B15E-7AE9DAAE067A}" uniqueName="14" name="Data__2[Column3]" queryTableFieldId="14"/>
    <tableColumn id="15" xr3:uid="{65B2E1B7-CDA7-4C07-A0C4-F9CE84BD11FB}" uniqueName="15" name="Data__2[Column4]" queryTableFieldId="15"/>
    <tableColumn id="16" xr3:uid="{71F4A5D0-06FD-43E2-B34E-C11A23BFB295}" uniqueName="16" name="Data__2[Customer ID2]" queryTableFieldId="16"/>
    <tableColumn id="17" xr3:uid="{2A6CA477-A97C-424E-A63A-6176E8C7C697}" uniqueName="17" name="Data__2[Gedner]" queryTableFieldId="17"/>
    <tableColumn id="18" xr3:uid="{06A929A7-BE2F-4B75-9757-97C556AEA028}" uniqueName="18" name="Data__2[Age]" queryTableFieldId="18"/>
    <tableColumn id="19" xr3:uid="{6C3ACFFD-825F-45EF-B34D-7E950D7E5B1B}" uniqueName="19" name="Data__2[City]" queryTableFieldId="19"/>
    <tableColumn id="20" xr3:uid="{275B0ECA-93FE-420A-96C1-033E67FA6B0A}" uniqueName="20" name="Data__2[Date of Call (Month)]" queryTableFieldId="20"/>
    <tableColumn id="21" xr3:uid="{9151A873-0419-4FE2-BA2C-D0964AC08B06}" uniqueName="21" name="Data__2[Date of Call (Month Index)]" queryTableFieldId="2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ACECB9-9711-4D87-8F1D-5894D997065A}" name="Data__2" displayName="Data__2" ref="A1:S1002" tableType="queryTable" totalsRowCount="1" headerRowDxfId="26">
  <autoFilter ref="A1:S1001" xr:uid="{5AACECB9-9711-4D87-8F1D-5894D997065A}"/>
  <tableColumns count="19">
    <tableColumn id="1" xr3:uid="{1E048AE1-9E22-4826-81E7-FE451DF7F9BE}" uniqueName="1" name="Call number" totalsRowLabel="Total" queryTableFieldId="1" dataDxfId="25"/>
    <tableColumn id="2" xr3:uid="{5F927FC8-D5DA-4CD4-BFEA-5E22A6514C17}" uniqueName="2" name="Customer ID" queryTableFieldId="2" dataDxfId="24"/>
    <tableColumn id="3" xr3:uid="{6DC503D0-2CD2-4048-9C59-4DCC92528BEF}" uniqueName="3" name="Duration" queryTableFieldId="3"/>
    <tableColumn id="4" xr3:uid="{7D95A22F-5283-43E3-83AA-808C59F77FF1}" uniqueName="4" name="Representative" queryTableFieldId="4" dataDxfId="23"/>
    <tableColumn id="5" xr3:uid="{E415485B-A473-43DF-9445-48D4896D16B0}" uniqueName="5" name="Date of Call" queryTableFieldId="5" dataDxfId="22" totalsRowDxfId="21"/>
    <tableColumn id="6" xr3:uid="{16643470-449E-4F31-AA1E-CB8ADFBD2109}" uniqueName="6" name="Purchase Amount" queryTableFieldId="6"/>
    <tableColumn id="7" xr3:uid="{0393D8D0-8635-4E91-BCCC-7D03A01B9ECB}" uniqueName="7" name="Satisfaction Rating" queryTableFieldId="7"/>
    <tableColumn id="8" xr3:uid="{45D685AA-1183-4D2E-94DB-18FC7C952B18}" uniqueName="8" name="FY" queryTableFieldId="8"/>
    <tableColumn id="9" xr3:uid="{BA118421-77C2-4A01-827C-349F5BDA6A8F}" uniqueName="9" name="Day of week" queryTableFieldId="9" dataDxfId="20"/>
    <tableColumn id="10" xr3:uid="{C8F85719-F3E5-4968-9896-CF86DFB9DE38}" uniqueName="10" name="Duration Bucket" queryTableFieldId="10" dataDxfId="19"/>
    <tableColumn id="11" xr3:uid="{2D627A61-BF73-4318-9F46-F9943E66B495}" uniqueName="11" name="Rating rounded" queryTableFieldId="11"/>
    <tableColumn id="12" xr3:uid="{85F6CB24-FAB5-427E-8FF7-E049FBD28227}" uniqueName="12" name="employee tpe" queryTableFieldId="12"/>
    <tableColumn id="13" xr3:uid="{9418462D-4069-4545-A47F-A0201147D2A4}" uniqueName="13" name="Column2" queryTableFieldId="13"/>
    <tableColumn id="14" xr3:uid="{A764FB84-9EBC-4D02-89C8-F36F588B98D0}" uniqueName="14" name="Column3" queryTableFieldId="14"/>
    <tableColumn id="15" xr3:uid="{5CCA580D-1CAE-41EE-B238-725F130AE890}" uniqueName="15" name="Column4" queryTableFieldId="15"/>
    <tableColumn id="16" xr3:uid="{F0B3C407-EC06-4868-A410-D908A3AB64E9}" uniqueName="16" name="Customer ID2" queryTableFieldId="16" dataDxfId="18"/>
    <tableColumn id="17" xr3:uid="{9EEB403D-A9EF-4E60-B433-73A4B23A4331}" uniqueName="17" name="Gedner" queryTableFieldId="17" dataDxfId="17"/>
    <tableColumn id="18" xr3:uid="{F1066C8F-97C9-449B-81C3-3D81916888DE}" uniqueName="18" name="Age" queryTableFieldId="18"/>
    <tableColumn id="19" xr3:uid="{E3931BE3-D2ED-4B8A-8DED-1714AEF8B5C1}" uniqueName="19" name="City" totalsRowFunction="count" queryTableFieldId="19" dataDxfId="16"/>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F27167-59D0-44A4-A498-0FDEE57A655E}" name="Assets" displayName="Assets" ref="A1:B6" tableType="queryTable" totalsRowShown="0">
  <autoFilter ref="A1:B6" xr:uid="{92F27167-59D0-44A4-A498-0FDEE57A655E}"/>
  <tableColumns count="2">
    <tableColumn id="1" xr3:uid="{25C4B914-7D7A-47E1-8112-454954A8B5C5}" uniqueName="1" name="Rep ID" queryTableFieldId="1" dataDxfId="15"/>
    <tableColumn id="2" xr3:uid="{5CD0272D-5049-48A5-9594-45D18981B338}" uniqueName="2" name="Rep Image" queryTableFieldId="2"/>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9F7740-58FB-4350-88D4-A3B81E56AEE6}" name="customers" displayName="customers" ref="A1:D16" tableType="queryTable" totalsRowShown="0">
  <autoFilter ref="A1:D16" xr:uid="{699F7740-58FB-4350-88D4-A3B81E56AEE6}"/>
  <tableColumns count="4">
    <tableColumn id="1" xr3:uid="{A9FDF28B-4AE8-4658-816A-73314EE382F6}" uniqueName="1" name="Customer ID" queryTableFieldId="1" dataDxfId="14"/>
    <tableColumn id="2" xr3:uid="{923ED84A-269F-45F7-ADBC-1ECE725E9925}" uniqueName="2" name="Gedner" queryTableFieldId="2" dataDxfId="13"/>
    <tableColumn id="3" xr3:uid="{E8D26DB2-3FBA-4FF0-BF0C-87FC7FA922F1}" uniqueName="3" name="Age" queryTableFieldId="3"/>
    <tableColumn id="4" xr3:uid="{07C3BF74-ADC0-4C47-BCCC-823D7C075417}" uniqueName="4" name="City" queryTableFieldId="4" dataDxfId="12"/>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970661-7D00-48CE-B287-AA1F5C43982D}" name="calls" displayName="calls" ref="A1:K1001" tableType="queryTable" totalsRowShown="0">
  <autoFilter ref="A1:K1001" xr:uid="{E1970661-7D00-48CE-B287-AA1F5C43982D}"/>
  <tableColumns count="11">
    <tableColumn id="1" xr3:uid="{0A694152-74B8-4B05-8B0F-C8CB4FC899BD}" uniqueName="1" name="Call number" queryTableFieldId="1" dataDxfId="11"/>
    <tableColumn id="2" xr3:uid="{A9B783B8-9A9B-48FB-AC44-1818F0B16757}" uniqueName="2" name="Customer ID" queryTableFieldId="2" dataDxfId="10"/>
    <tableColumn id="3" xr3:uid="{0450AEAB-97F7-49B0-9160-279A374BC248}" uniqueName="3" name="Duration" queryTableFieldId="3"/>
    <tableColumn id="4" xr3:uid="{40E002AD-4924-45A2-A19A-C855E85DBEA1}" uniqueName="4" name="Representative" queryTableFieldId="4" dataDxfId="9"/>
    <tableColumn id="5" xr3:uid="{788DB52F-6AF3-40EC-9AFC-DB11DE7FBE46}" uniqueName="5" name="Date of Call" queryTableFieldId="5" dataDxfId="8"/>
    <tableColumn id="6" xr3:uid="{5239FF97-91C0-48B0-89A8-25509872771F}" uniqueName="6" name="Purchase Amount" queryTableFieldId="6"/>
    <tableColumn id="7" xr3:uid="{8EFCB77D-4413-4949-B2B3-A555AA188B90}" uniqueName="7" name="Satisfaction Rating" queryTableFieldId="7"/>
    <tableColumn id="8" xr3:uid="{5D8EE36C-B4C3-4134-A3F5-EC734FD30A81}" uniqueName="8" name="FY" queryTableFieldId="8"/>
    <tableColumn id="9" xr3:uid="{0747C690-DB51-4199-AF1E-47D8089AEEC9}" uniqueName="9" name="Day of week" queryTableFieldId="9" dataDxfId="7"/>
    <tableColumn id="10" xr3:uid="{81C81367-1625-495D-AD43-367852B43521}" uniqueName="10" name="Duration Bucket" queryTableFieldId="10" dataDxfId="6"/>
    <tableColumn id="11" xr3:uid="{3764F640-D57B-4CA5-82F1-E747401D604A}" uniqueName="11" name="Rating rounded"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4.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microsoft.com/office/2007/relationships/slicer" Target="../slicers/slicer3.xml"/><Relationship Id="rId5" Type="http://schemas.openxmlformats.org/officeDocument/2006/relationships/pivotTable" Target="../pivotTables/pivotTable9.xml"/><Relationship Id="rId10" Type="http://schemas.openxmlformats.org/officeDocument/2006/relationships/drawing" Target="../drawings/drawing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01FE7-E490-4C4F-9905-437ADF27EAF8}">
  <dimension ref="A1:I1048576"/>
  <sheetViews>
    <sheetView workbookViewId="0">
      <selection activeCell="D1" sqref="D1:D1048576"/>
    </sheetView>
  </sheetViews>
  <sheetFormatPr defaultRowHeight="14.4" x14ac:dyDescent="0.3"/>
  <cols>
    <col min="1" max="1" width="9.109375" bestFit="1" customWidth="1"/>
    <col min="2" max="2" width="22.5546875" bestFit="1" customWidth="1"/>
    <col min="3" max="3" width="9.33203125" bestFit="1" customWidth="1"/>
    <col min="4" max="4" width="23.21875" bestFit="1" customWidth="1"/>
    <col min="5" max="5" width="13.77734375" style="2" bestFit="1" customWidth="1"/>
    <col min="6" max="6" width="11.5546875" bestFit="1" customWidth="1"/>
    <col min="7" max="7" width="6.109375" bestFit="1" customWidth="1"/>
    <col min="8" max="8" width="15.5546875" bestFit="1" customWidth="1"/>
    <col min="9" max="9" width="20.88671875" bestFit="1" customWidth="1"/>
  </cols>
  <sheetData>
    <row r="1" spans="1:9" x14ac:dyDescent="0.3">
      <c r="A1" t="s">
        <v>0</v>
      </c>
      <c r="B1" t="s">
        <v>1</v>
      </c>
      <c r="C1" t="s">
        <v>2</v>
      </c>
      <c r="D1" t="s">
        <v>3</v>
      </c>
      <c r="E1" s="2" t="s">
        <v>4</v>
      </c>
      <c r="F1" t="s">
        <v>5</v>
      </c>
      <c r="G1" t="s">
        <v>6</v>
      </c>
      <c r="H1" t="s">
        <v>7</v>
      </c>
      <c r="I1" t="s">
        <v>8</v>
      </c>
    </row>
    <row r="2" spans="1:9" x14ac:dyDescent="0.3">
      <c r="A2" t="s">
        <v>22</v>
      </c>
      <c r="B2" t="s">
        <v>23</v>
      </c>
      <c r="C2" t="s">
        <v>24</v>
      </c>
      <c r="D2" t="s">
        <v>25</v>
      </c>
      <c r="E2" s="2">
        <v>120000</v>
      </c>
      <c r="F2" s="1">
        <v>43416</v>
      </c>
      <c r="G2">
        <v>1</v>
      </c>
      <c r="H2" t="s">
        <v>13</v>
      </c>
      <c r="I2" t="s">
        <v>26</v>
      </c>
    </row>
    <row r="3" spans="1:9" x14ac:dyDescent="0.3">
      <c r="A3" t="s">
        <v>119</v>
      </c>
      <c r="B3" t="s">
        <v>120</v>
      </c>
      <c r="C3" t="s">
        <v>24</v>
      </c>
      <c r="D3" t="s">
        <v>37</v>
      </c>
      <c r="E3" s="2">
        <v>119022.49</v>
      </c>
      <c r="F3" s="1">
        <v>44431</v>
      </c>
      <c r="G3">
        <v>1</v>
      </c>
      <c r="H3" t="s">
        <v>13</v>
      </c>
      <c r="I3" t="s">
        <v>56</v>
      </c>
    </row>
    <row r="4" spans="1:9" x14ac:dyDescent="0.3">
      <c r="A4" t="s">
        <v>76</v>
      </c>
      <c r="B4" t="s">
        <v>77</v>
      </c>
      <c r="C4" t="s">
        <v>24</v>
      </c>
      <c r="D4" t="s">
        <v>67</v>
      </c>
      <c r="E4" s="2">
        <v>115191.38</v>
      </c>
      <c r="F4" s="1">
        <v>44004</v>
      </c>
      <c r="G4">
        <v>1</v>
      </c>
      <c r="H4" t="s">
        <v>13</v>
      </c>
      <c r="I4" t="s">
        <v>18</v>
      </c>
    </row>
    <row r="5" spans="1:9" x14ac:dyDescent="0.3">
      <c r="A5" t="s">
        <v>35</v>
      </c>
      <c r="B5" t="s">
        <v>36</v>
      </c>
      <c r="C5" t="s">
        <v>11</v>
      </c>
      <c r="D5" t="s">
        <v>37</v>
      </c>
      <c r="E5" s="2">
        <v>114177.23</v>
      </c>
      <c r="F5" s="1">
        <v>43908</v>
      </c>
      <c r="G5">
        <v>1</v>
      </c>
      <c r="H5" t="s">
        <v>13</v>
      </c>
      <c r="I5" t="s">
        <v>14</v>
      </c>
    </row>
    <row r="6" spans="1:9" x14ac:dyDescent="0.3">
      <c r="A6" t="s">
        <v>51</v>
      </c>
      <c r="B6" t="s">
        <v>52</v>
      </c>
      <c r="C6" t="s">
        <v>24</v>
      </c>
      <c r="D6" t="s">
        <v>25</v>
      </c>
      <c r="E6" s="2">
        <v>112645.99</v>
      </c>
      <c r="F6" s="1">
        <v>43759</v>
      </c>
      <c r="G6">
        <v>0.6</v>
      </c>
      <c r="H6" t="s">
        <v>13</v>
      </c>
      <c r="I6" t="s">
        <v>53</v>
      </c>
    </row>
    <row r="7" spans="1:9" x14ac:dyDescent="0.3">
      <c r="A7" t="s">
        <v>136</v>
      </c>
      <c r="B7" t="s">
        <v>137</v>
      </c>
      <c r="C7" t="s">
        <v>24</v>
      </c>
      <c r="D7" t="s">
        <v>17</v>
      </c>
      <c r="E7" s="2">
        <v>110042.37</v>
      </c>
      <c r="F7" s="1">
        <v>43914</v>
      </c>
      <c r="G7">
        <v>1</v>
      </c>
      <c r="H7" t="s">
        <v>13</v>
      </c>
      <c r="I7" t="s">
        <v>21</v>
      </c>
    </row>
    <row r="8" spans="1:9" x14ac:dyDescent="0.3">
      <c r="A8" t="s">
        <v>130</v>
      </c>
      <c r="B8" t="s">
        <v>131</v>
      </c>
      <c r="D8" t="s">
        <v>82</v>
      </c>
      <c r="E8" s="2">
        <v>104802.63</v>
      </c>
      <c r="F8" s="1">
        <v>44502</v>
      </c>
      <c r="G8">
        <v>1</v>
      </c>
      <c r="H8" t="s">
        <v>13</v>
      </c>
      <c r="I8" t="s">
        <v>18</v>
      </c>
    </row>
    <row r="9" spans="1:9" x14ac:dyDescent="0.3">
      <c r="A9" t="s">
        <v>90</v>
      </c>
      <c r="B9" t="s">
        <v>91</v>
      </c>
      <c r="C9" t="s">
        <v>24</v>
      </c>
      <c r="D9" t="s">
        <v>67</v>
      </c>
      <c r="E9" s="2">
        <v>104335.03999999999</v>
      </c>
      <c r="F9" s="1">
        <v>43874</v>
      </c>
      <c r="G9">
        <v>1</v>
      </c>
      <c r="H9" t="s">
        <v>13</v>
      </c>
      <c r="I9" t="s">
        <v>21</v>
      </c>
    </row>
    <row r="10" spans="1:9" x14ac:dyDescent="0.3">
      <c r="A10" t="s">
        <v>85</v>
      </c>
      <c r="B10" t="s">
        <v>86</v>
      </c>
      <c r="C10" t="s">
        <v>11</v>
      </c>
      <c r="D10" t="s">
        <v>12</v>
      </c>
      <c r="E10" s="2">
        <v>102934.09</v>
      </c>
      <c r="F10" s="1">
        <v>44315</v>
      </c>
      <c r="G10">
        <v>1</v>
      </c>
      <c r="H10" t="s">
        <v>13</v>
      </c>
      <c r="I10" t="s">
        <v>18</v>
      </c>
    </row>
    <row r="11" spans="1:9" x14ac:dyDescent="0.3">
      <c r="A11" t="s">
        <v>132</v>
      </c>
      <c r="B11" t="s">
        <v>133</v>
      </c>
      <c r="C11" t="s">
        <v>11</v>
      </c>
      <c r="D11" t="s">
        <v>17</v>
      </c>
      <c r="E11" s="2">
        <v>98000</v>
      </c>
      <c r="F11" s="1">
        <v>43710</v>
      </c>
      <c r="G11">
        <v>0.9</v>
      </c>
      <c r="H11" t="s">
        <v>13</v>
      </c>
      <c r="I11" t="s">
        <v>53</v>
      </c>
    </row>
    <row r="12" spans="1:9" x14ac:dyDescent="0.3">
      <c r="A12" t="s">
        <v>57</v>
      </c>
      <c r="B12" t="s">
        <v>58</v>
      </c>
      <c r="C12" t="s">
        <v>11</v>
      </c>
      <c r="D12" t="s">
        <v>59</v>
      </c>
      <c r="E12" s="2">
        <v>97105.19</v>
      </c>
      <c r="F12" s="1">
        <v>44425</v>
      </c>
      <c r="G12">
        <v>1</v>
      </c>
      <c r="H12" t="s">
        <v>13</v>
      </c>
      <c r="I12" t="s">
        <v>21</v>
      </c>
    </row>
    <row r="13" spans="1:9" x14ac:dyDescent="0.3">
      <c r="A13" t="s">
        <v>9</v>
      </c>
      <c r="B13" t="s">
        <v>10</v>
      </c>
      <c r="C13" t="s">
        <v>11</v>
      </c>
      <c r="D13" t="s">
        <v>12</v>
      </c>
      <c r="E13" s="2">
        <v>96135.75</v>
      </c>
      <c r="F13" s="1">
        <v>44025</v>
      </c>
      <c r="G13">
        <v>0.3</v>
      </c>
      <c r="H13" t="s">
        <v>13</v>
      </c>
      <c r="I13" t="s">
        <v>14</v>
      </c>
    </row>
    <row r="14" spans="1:9" x14ac:dyDescent="0.3">
      <c r="A14" t="s">
        <v>83</v>
      </c>
      <c r="B14" t="s">
        <v>84</v>
      </c>
      <c r="C14" t="s">
        <v>24</v>
      </c>
      <c r="D14" t="s">
        <v>37</v>
      </c>
      <c r="E14" s="2">
        <v>95954.02</v>
      </c>
      <c r="F14" s="1">
        <v>43567</v>
      </c>
      <c r="G14">
        <v>0.3</v>
      </c>
      <c r="H14" t="s">
        <v>13</v>
      </c>
      <c r="I14" t="s">
        <v>18</v>
      </c>
    </row>
    <row r="15" spans="1:9" x14ac:dyDescent="0.3">
      <c r="A15" t="s">
        <v>126</v>
      </c>
      <c r="B15" t="s">
        <v>127</v>
      </c>
      <c r="C15" t="s">
        <v>11</v>
      </c>
      <c r="D15" t="s">
        <v>47</v>
      </c>
      <c r="E15" s="2">
        <v>92336.08</v>
      </c>
      <c r="F15" s="1">
        <v>44431</v>
      </c>
      <c r="G15">
        <v>1</v>
      </c>
      <c r="H15" t="s">
        <v>13</v>
      </c>
      <c r="I15" t="s">
        <v>18</v>
      </c>
    </row>
    <row r="16" spans="1:9" x14ac:dyDescent="0.3">
      <c r="A16" t="s">
        <v>54</v>
      </c>
      <c r="B16" t="s">
        <v>55</v>
      </c>
      <c r="C16" t="s">
        <v>24</v>
      </c>
      <c r="D16" t="s">
        <v>37</v>
      </c>
      <c r="E16" s="2">
        <v>91645.04</v>
      </c>
      <c r="F16" s="1">
        <v>44223</v>
      </c>
      <c r="G16">
        <v>1</v>
      </c>
      <c r="H16" t="s">
        <v>13</v>
      </c>
      <c r="I16" t="s">
        <v>56</v>
      </c>
    </row>
    <row r="17" spans="1:9" x14ac:dyDescent="0.3">
      <c r="A17" t="s">
        <v>106</v>
      </c>
      <c r="B17" t="s">
        <v>107</v>
      </c>
      <c r="C17" t="s">
        <v>11</v>
      </c>
      <c r="D17" t="s">
        <v>62</v>
      </c>
      <c r="E17" s="2">
        <v>89690.38</v>
      </c>
      <c r="F17" s="1">
        <v>43206</v>
      </c>
      <c r="G17">
        <v>1</v>
      </c>
      <c r="H17" t="s">
        <v>13</v>
      </c>
      <c r="I17" t="s">
        <v>14</v>
      </c>
    </row>
    <row r="18" spans="1:9" x14ac:dyDescent="0.3">
      <c r="A18" t="s">
        <v>63</v>
      </c>
      <c r="B18" t="s">
        <v>64</v>
      </c>
      <c r="C18" t="s">
        <v>24</v>
      </c>
      <c r="D18" t="s">
        <v>17</v>
      </c>
      <c r="E18" s="2">
        <v>85918.61</v>
      </c>
      <c r="F18" s="1">
        <v>43136</v>
      </c>
      <c r="G18">
        <v>1</v>
      </c>
      <c r="H18" t="s">
        <v>13</v>
      </c>
      <c r="I18" t="s">
        <v>21</v>
      </c>
    </row>
    <row r="19" spans="1:9" x14ac:dyDescent="0.3">
      <c r="A19" t="s">
        <v>100</v>
      </c>
      <c r="B19" t="s">
        <v>101</v>
      </c>
      <c r="C19" t="s">
        <v>11</v>
      </c>
      <c r="D19" t="s">
        <v>12</v>
      </c>
      <c r="E19" s="2">
        <v>84745.93</v>
      </c>
      <c r="F19" s="1">
        <v>43707</v>
      </c>
      <c r="G19">
        <v>1</v>
      </c>
      <c r="H19" t="s">
        <v>13</v>
      </c>
      <c r="I19" t="s">
        <v>14</v>
      </c>
    </row>
    <row r="20" spans="1:9" x14ac:dyDescent="0.3">
      <c r="A20" t="s">
        <v>60</v>
      </c>
      <c r="B20" t="s">
        <v>61</v>
      </c>
      <c r="C20" t="s">
        <v>24</v>
      </c>
      <c r="D20" t="s">
        <v>62</v>
      </c>
      <c r="E20" s="2">
        <v>84742.86</v>
      </c>
      <c r="F20" s="1">
        <v>44098</v>
      </c>
      <c r="G20">
        <v>1</v>
      </c>
      <c r="H20" t="s">
        <v>13</v>
      </c>
      <c r="I20" t="s">
        <v>56</v>
      </c>
    </row>
    <row r="21" spans="1:9" x14ac:dyDescent="0.3">
      <c r="A21" t="s">
        <v>45</v>
      </c>
      <c r="B21" t="s">
        <v>46</v>
      </c>
      <c r="C21" t="s">
        <v>11</v>
      </c>
      <c r="D21" t="s">
        <v>47</v>
      </c>
      <c r="E21" s="2">
        <v>84309.95</v>
      </c>
      <c r="F21" s="1">
        <v>44501</v>
      </c>
      <c r="G21">
        <v>1</v>
      </c>
      <c r="H21" t="s">
        <v>13</v>
      </c>
      <c r="I21" t="s">
        <v>26</v>
      </c>
    </row>
    <row r="22" spans="1:9" x14ac:dyDescent="0.3">
      <c r="A22" t="s">
        <v>92</v>
      </c>
      <c r="B22" t="s">
        <v>93</v>
      </c>
      <c r="C22" t="s">
        <v>11</v>
      </c>
      <c r="D22" t="s">
        <v>62</v>
      </c>
      <c r="E22" s="2">
        <v>81897.789999999994</v>
      </c>
      <c r="F22" s="1">
        <v>43146</v>
      </c>
      <c r="G22">
        <v>1</v>
      </c>
      <c r="H22" t="s">
        <v>13</v>
      </c>
      <c r="I22" t="s">
        <v>56</v>
      </c>
    </row>
    <row r="23" spans="1:9" x14ac:dyDescent="0.3">
      <c r="A23" t="s">
        <v>19</v>
      </c>
      <c r="B23" t="s">
        <v>20</v>
      </c>
      <c r="C23" t="s">
        <v>11</v>
      </c>
      <c r="D23" t="s">
        <v>17</v>
      </c>
      <c r="E23" s="2">
        <v>80695.740000000005</v>
      </c>
      <c r="F23" s="1">
        <v>43360</v>
      </c>
      <c r="G23">
        <v>1</v>
      </c>
      <c r="H23" t="s">
        <v>13</v>
      </c>
      <c r="I23" t="s">
        <v>21</v>
      </c>
    </row>
    <row r="24" spans="1:9" x14ac:dyDescent="0.3">
      <c r="A24" t="s">
        <v>19</v>
      </c>
      <c r="B24" t="s">
        <v>20</v>
      </c>
      <c r="C24" t="s">
        <v>11</v>
      </c>
      <c r="D24" t="s">
        <v>17</v>
      </c>
      <c r="E24" s="2">
        <v>80695.740000000005</v>
      </c>
      <c r="F24" s="1">
        <v>43360</v>
      </c>
      <c r="G24">
        <v>1</v>
      </c>
      <c r="H24" t="s">
        <v>13</v>
      </c>
      <c r="I24" t="s">
        <v>21</v>
      </c>
    </row>
    <row r="25" spans="1:9" x14ac:dyDescent="0.3">
      <c r="A25" t="s">
        <v>125</v>
      </c>
      <c r="B25" t="s">
        <v>20</v>
      </c>
      <c r="C25" t="s">
        <v>11</v>
      </c>
      <c r="D25" t="s">
        <v>17</v>
      </c>
      <c r="E25" s="2">
        <v>80695.740000000005</v>
      </c>
      <c r="F25" s="1">
        <v>43787</v>
      </c>
      <c r="G25">
        <v>0.8</v>
      </c>
      <c r="H25" t="s">
        <v>13</v>
      </c>
      <c r="I25" t="s">
        <v>21</v>
      </c>
    </row>
    <row r="26" spans="1:9" x14ac:dyDescent="0.3">
      <c r="A26" t="s">
        <v>94</v>
      </c>
      <c r="B26" t="s">
        <v>95</v>
      </c>
      <c r="C26" t="s">
        <v>11</v>
      </c>
      <c r="D26" t="s">
        <v>59</v>
      </c>
      <c r="E26" s="2">
        <v>78378.2</v>
      </c>
      <c r="F26" s="1">
        <v>43465</v>
      </c>
      <c r="G26">
        <v>0.4</v>
      </c>
      <c r="H26" t="s">
        <v>13</v>
      </c>
      <c r="I26" t="s">
        <v>26</v>
      </c>
    </row>
    <row r="27" spans="1:9" x14ac:dyDescent="0.3">
      <c r="A27" t="s">
        <v>68</v>
      </c>
      <c r="B27" t="s">
        <v>69</v>
      </c>
      <c r="C27" t="s">
        <v>24</v>
      </c>
      <c r="D27" t="s">
        <v>62</v>
      </c>
      <c r="E27" s="2">
        <v>77096.05</v>
      </c>
      <c r="F27" s="1">
        <v>43217</v>
      </c>
      <c r="G27">
        <v>1</v>
      </c>
      <c r="H27" t="s">
        <v>13</v>
      </c>
      <c r="I27" t="s">
        <v>50</v>
      </c>
    </row>
    <row r="28" spans="1:9" x14ac:dyDescent="0.3">
      <c r="A28" t="s">
        <v>134</v>
      </c>
      <c r="B28" t="s">
        <v>135</v>
      </c>
      <c r="C28" t="s">
        <v>11</v>
      </c>
      <c r="D28" t="s">
        <v>89</v>
      </c>
      <c r="E28" s="2">
        <v>77045.440000000002</v>
      </c>
      <c r="F28" s="1">
        <v>43636</v>
      </c>
      <c r="G28">
        <v>1</v>
      </c>
      <c r="H28" t="s">
        <v>13</v>
      </c>
      <c r="I28" t="s">
        <v>26</v>
      </c>
    </row>
    <row r="29" spans="1:9" x14ac:dyDescent="0.3">
      <c r="A29" t="s">
        <v>80</v>
      </c>
      <c r="B29" t="s">
        <v>81</v>
      </c>
      <c r="C29" t="s">
        <v>11</v>
      </c>
      <c r="D29" t="s">
        <v>82</v>
      </c>
      <c r="E29" s="2">
        <v>75974.990000000005</v>
      </c>
      <c r="F29" s="1">
        <v>44172</v>
      </c>
      <c r="G29">
        <v>1</v>
      </c>
      <c r="H29" t="s">
        <v>13</v>
      </c>
      <c r="I29" t="s">
        <v>26</v>
      </c>
    </row>
    <row r="30" spans="1:9" x14ac:dyDescent="0.3">
      <c r="A30" t="s">
        <v>112</v>
      </c>
      <c r="B30" t="s">
        <v>113</v>
      </c>
      <c r="C30" t="s">
        <v>24</v>
      </c>
      <c r="D30" t="s">
        <v>44</v>
      </c>
      <c r="E30" s="2">
        <v>72876.91</v>
      </c>
      <c r="F30" s="1">
        <v>43837</v>
      </c>
      <c r="G30">
        <v>1</v>
      </c>
      <c r="H30" t="s">
        <v>13</v>
      </c>
      <c r="I30" t="s">
        <v>26</v>
      </c>
    </row>
    <row r="31" spans="1:9" x14ac:dyDescent="0.3">
      <c r="A31" t="s">
        <v>65</v>
      </c>
      <c r="B31" t="s">
        <v>66</v>
      </c>
      <c r="C31" t="s">
        <v>11</v>
      </c>
      <c r="D31" t="s">
        <v>67</v>
      </c>
      <c r="E31" s="2">
        <v>72502.61</v>
      </c>
      <c r="F31" s="1">
        <v>44235</v>
      </c>
      <c r="G31">
        <v>1</v>
      </c>
      <c r="H31" t="s">
        <v>13</v>
      </c>
      <c r="I31" t="s">
        <v>14</v>
      </c>
    </row>
    <row r="32" spans="1:9" x14ac:dyDescent="0.3">
      <c r="A32" t="s">
        <v>15</v>
      </c>
      <c r="B32" t="s">
        <v>16</v>
      </c>
      <c r="C32" t="s">
        <v>11</v>
      </c>
      <c r="D32" t="s">
        <v>17</v>
      </c>
      <c r="E32" s="2">
        <v>70649.460000000006</v>
      </c>
      <c r="F32" s="1">
        <v>43843</v>
      </c>
      <c r="G32">
        <v>1</v>
      </c>
      <c r="H32" t="s">
        <v>13</v>
      </c>
      <c r="I32" t="s">
        <v>18</v>
      </c>
    </row>
    <row r="33" spans="1:9" x14ac:dyDescent="0.3">
      <c r="A33" t="s">
        <v>128</v>
      </c>
      <c r="B33" t="s">
        <v>129</v>
      </c>
      <c r="C33" t="s">
        <v>11</v>
      </c>
      <c r="D33" t="s">
        <v>17</v>
      </c>
      <c r="E33" s="2">
        <v>69192.850000000006</v>
      </c>
      <c r="F33" s="1">
        <v>44305</v>
      </c>
      <c r="G33">
        <v>1</v>
      </c>
      <c r="H33" t="s">
        <v>13</v>
      </c>
      <c r="I33" t="s">
        <v>21</v>
      </c>
    </row>
    <row r="34" spans="1:9" x14ac:dyDescent="0.3">
      <c r="A34" t="s">
        <v>30</v>
      </c>
      <c r="B34" t="s">
        <v>31</v>
      </c>
      <c r="C34" t="s">
        <v>11</v>
      </c>
      <c r="D34" t="s">
        <v>17</v>
      </c>
      <c r="E34" s="2">
        <v>68980.52</v>
      </c>
      <c r="F34" s="1">
        <v>43494</v>
      </c>
      <c r="G34">
        <v>0.8</v>
      </c>
      <c r="H34" t="s">
        <v>13</v>
      </c>
      <c r="I34" t="s">
        <v>26</v>
      </c>
    </row>
    <row r="35" spans="1:9" x14ac:dyDescent="0.3">
      <c r="A35" t="s">
        <v>27</v>
      </c>
      <c r="B35" t="s">
        <v>28</v>
      </c>
      <c r="C35" t="s">
        <v>11</v>
      </c>
      <c r="D35" t="s">
        <v>29</v>
      </c>
      <c r="E35" s="2">
        <v>67905.8</v>
      </c>
      <c r="F35" s="1">
        <v>44194</v>
      </c>
      <c r="G35">
        <v>1</v>
      </c>
      <c r="H35" t="s">
        <v>13</v>
      </c>
      <c r="I35" t="s">
        <v>26</v>
      </c>
    </row>
    <row r="36" spans="1:9" x14ac:dyDescent="0.3">
      <c r="A36" t="s">
        <v>114</v>
      </c>
      <c r="B36" t="s">
        <v>115</v>
      </c>
      <c r="C36" t="s">
        <v>24</v>
      </c>
      <c r="D36" t="s">
        <v>34</v>
      </c>
      <c r="E36" s="2">
        <v>66572.58</v>
      </c>
      <c r="F36" s="1">
        <v>44193</v>
      </c>
      <c r="G36">
        <v>1</v>
      </c>
      <c r="H36" t="s">
        <v>13</v>
      </c>
      <c r="I36" t="s">
        <v>50</v>
      </c>
    </row>
    <row r="37" spans="1:9" x14ac:dyDescent="0.3">
      <c r="A37" t="s">
        <v>114</v>
      </c>
      <c r="B37" t="s">
        <v>116</v>
      </c>
      <c r="C37" t="s">
        <v>24</v>
      </c>
      <c r="D37" t="s">
        <v>34</v>
      </c>
      <c r="E37" s="2">
        <v>66572.58</v>
      </c>
      <c r="F37" s="1">
        <v>44193</v>
      </c>
      <c r="G37">
        <v>1</v>
      </c>
      <c r="H37" t="s">
        <v>13</v>
      </c>
      <c r="I37" t="s">
        <v>50</v>
      </c>
    </row>
    <row r="38" spans="1:9" x14ac:dyDescent="0.3">
      <c r="A38" t="s">
        <v>121</v>
      </c>
      <c r="B38" t="s">
        <v>122</v>
      </c>
      <c r="C38" t="s">
        <v>24</v>
      </c>
      <c r="D38" t="s">
        <v>29</v>
      </c>
      <c r="E38" s="2">
        <v>65699.02</v>
      </c>
      <c r="F38" s="1">
        <v>43951</v>
      </c>
      <c r="G38">
        <v>1</v>
      </c>
      <c r="H38" t="s">
        <v>13</v>
      </c>
      <c r="I38" t="s">
        <v>21</v>
      </c>
    </row>
    <row r="39" spans="1:9" x14ac:dyDescent="0.3">
      <c r="A39" t="s">
        <v>32</v>
      </c>
      <c r="B39" t="s">
        <v>33</v>
      </c>
      <c r="C39" t="s">
        <v>11</v>
      </c>
      <c r="D39" t="s">
        <v>34</v>
      </c>
      <c r="E39" s="2">
        <v>63705.4</v>
      </c>
      <c r="F39" s="1">
        <v>43682</v>
      </c>
      <c r="G39">
        <v>1</v>
      </c>
      <c r="H39" t="s">
        <v>13</v>
      </c>
      <c r="I39" t="s">
        <v>18</v>
      </c>
    </row>
    <row r="40" spans="1:9" x14ac:dyDescent="0.3">
      <c r="A40" t="s">
        <v>138</v>
      </c>
      <c r="B40" t="s">
        <v>139</v>
      </c>
      <c r="C40" t="s">
        <v>24</v>
      </c>
      <c r="D40" t="s">
        <v>47</v>
      </c>
      <c r="E40" s="2">
        <v>62281.24</v>
      </c>
      <c r="F40" s="1">
        <v>43272</v>
      </c>
      <c r="G40">
        <v>1</v>
      </c>
      <c r="H40" t="s">
        <v>13</v>
      </c>
      <c r="I40" t="s">
        <v>26</v>
      </c>
    </row>
    <row r="41" spans="1:9" x14ac:dyDescent="0.3">
      <c r="A41" t="s">
        <v>110</v>
      </c>
      <c r="B41" t="s">
        <v>111</v>
      </c>
      <c r="C41" t="s">
        <v>24</v>
      </c>
      <c r="D41" t="s">
        <v>89</v>
      </c>
      <c r="E41" s="2">
        <v>62195.47</v>
      </c>
      <c r="F41" s="1">
        <v>44434</v>
      </c>
      <c r="G41">
        <v>1</v>
      </c>
      <c r="H41" t="s">
        <v>13</v>
      </c>
      <c r="I41" t="s">
        <v>26</v>
      </c>
    </row>
    <row r="42" spans="1:9" x14ac:dyDescent="0.3">
      <c r="A42" t="s">
        <v>96</v>
      </c>
      <c r="B42" t="s">
        <v>97</v>
      </c>
      <c r="C42" t="s">
        <v>11</v>
      </c>
      <c r="D42" t="s">
        <v>44</v>
      </c>
      <c r="E42" s="2">
        <v>61994.76</v>
      </c>
      <c r="F42" s="1">
        <v>43794</v>
      </c>
      <c r="G42">
        <v>0.3</v>
      </c>
      <c r="H42" t="s">
        <v>13</v>
      </c>
      <c r="I42" t="s">
        <v>18</v>
      </c>
    </row>
    <row r="43" spans="1:9" x14ac:dyDescent="0.3">
      <c r="A43" t="s">
        <v>78</v>
      </c>
      <c r="B43" t="s">
        <v>79</v>
      </c>
      <c r="C43" t="s">
        <v>11</v>
      </c>
      <c r="D43" t="s">
        <v>25</v>
      </c>
      <c r="E43" s="2">
        <v>58861.19</v>
      </c>
      <c r="F43" s="1">
        <v>43654</v>
      </c>
      <c r="G43">
        <v>1</v>
      </c>
      <c r="H43" t="s">
        <v>13</v>
      </c>
      <c r="I43" t="s">
        <v>21</v>
      </c>
    </row>
    <row r="44" spans="1:9" x14ac:dyDescent="0.3">
      <c r="A44" t="s">
        <v>40</v>
      </c>
      <c r="B44" t="s">
        <v>41</v>
      </c>
      <c r="C44" t="s">
        <v>24</v>
      </c>
      <c r="D44" t="s">
        <v>37</v>
      </c>
      <c r="E44" s="2">
        <v>52963.65</v>
      </c>
      <c r="F44" s="1">
        <v>44288</v>
      </c>
      <c r="G44">
        <v>0.3</v>
      </c>
      <c r="H44" t="s">
        <v>13</v>
      </c>
      <c r="I44" t="s">
        <v>21</v>
      </c>
    </row>
    <row r="45" spans="1:9" x14ac:dyDescent="0.3">
      <c r="A45" t="s">
        <v>70</v>
      </c>
      <c r="B45" t="s">
        <v>71</v>
      </c>
      <c r="C45" t="s">
        <v>11</v>
      </c>
      <c r="D45" t="s">
        <v>47</v>
      </c>
      <c r="E45" s="2">
        <v>50449.46</v>
      </c>
      <c r="F45" s="1">
        <v>43418</v>
      </c>
      <c r="G45">
        <v>0.8</v>
      </c>
      <c r="H45" t="s">
        <v>13</v>
      </c>
      <c r="I45" t="s">
        <v>56</v>
      </c>
    </row>
    <row r="46" spans="1:9" x14ac:dyDescent="0.3">
      <c r="A46" t="s">
        <v>42</v>
      </c>
      <c r="B46" t="s">
        <v>43</v>
      </c>
      <c r="C46" t="s">
        <v>24</v>
      </c>
      <c r="D46" t="s">
        <v>44</v>
      </c>
      <c r="E46" s="2">
        <v>50310.09</v>
      </c>
      <c r="F46" s="1">
        <v>44285</v>
      </c>
      <c r="G46">
        <v>0.4</v>
      </c>
      <c r="H46" t="s">
        <v>13</v>
      </c>
      <c r="I46" t="s">
        <v>18</v>
      </c>
    </row>
    <row r="47" spans="1:9" x14ac:dyDescent="0.3">
      <c r="A47" t="s">
        <v>72</v>
      </c>
      <c r="B47" t="s">
        <v>73</v>
      </c>
      <c r="C47" t="s">
        <v>24</v>
      </c>
      <c r="D47" t="s">
        <v>44</v>
      </c>
      <c r="E47" s="2">
        <v>48525.71</v>
      </c>
      <c r="F47" s="1">
        <v>43264</v>
      </c>
      <c r="G47">
        <v>1</v>
      </c>
      <c r="H47" t="s">
        <v>13</v>
      </c>
      <c r="I47" t="s">
        <v>18</v>
      </c>
    </row>
    <row r="48" spans="1:9" x14ac:dyDescent="0.3">
      <c r="A48" t="s">
        <v>123</v>
      </c>
      <c r="B48" t="s">
        <v>124</v>
      </c>
      <c r="C48" t="s">
        <v>11</v>
      </c>
      <c r="D48" t="s">
        <v>89</v>
      </c>
      <c r="E48" s="2">
        <v>47551.89</v>
      </c>
      <c r="F48" s="1">
        <v>43468</v>
      </c>
      <c r="G48">
        <v>1</v>
      </c>
      <c r="H48" t="s">
        <v>13</v>
      </c>
      <c r="I48" t="s">
        <v>56</v>
      </c>
    </row>
    <row r="49" spans="1:9" x14ac:dyDescent="0.3">
      <c r="A49" t="s">
        <v>87</v>
      </c>
      <c r="B49" t="s">
        <v>88</v>
      </c>
      <c r="C49" t="s">
        <v>11</v>
      </c>
      <c r="D49" t="s">
        <v>89</v>
      </c>
      <c r="E49" s="2">
        <v>41934.71</v>
      </c>
      <c r="F49" s="1">
        <v>43780</v>
      </c>
      <c r="G49">
        <v>1</v>
      </c>
      <c r="H49" t="s">
        <v>13</v>
      </c>
      <c r="I49" t="s">
        <v>26</v>
      </c>
    </row>
    <row r="50" spans="1:9" x14ac:dyDescent="0.3">
      <c r="A50" t="s">
        <v>108</v>
      </c>
      <c r="B50" t="s">
        <v>109</v>
      </c>
      <c r="C50" t="s">
        <v>11</v>
      </c>
      <c r="D50" t="s">
        <v>89</v>
      </c>
      <c r="E50" s="2">
        <v>39535.49</v>
      </c>
      <c r="F50" s="1">
        <v>43397</v>
      </c>
      <c r="G50">
        <v>0.3</v>
      </c>
      <c r="H50" t="s">
        <v>13</v>
      </c>
      <c r="I50" t="s">
        <v>26</v>
      </c>
    </row>
    <row r="51" spans="1:9" x14ac:dyDescent="0.3">
      <c r="A51" t="s">
        <v>98</v>
      </c>
      <c r="B51" t="s">
        <v>99</v>
      </c>
      <c r="C51" t="s">
        <v>24</v>
      </c>
      <c r="D51" t="s">
        <v>29</v>
      </c>
      <c r="E51" s="2">
        <v>37362.300000000003</v>
      </c>
      <c r="F51" s="1">
        <v>43642</v>
      </c>
      <c r="G51">
        <v>1</v>
      </c>
      <c r="H51" t="s">
        <v>13</v>
      </c>
      <c r="I51" t="s">
        <v>56</v>
      </c>
    </row>
    <row r="52" spans="1:9" x14ac:dyDescent="0.3">
      <c r="A52" t="s">
        <v>104</v>
      </c>
      <c r="B52" t="s">
        <v>105</v>
      </c>
      <c r="C52" t="s">
        <v>24</v>
      </c>
      <c r="D52" t="s">
        <v>82</v>
      </c>
      <c r="E52" s="2">
        <v>36714.379999999997</v>
      </c>
      <c r="F52" s="1">
        <v>44175</v>
      </c>
      <c r="G52">
        <v>1</v>
      </c>
      <c r="H52" t="s">
        <v>13</v>
      </c>
      <c r="I52" t="s">
        <v>50</v>
      </c>
    </row>
    <row r="53" spans="1:9" x14ac:dyDescent="0.3">
      <c r="A53" t="s">
        <v>74</v>
      </c>
      <c r="B53" t="s">
        <v>75</v>
      </c>
      <c r="C53" t="s">
        <v>24</v>
      </c>
      <c r="D53" t="s">
        <v>37</v>
      </c>
      <c r="E53" s="2">
        <v>36547.58</v>
      </c>
      <c r="F53" s="1">
        <v>43416</v>
      </c>
      <c r="G53">
        <v>1</v>
      </c>
      <c r="H53" t="s">
        <v>13</v>
      </c>
      <c r="I53" t="s">
        <v>26</v>
      </c>
    </row>
    <row r="54" spans="1:9" x14ac:dyDescent="0.3">
      <c r="A54" t="s">
        <v>74</v>
      </c>
      <c r="B54" t="s">
        <v>75</v>
      </c>
      <c r="C54" t="s">
        <v>24</v>
      </c>
      <c r="D54" t="s">
        <v>37</v>
      </c>
      <c r="E54" s="2">
        <v>36547.58</v>
      </c>
      <c r="F54" s="1">
        <v>43416</v>
      </c>
      <c r="G54">
        <v>1</v>
      </c>
      <c r="H54" t="s">
        <v>13</v>
      </c>
      <c r="I54" t="s">
        <v>26</v>
      </c>
    </row>
    <row r="55" spans="1:9" x14ac:dyDescent="0.3">
      <c r="A55" t="s">
        <v>117</v>
      </c>
      <c r="B55" t="s">
        <v>118</v>
      </c>
      <c r="C55" t="s">
        <v>11</v>
      </c>
      <c r="D55" t="s">
        <v>44</v>
      </c>
      <c r="E55" s="2">
        <v>35943.620000000003</v>
      </c>
      <c r="F55" s="1">
        <v>44078</v>
      </c>
      <c r="G55">
        <v>1</v>
      </c>
      <c r="H55" t="s">
        <v>13</v>
      </c>
      <c r="I55" t="s">
        <v>21</v>
      </c>
    </row>
    <row r="56" spans="1:9" x14ac:dyDescent="0.3">
      <c r="A56" t="s">
        <v>48</v>
      </c>
      <c r="B56" t="s">
        <v>49</v>
      </c>
      <c r="C56" t="s">
        <v>24</v>
      </c>
      <c r="D56" t="s">
        <v>37</v>
      </c>
      <c r="E56" s="2">
        <v>35936.31</v>
      </c>
      <c r="F56" s="1">
        <v>43241</v>
      </c>
      <c r="G56">
        <v>1</v>
      </c>
      <c r="H56" t="s">
        <v>13</v>
      </c>
      <c r="I56" t="s">
        <v>50</v>
      </c>
    </row>
    <row r="57" spans="1:9" x14ac:dyDescent="0.3">
      <c r="A57" t="s">
        <v>102</v>
      </c>
      <c r="B57" t="s">
        <v>103</v>
      </c>
      <c r="C57" t="s">
        <v>24</v>
      </c>
      <c r="D57" t="s">
        <v>89</v>
      </c>
      <c r="E57" s="2">
        <v>32192.15</v>
      </c>
      <c r="F57" s="1">
        <v>44473</v>
      </c>
      <c r="G57">
        <v>1</v>
      </c>
      <c r="H57" t="s">
        <v>13</v>
      </c>
      <c r="I57" t="s">
        <v>18</v>
      </c>
    </row>
    <row r="58" spans="1:9" x14ac:dyDescent="0.3">
      <c r="A58" t="s">
        <v>38</v>
      </c>
      <c r="B58" t="s">
        <v>39</v>
      </c>
      <c r="C58" t="s">
        <v>24</v>
      </c>
      <c r="D58" t="s">
        <v>34</v>
      </c>
      <c r="E58" s="2">
        <v>29774.76</v>
      </c>
      <c r="F58" s="1">
        <v>44105</v>
      </c>
      <c r="G58">
        <v>1</v>
      </c>
      <c r="H58" t="s">
        <v>13</v>
      </c>
      <c r="I58" t="s">
        <v>14</v>
      </c>
    </row>
    <row r="59" spans="1:9" x14ac:dyDescent="0.3">
      <c r="E59" s="3">
        <f>SUM(E2:E58)</f>
        <v>4178494.790000001</v>
      </c>
      <c r="F59" s="1"/>
      <c r="G59">
        <f>SUM(G2:G58)</f>
        <v>51.199999999999989</v>
      </c>
    </row>
    <row r="1048576" spans="5:5" x14ac:dyDescent="0.3">
      <c r="E1048576" s="2">
        <f>SUM(E2:E1048575)</f>
        <v>8356989.5800000019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6CC8B-AD30-43E7-B76F-E73E5F52E524}">
  <dimension ref="A1:G95"/>
  <sheetViews>
    <sheetView workbookViewId="0">
      <selection activeCell="G28" sqref="G28"/>
    </sheetView>
  </sheetViews>
  <sheetFormatPr defaultRowHeight="14.4" x14ac:dyDescent="0.3"/>
  <cols>
    <col min="1" max="1" width="15.21875" bestFit="1" customWidth="1"/>
    <col min="2" max="2" width="17.21875" bestFit="1" customWidth="1"/>
    <col min="3" max="3" width="7.21875" bestFit="1" customWidth="1"/>
    <col min="4" max="4" width="8" bestFit="1" customWidth="1"/>
    <col min="6" max="6" width="7.33203125" bestFit="1" customWidth="1"/>
    <col min="7" max="7" width="9.88671875" style="4" bestFit="1" customWidth="1"/>
  </cols>
  <sheetData>
    <row r="1" spans="1:7" x14ac:dyDescent="0.3">
      <c r="A1" t="s">
        <v>140</v>
      </c>
      <c r="B1" t="s">
        <v>141</v>
      </c>
      <c r="C1" t="s">
        <v>142</v>
      </c>
      <c r="D1" t="s">
        <v>143</v>
      </c>
      <c r="E1" t="s">
        <v>144</v>
      </c>
      <c r="F1" t="s">
        <v>145</v>
      </c>
      <c r="G1" s="4" t="s">
        <v>146</v>
      </c>
    </row>
    <row r="2" spans="1:7" x14ac:dyDescent="0.3">
      <c r="A2" t="s">
        <v>147</v>
      </c>
      <c r="B2" t="s">
        <v>148</v>
      </c>
      <c r="C2">
        <v>39</v>
      </c>
      <c r="D2">
        <v>41</v>
      </c>
      <c r="E2">
        <v>33</v>
      </c>
      <c r="F2">
        <v>113</v>
      </c>
      <c r="G2" s="4">
        <v>0.34513274336283201</v>
      </c>
    </row>
    <row r="3" spans="1:7" x14ac:dyDescent="0.3">
      <c r="A3" t="s">
        <v>149</v>
      </c>
      <c r="B3" t="s">
        <v>150</v>
      </c>
      <c r="C3">
        <v>38</v>
      </c>
      <c r="D3">
        <v>32</v>
      </c>
      <c r="E3">
        <v>19</v>
      </c>
      <c r="F3">
        <v>89</v>
      </c>
      <c r="G3" s="4">
        <v>0.426966292134831</v>
      </c>
    </row>
    <row r="4" spans="1:7" x14ac:dyDescent="0.3">
      <c r="A4" t="s">
        <v>151</v>
      </c>
      <c r="B4" t="s">
        <v>152</v>
      </c>
      <c r="C4">
        <v>27</v>
      </c>
      <c r="D4">
        <v>14</v>
      </c>
      <c r="E4">
        <v>17</v>
      </c>
      <c r="F4">
        <v>58</v>
      </c>
      <c r="G4" s="4">
        <v>0.46551724137931</v>
      </c>
    </row>
    <row r="5" spans="1:7" x14ac:dyDescent="0.3">
      <c r="A5" t="s">
        <v>153</v>
      </c>
      <c r="B5" t="s">
        <v>154</v>
      </c>
      <c r="C5">
        <v>22</v>
      </c>
      <c r="D5">
        <v>20</v>
      </c>
      <c r="E5">
        <v>22</v>
      </c>
      <c r="F5">
        <v>64</v>
      </c>
      <c r="G5" s="4">
        <v>0.34375</v>
      </c>
    </row>
    <row r="6" spans="1:7" x14ac:dyDescent="0.3">
      <c r="A6" t="s">
        <v>155</v>
      </c>
      <c r="B6" t="s">
        <v>156</v>
      </c>
      <c r="C6">
        <v>20</v>
      </c>
      <c r="D6">
        <v>28</v>
      </c>
      <c r="E6">
        <v>23</v>
      </c>
      <c r="F6">
        <v>71</v>
      </c>
      <c r="G6" s="4">
        <v>0.28169014084506999</v>
      </c>
    </row>
    <row r="7" spans="1:7" x14ac:dyDescent="0.3">
      <c r="A7" t="s">
        <v>157</v>
      </c>
      <c r="B7" t="s">
        <v>158</v>
      </c>
      <c r="C7">
        <v>17</v>
      </c>
      <c r="D7">
        <v>7</v>
      </c>
      <c r="E7">
        <v>22</v>
      </c>
      <c r="F7">
        <v>46</v>
      </c>
      <c r="G7" s="4">
        <v>0.36956521739130399</v>
      </c>
    </row>
    <row r="8" spans="1:7" x14ac:dyDescent="0.3">
      <c r="A8" t="s">
        <v>159</v>
      </c>
      <c r="B8" t="s">
        <v>160</v>
      </c>
      <c r="C8">
        <v>10</v>
      </c>
      <c r="D8">
        <v>12</v>
      </c>
      <c r="E8">
        <v>14</v>
      </c>
      <c r="F8">
        <v>36</v>
      </c>
      <c r="G8" s="4">
        <v>0.27777777777777801</v>
      </c>
    </row>
    <row r="9" spans="1:7" x14ac:dyDescent="0.3">
      <c r="A9" t="s">
        <v>161</v>
      </c>
      <c r="B9" t="s">
        <v>162</v>
      </c>
      <c r="C9">
        <v>10</v>
      </c>
      <c r="D9">
        <v>12</v>
      </c>
      <c r="E9">
        <v>11</v>
      </c>
      <c r="F9">
        <v>33</v>
      </c>
      <c r="G9" s="4">
        <v>0.30303030303030298</v>
      </c>
    </row>
    <row r="10" spans="1:7" x14ac:dyDescent="0.3">
      <c r="A10" t="s">
        <v>163</v>
      </c>
      <c r="B10" t="s">
        <v>164</v>
      </c>
      <c r="C10">
        <v>10</v>
      </c>
      <c r="D10">
        <v>11</v>
      </c>
      <c r="E10">
        <v>16</v>
      </c>
      <c r="F10">
        <v>37</v>
      </c>
      <c r="G10" s="4">
        <v>0.27027027027027001</v>
      </c>
    </row>
    <row r="11" spans="1:7" x14ac:dyDescent="0.3">
      <c r="A11" t="s">
        <v>165</v>
      </c>
      <c r="B11" t="s">
        <v>166</v>
      </c>
      <c r="C11">
        <v>10</v>
      </c>
      <c r="D11">
        <v>10</v>
      </c>
      <c r="E11">
        <v>20</v>
      </c>
      <c r="F11">
        <v>40</v>
      </c>
      <c r="G11" s="4">
        <v>0.25</v>
      </c>
    </row>
    <row r="12" spans="1:7" x14ac:dyDescent="0.3">
      <c r="A12" t="s">
        <v>167</v>
      </c>
      <c r="B12" t="s">
        <v>168</v>
      </c>
      <c r="C12">
        <v>7</v>
      </c>
      <c r="D12">
        <v>7</v>
      </c>
      <c r="E12">
        <v>10</v>
      </c>
      <c r="F12">
        <v>24</v>
      </c>
      <c r="G12" s="4">
        <v>0.29166666666666702</v>
      </c>
    </row>
    <row r="13" spans="1:7" x14ac:dyDescent="0.3">
      <c r="A13" t="s">
        <v>169</v>
      </c>
      <c r="B13" t="s">
        <v>170</v>
      </c>
      <c r="C13">
        <v>7</v>
      </c>
      <c r="D13">
        <v>6</v>
      </c>
      <c r="E13">
        <v>8</v>
      </c>
      <c r="F13">
        <v>21</v>
      </c>
      <c r="G13" s="4">
        <v>0.33333333333333298</v>
      </c>
    </row>
    <row r="14" spans="1:7" x14ac:dyDescent="0.3">
      <c r="A14" t="s">
        <v>171</v>
      </c>
      <c r="B14" t="s">
        <v>172</v>
      </c>
      <c r="C14">
        <v>7</v>
      </c>
      <c r="D14">
        <v>6</v>
      </c>
      <c r="E14">
        <v>7</v>
      </c>
      <c r="F14">
        <v>20</v>
      </c>
      <c r="G14" s="4">
        <v>0.35</v>
      </c>
    </row>
    <row r="15" spans="1:7" x14ac:dyDescent="0.3">
      <c r="A15" t="s">
        <v>173</v>
      </c>
      <c r="B15" t="s">
        <v>174</v>
      </c>
      <c r="C15">
        <v>7</v>
      </c>
      <c r="D15">
        <v>3</v>
      </c>
      <c r="E15">
        <v>5</v>
      </c>
      <c r="F15">
        <v>15</v>
      </c>
      <c r="G15" s="4">
        <v>0.46666666666666701</v>
      </c>
    </row>
    <row r="16" spans="1:7" x14ac:dyDescent="0.3">
      <c r="A16" t="s">
        <v>175</v>
      </c>
      <c r="B16" t="s">
        <v>176</v>
      </c>
      <c r="C16">
        <v>6</v>
      </c>
      <c r="D16">
        <v>7</v>
      </c>
      <c r="E16">
        <v>7</v>
      </c>
      <c r="F16">
        <v>20</v>
      </c>
      <c r="G16" s="4">
        <v>0.3</v>
      </c>
    </row>
    <row r="17" spans="1:7" x14ac:dyDescent="0.3">
      <c r="A17" t="s">
        <v>177</v>
      </c>
      <c r="B17" t="s">
        <v>178</v>
      </c>
      <c r="C17">
        <v>6</v>
      </c>
      <c r="D17">
        <v>4</v>
      </c>
      <c r="E17">
        <v>10</v>
      </c>
      <c r="F17">
        <v>20</v>
      </c>
      <c r="G17" s="4">
        <v>0.3</v>
      </c>
    </row>
    <row r="18" spans="1:7" x14ac:dyDescent="0.3">
      <c r="A18" t="s">
        <v>179</v>
      </c>
      <c r="B18" t="s">
        <v>180</v>
      </c>
      <c r="C18">
        <v>4</v>
      </c>
      <c r="D18">
        <v>5</v>
      </c>
      <c r="E18">
        <v>5</v>
      </c>
      <c r="F18">
        <v>14</v>
      </c>
      <c r="G18" s="4">
        <v>0.28571428571428598</v>
      </c>
    </row>
    <row r="19" spans="1:7" x14ac:dyDescent="0.3">
      <c r="A19" t="s">
        <v>181</v>
      </c>
      <c r="B19" t="s">
        <v>182</v>
      </c>
      <c r="C19">
        <v>4</v>
      </c>
      <c r="D19">
        <v>4</v>
      </c>
      <c r="E19">
        <v>3</v>
      </c>
      <c r="F19">
        <v>11</v>
      </c>
      <c r="G19" s="4">
        <v>0.36363636363636398</v>
      </c>
    </row>
    <row r="20" spans="1:7" x14ac:dyDescent="0.3">
      <c r="A20" t="s">
        <v>183</v>
      </c>
      <c r="B20" t="s">
        <v>184</v>
      </c>
      <c r="C20">
        <v>4</v>
      </c>
      <c r="D20">
        <v>4</v>
      </c>
      <c r="E20">
        <v>2</v>
      </c>
      <c r="F20">
        <v>10</v>
      </c>
      <c r="G20" s="4">
        <v>0.4</v>
      </c>
    </row>
    <row r="21" spans="1:7" x14ac:dyDescent="0.3">
      <c r="A21" t="s">
        <v>185</v>
      </c>
      <c r="B21" t="s">
        <v>186</v>
      </c>
      <c r="C21">
        <v>4</v>
      </c>
      <c r="D21">
        <v>2</v>
      </c>
      <c r="E21">
        <v>2</v>
      </c>
      <c r="F21">
        <v>8</v>
      </c>
      <c r="G21" s="4">
        <v>0.5</v>
      </c>
    </row>
    <row r="22" spans="1:7" x14ac:dyDescent="0.3">
      <c r="A22" t="s">
        <v>187</v>
      </c>
      <c r="B22" t="s">
        <v>188</v>
      </c>
      <c r="C22">
        <v>4</v>
      </c>
      <c r="D22">
        <v>1</v>
      </c>
      <c r="E22">
        <v>4</v>
      </c>
      <c r="F22">
        <v>9</v>
      </c>
      <c r="G22" s="4">
        <v>0.44444444444444398</v>
      </c>
    </row>
    <row r="23" spans="1:7" x14ac:dyDescent="0.3">
      <c r="A23" t="s">
        <v>189</v>
      </c>
      <c r="B23" t="s">
        <v>190</v>
      </c>
      <c r="C23">
        <v>3</v>
      </c>
      <c r="D23">
        <v>8</v>
      </c>
      <c r="E23">
        <v>6</v>
      </c>
      <c r="F23">
        <v>17</v>
      </c>
      <c r="G23" s="4">
        <v>0.17647058823529399</v>
      </c>
    </row>
    <row r="24" spans="1:7" x14ac:dyDescent="0.3">
      <c r="A24" t="s">
        <v>191</v>
      </c>
      <c r="B24" t="s">
        <v>192</v>
      </c>
      <c r="C24">
        <v>3</v>
      </c>
      <c r="D24">
        <v>6</v>
      </c>
      <c r="E24">
        <v>0</v>
      </c>
      <c r="F24">
        <v>9</v>
      </c>
      <c r="G24" s="4">
        <v>0.33333333333333298</v>
      </c>
    </row>
    <row r="25" spans="1:7" x14ac:dyDescent="0.3">
      <c r="A25" t="s">
        <v>193</v>
      </c>
      <c r="B25" t="s">
        <v>194</v>
      </c>
      <c r="C25">
        <v>3</v>
      </c>
      <c r="D25">
        <v>4</v>
      </c>
      <c r="E25">
        <v>6</v>
      </c>
      <c r="F25">
        <v>13</v>
      </c>
      <c r="G25" s="4">
        <v>0.230769230769231</v>
      </c>
    </row>
    <row r="26" spans="1:7" x14ac:dyDescent="0.3">
      <c r="A26" t="s">
        <v>195</v>
      </c>
      <c r="B26" t="s">
        <v>196</v>
      </c>
      <c r="C26">
        <v>3</v>
      </c>
      <c r="D26">
        <v>4</v>
      </c>
      <c r="E26">
        <v>4</v>
      </c>
      <c r="F26">
        <v>11</v>
      </c>
      <c r="G26" s="4">
        <v>0.27272727272727298</v>
      </c>
    </row>
    <row r="27" spans="1:7" x14ac:dyDescent="0.3">
      <c r="A27" t="s">
        <v>197</v>
      </c>
      <c r="B27" t="s">
        <v>198</v>
      </c>
      <c r="C27">
        <v>3</v>
      </c>
      <c r="D27">
        <v>3</v>
      </c>
      <c r="E27">
        <v>3</v>
      </c>
      <c r="F27">
        <v>9</v>
      </c>
      <c r="G27" s="4">
        <v>0.33333333333333298</v>
      </c>
    </row>
    <row r="28" spans="1:7" x14ac:dyDescent="0.3">
      <c r="A28" t="s">
        <v>199</v>
      </c>
      <c r="B28" t="s">
        <v>200</v>
      </c>
      <c r="C28">
        <v>3</v>
      </c>
      <c r="D28">
        <v>2</v>
      </c>
      <c r="E28">
        <v>2</v>
      </c>
      <c r="F28">
        <v>7</v>
      </c>
      <c r="G28" s="4">
        <v>0.42857142857142899</v>
      </c>
    </row>
    <row r="29" spans="1:7" x14ac:dyDescent="0.3">
      <c r="A29" t="s">
        <v>201</v>
      </c>
      <c r="B29" t="s">
        <v>202</v>
      </c>
      <c r="C29">
        <v>3</v>
      </c>
      <c r="D29">
        <v>1</v>
      </c>
      <c r="E29">
        <v>4</v>
      </c>
      <c r="F29">
        <v>8</v>
      </c>
      <c r="G29" s="4">
        <v>0.375</v>
      </c>
    </row>
    <row r="30" spans="1:7" x14ac:dyDescent="0.3">
      <c r="A30" t="s">
        <v>203</v>
      </c>
      <c r="B30" t="s">
        <v>204</v>
      </c>
      <c r="C30">
        <v>3</v>
      </c>
      <c r="D30">
        <v>1</v>
      </c>
      <c r="E30">
        <v>3</v>
      </c>
      <c r="F30">
        <v>7</v>
      </c>
      <c r="G30" s="4">
        <v>0.42857142857142899</v>
      </c>
    </row>
    <row r="31" spans="1:7" x14ac:dyDescent="0.3">
      <c r="A31" t="s">
        <v>205</v>
      </c>
      <c r="B31" t="s">
        <v>206</v>
      </c>
      <c r="C31">
        <v>3</v>
      </c>
      <c r="D31">
        <v>1</v>
      </c>
      <c r="E31">
        <v>2</v>
      </c>
      <c r="F31">
        <v>6</v>
      </c>
      <c r="G31" s="4">
        <v>0.5</v>
      </c>
    </row>
    <row r="32" spans="1:7" x14ac:dyDescent="0.3">
      <c r="A32" t="s">
        <v>207</v>
      </c>
      <c r="B32" t="s">
        <v>208</v>
      </c>
      <c r="C32">
        <v>3</v>
      </c>
      <c r="D32">
        <v>1</v>
      </c>
      <c r="E32">
        <v>1</v>
      </c>
      <c r="F32">
        <v>5</v>
      </c>
      <c r="G32" s="4">
        <v>0.6</v>
      </c>
    </row>
    <row r="33" spans="1:7" x14ac:dyDescent="0.3">
      <c r="A33" t="s">
        <v>209</v>
      </c>
      <c r="B33" t="s">
        <v>210</v>
      </c>
      <c r="C33">
        <v>3</v>
      </c>
      <c r="D33">
        <v>0</v>
      </c>
      <c r="E33">
        <v>2</v>
      </c>
      <c r="F33">
        <v>5</v>
      </c>
      <c r="G33" s="4">
        <v>0.6</v>
      </c>
    </row>
    <row r="34" spans="1:7" x14ac:dyDescent="0.3">
      <c r="A34" t="s">
        <v>211</v>
      </c>
      <c r="B34" t="s">
        <v>212</v>
      </c>
      <c r="C34">
        <v>2</v>
      </c>
      <c r="D34">
        <v>5</v>
      </c>
      <c r="E34">
        <v>1</v>
      </c>
      <c r="F34">
        <v>8</v>
      </c>
      <c r="G34" s="4">
        <v>0.25</v>
      </c>
    </row>
    <row r="35" spans="1:7" x14ac:dyDescent="0.3">
      <c r="A35" t="s">
        <v>213</v>
      </c>
      <c r="B35" t="s">
        <v>214</v>
      </c>
      <c r="C35">
        <v>2</v>
      </c>
      <c r="D35">
        <v>4</v>
      </c>
      <c r="E35">
        <v>6</v>
      </c>
      <c r="F35">
        <v>12</v>
      </c>
      <c r="G35" s="4">
        <v>0.16666666666666699</v>
      </c>
    </row>
    <row r="36" spans="1:7" x14ac:dyDescent="0.3">
      <c r="A36" t="s">
        <v>215</v>
      </c>
      <c r="B36" t="s">
        <v>216</v>
      </c>
      <c r="C36">
        <v>2</v>
      </c>
      <c r="D36">
        <v>2</v>
      </c>
      <c r="E36">
        <v>9</v>
      </c>
      <c r="F36">
        <v>13</v>
      </c>
      <c r="G36" s="4">
        <v>0.15384615384615399</v>
      </c>
    </row>
    <row r="37" spans="1:7" x14ac:dyDescent="0.3">
      <c r="A37" t="s">
        <v>217</v>
      </c>
      <c r="B37" t="s">
        <v>218</v>
      </c>
      <c r="C37">
        <v>2</v>
      </c>
      <c r="D37">
        <v>1</v>
      </c>
      <c r="E37">
        <v>1</v>
      </c>
      <c r="F37">
        <v>4</v>
      </c>
      <c r="G37" s="4">
        <v>0.5</v>
      </c>
    </row>
    <row r="38" spans="1:7" x14ac:dyDescent="0.3">
      <c r="A38" t="s">
        <v>217</v>
      </c>
      <c r="B38" t="s">
        <v>219</v>
      </c>
      <c r="C38">
        <v>2</v>
      </c>
      <c r="D38">
        <v>1</v>
      </c>
      <c r="E38">
        <v>1</v>
      </c>
      <c r="F38">
        <v>4</v>
      </c>
      <c r="G38" s="4">
        <v>0.5</v>
      </c>
    </row>
    <row r="39" spans="1:7" x14ac:dyDescent="0.3">
      <c r="A39" t="s">
        <v>220</v>
      </c>
      <c r="B39" t="s">
        <v>221</v>
      </c>
      <c r="C39">
        <v>2</v>
      </c>
      <c r="D39">
        <v>1</v>
      </c>
      <c r="E39">
        <v>0</v>
      </c>
      <c r="F39">
        <v>3</v>
      </c>
      <c r="G39" s="4">
        <v>0.66666666666666696</v>
      </c>
    </row>
    <row r="40" spans="1:7" x14ac:dyDescent="0.3">
      <c r="A40" t="s">
        <v>222</v>
      </c>
      <c r="B40" t="s">
        <v>223</v>
      </c>
      <c r="C40">
        <v>2</v>
      </c>
      <c r="D40">
        <v>0</v>
      </c>
      <c r="E40">
        <v>2</v>
      </c>
      <c r="F40">
        <v>4</v>
      </c>
      <c r="G40" s="4">
        <v>0.5</v>
      </c>
    </row>
    <row r="41" spans="1:7" x14ac:dyDescent="0.3">
      <c r="A41" t="s">
        <v>222</v>
      </c>
      <c r="B41" t="s">
        <v>224</v>
      </c>
      <c r="C41">
        <v>2</v>
      </c>
      <c r="D41">
        <v>0</v>
      </c>
      <c r="E41">
        <v>2</v>
      </c>
      <c r="F41">
        <v>4</v>
      </c>
      <c r="G41" s="4">
        <v>0.5</v>
      </c>
    </row>
    <row r="42" spans="1:7" x14ac:dyDescent="0.3">
      <c r="A42" t="s">
        <v>225</v>
      </c>
      <c r="B42" t="s">
        <v>226</v>
      </c>
      <c r="C42">
        <v>2</v>
      </c>
      <c r="D42">
        <v>0</v>
      </c>
      <c r="E42">
        <v>1</v>
      </c>
      <c r="F42">
        <v>3</v>
      </c>
      <c r="G42" s="4">
        <v>0.66666666666666696</v>
      </c>
    </row>
    <row r="43" spans="1:7" x14ac:dyDescent="0.3">
      <c r="A43" t="s">
        <v>227</v>
      </c>
      <c r="B43" t="s">
        <v>228</v>
      </c>
      <c r="C43">
        <v>2</v>
      </c>
      <c r="D43">
        <v>0</v>
      </c>
      <c r="E43">
        <v>0</v>
      </c>
      <c r="F43">
        <v>2</v>
      </c>
      <c r="G43" s="4">
        <v>1</v>
      </c>
    </row>
    <row r="44" spans="1:7" x14ac:dyDescent="0.3">
      <c r="A44" t="s">
        <v>227</v>
      </c>
      <c r="B44" t="s">
        <v>229</v>
      </c>
      <c r="C44">
        <v>2</v>
      </c>
      <c r="D44">
        <v>0</v>
      </c>
      <c r="E44">
        <v>0</v>
      </c>
      <c r="F44">
        <v>2</v>
      </c>
      <c r="G44" s="4">
        <v>1</v>
      </c>
    </row>
    <row r="45" spans="1:7" x14ac:dyDescent="0.3">
      <c r="A45" t="s">
        <v>230</v>
      </c>
      <c r="B45" t="s">
        <v>231</v>
      </c>
      <c r="C45">
        <v>1</v>
      </c>
      <c r="D45">
        <v>6</v>
      </c>
      <c r="E45">
        <v>12</v>
      </c>
      <c r="F45">
        <v>19</v>
      </c>
      <c r="G45" s="4">
        <v>5.2631578947368397E-2</v>
      </c>
    </row>
    <row r="46" spans="1:7" x14ac:dyDescent="0.3">
      <c r="A46" t="s">
        <v>232</v>
      </c>
      <c r="B46" t="s">
        <v>233</v>
      </c>
      <c r="C46">
        <v>1</v>
      </c>
      <c r="D46">
        <v>3</v>
      </c>
      <c r="E46">
        <v>3</v>
      </c>
      <c r="F46">
        <v>7</v>
      </c>
      <c r="G46" s="4">
        <v>0.14285714285714299</v>
      </c>
    </row>
    <row r="47" spans="1:7" x14ac:dyDescent="0.3">
      <c r="A47" t="s">
        <v>234</v>
      </c>
      <c r="B47" t="s">
        <v>235</v>
      </c>
      <c r="C47">
        <v>1</v>
      </c>
      <c r="D47">
        <v>3</v>
      </c>
      <c r="E47">
        <v>0</v>
      </c>
      <c r="F47">
        <v>4</v>
      </c>
      <c r="G47" s="4">
        <v>0.25</v>
      </c>
    </row>
    <row r="48" spans="1:7" x14ac:dyDescent="0.3">
      <c r="A48" t="s">
        <v>234</v>
      </c>
      <c r="B48" t="s">
        <v>236</v>
      </c>
      <c r="C48">
        <v>1</v>
      </c>
      <c r="D48">
        <v>3</v>
      </c>
      <c r="E48">
        <v>0</v>
      </c>
      <c r="F48">
        <v>4</v>
      </c>
      <c r="G48" s="4">
        <v>0.25</v>
      </c>
    </row>
    <row r="49" spans="1:7" x14ac:dyDescent="0.3">
      <c r="A49" t="s">
        <v>237</v>
      </c>
      <c r="B49" t="s">
        <v>238</v>
      </c>
      <c r="C49">
        <v>1</v>
      </c>
      <c r="D49">
        <v>2</v>
      </c>
      <c r="E49">
        <v>4</v>
      </c>
      <c r="F49">
        <v>7</v>
      </c>
      <c r="G49" s="4">
        <v>0.14285714285714299</v>
      </c>
    </row>
    <row r="50" spans="1:7" x14ac:dyDescent="0.3">
      <c r="A50" t="s">
        <v>239</v>
      </c>
      <c r="B50" t="s">
        <v>240</v>
      </c>
      <c r="C50">
        <v>1</v>
      </c>
      <c r="D50">
        <v>2</v>
      </c>
      <c r="E50">
        <v>3</v>
      </c>
      <c r="F50">
        <v>6</v>
      </c>
      <c r="G50" s="4">
        <v>0.16666666666666699</v>
      </c>
    </row>
    <row r="51" spans="1:7" x14ac:dyDescent="0.3">
      <c r="A51" t="s">
        <v>241</v>
      </c>
      <c r="B51" t="s">
        <v>242</v>
      </c>
      <c r="C51">
        <v>1</v>
      </c>
      <c r="D51">
        <v>2</v>
      </c>
      <c r="E51">
        <v>1</v>
      </c>
      <c r="F51">
        <v>4</v>
      </c>
      <c r="G51" s="4">
        <v>0.25</v>
      </c>
    </row>
    <row r="52" spans="1:7" x14ac:dyDescent="0.3">
      <c r="A52" t="s">
        <v>241</v>
      </c>
      <c r="B52" t="s">
        <v>243</v>
      </c>
      <c r="C52">
        <v>1</v>
      </c>
      <c r="D52">
        <v>2</v>
      </c>
      <c r="E52">
        <v>1</v>
      </c>
      <c r="F52">
        <v>4</v>
      </c>
      <c r="G52" s="4">
        <v>0.25</v>
      </c>
    </row>
    <row r="53" spans="1:7" x14ac:dyDescent="0.3">
      <c r="A53" t="s">
        <v>244</v>
      </c>
      <c r="B53" t="s">
        <v>245</v>
      </c>
      <c r="C53">
        <v>1</v>
      </c>
      <c r="D53">
        <v>2</v>
      </c>
      <c r="E53">
        <v>0</v>
      </c>
      <c r="F53">
        <v>3</v>
      </c>
      <c r="G53" s="4">
        <v>0.33333333333333298</v>
      </c>
    </row>
    <row r="54" spans="1:7" x14ac:dyDescent="0.3">
      <c r="A54" t="s">
        <v>246</v>
      </c>
      <c r="B54" t="s">
        <v>247</v>
      </c>
      <c r="C54">
        <v>1</v>
      </c>
      <c r="D54">
        <v>1</v>
      </c>
      <c r="E54">
        <v>5</v>
      </c>
      <c r="F54">
        <v>7</v>
      </c>
      <c r="G54" s="4">
        <v>0.14285714285714299</v>
      </c>
    </row>
    <row r="55" spans="1:7" x14ac:dyDescent="0.3">
      <c r="A55" t="s">
        <v>248</v>
      </c>
      <c r="B55" t="s">
        <v>249</v>
      </c>
      <c r="C55">
        <v>1</v>
      </c>
      <c r="D55">
        <v>1</v>
      </c>
      <c r="E55">
        <v>4</v>
      </c>
      <c r="F55">
        <v>6</v>
      </c>
      <c r="G55" s="4">
        <v>0.16666666666666699</v>
      </c>
    </row>
    <row r="56" spans="1:7" x14ac:dyDescent="0.3">
      <c r="A56" t="s">
        <v>250</v>
      </c>
      <c r="B56" t="s">
        <v>251</v>
      </c>
      <c r="C56">
        <v>1</v>
      </c>
      <c r="D56">
        <v>1</v>
      </c>
      <c r="E56">
        <v>3</v>
      </c>
      <c r="F56">
        <v>5</v>
      </c>
      <c r="G56" s="4">
        <v>0.2</v>
      </c>
    </row>
    <row r="57" spans="1:7" x14ac:dyDescent="0.3">
      <c r="A57" t="s">
        <v>252</v>
      </c>
      <c r="B57" t="s">
        <v>253</v>
      </c>
      <c r="C57">
        <v>1</v>
      </c>
      <c r="D57">
        <v>1</v>
      </c>
      <c r="E57">
        <v>2</v>
      </c>
      <c r="F57">
        <v>4</v>
      </c>
      <c r="G57" s="4">
        <v>0.25</v>
      </c>
    </row>
    <row r="58" spans="1:7" x14ac:dyDescent="0.3">
      <c r="A58" t="s">
        <v>252</v>
      </c>
      <c r="B58" t="s">
        <v>254</v>
      </c>
      <c r="C58">
        <v>1</v>
      </c>
      <c r="D58">
        <v>1</v>
      </c>
      <c r="E58">
        <v>2</v>
      </c>
      <c r="F58">
        <v>4</v>
      </c>
      <c r="G58" s="4">
        <v>0.25</v>
      </c>
    </row>
    <row r="59" spans="1:7" x14ac:dyDescent="0.3">
      <c r="A59" t="s">
        <v>255</v>
      </c>
      <c r="B59" t="s">
        <v>256</v>
      </c>
      <c r="C59">
        <v>1</v>
      </c>
      <c r="D59">
        <v>1</v>
      </c>
      <c r="E59">
        <v>0</v>
      </c>
      <c r="F59">
        <v>2</v>
      </c>
      <c r="G59" s="4">
        <v>0.5</v>
      </c>
    </row>
    <row r="60" spans="1:7" x14ac:dyDescent="0.3">
      <c r="A60" t="s">
        <v>257</v>
      </c>
      <c r="B60" t="s">
        <v>258</v>
      </c>
      <c r="C60">
        <v>1</v>
      </c>
      <c r="D60">
        <v>0</v>
      </c>
      <c r="E60">
        <v>1</v>
      </c>
      <c r="F60">
        <v>2</v>
      </c>
      <c r="G60" s="4">
        <v>0.5</v>
      </c>
    </row>
    <row r="61" spans="1:7" x14ac:dyDescent="0.3">
      <c r="A61" t="s">
        <v>257</v>
      </c>
      <c r="B61" t="s">
        <v>259</v>
      </c>
      <c r="C61">
        <v>1</v>
      </c>
      <c r="D61">
        <v>0</v>
      </c>
      <c r="E61">
        <v>1</v>
      </c>
      <c r="F61">
        <v>2</v>
      </c>
      <c r="G61" s="4">
        <v>0.5</v>
      </c>
    </row>
    <row r="62" spans="1:7" x14ac:dyDescent="0.3">
      <c r="A62" t="s">
        <v>257</v>
      </c>
      <c r="B62" t="s">
        <v>260</v>
      </c>
      <c r="C62">
        <v>1</v>
      </c>
      <c r="D62">
        <v>0</v>
      </c>
      <c r="E62">
        <v>1</v>
      </c>
      <c r="F62">
        <v>2</v>
      </c>
      <c r="G62" s="4">
        <v>0.5</v>
      </c>
    </row>
    <row r="63" spans="1:7" x14ac:dyDescent="0.3">
      <c r="A63" t="s">
        <v>257</v>
      </c>
      <c r="B63" t="s">
        <v>261</v>
      </c>
      <c r="C63">
        <v>1</v>
      </c>
      <c r="D63">
        <v>0</v>
      </c>
      <c r="E63">
        <v>1</v>
      </c>
      <c r="F63">
        <v>2</v>
      </c>
      <c r="G63" s="4">
        <v>0.5</v>
      </c>
    </row>
    <row r="64" spans="1:7" x14ac:dyDescent="0.3">
      <c r="A64" t="s">
        <v>262</v>
      </c>
      <c r="B64" t="s">
        <v>263</v>
      </c>
      <c r="C64">
        <v>1</v>
      </c>
      <c r="D64">
        <v>0</v>
      </c>
      <c r="E64">
        <v>0</v>
      </c>
      <c r="F64">
        <v>1</v>
      </c>
      <c r="G64" s="4">
        <v>1</v>
      </c>
    </row>
    <row r="65" spans="1:7" x14ac:dyDescent="0.3">
      <c r="A65" t="s">
        <v>262</v>
      </c>
      <c r="B65" t="s">
        <v>264</v>
      </c>
      <c r="C65">
        <v>1</v>
      </c>
      <c r="D65">
        <v>0</v>
      </c>
      <c r="E65">
        <v>0</v>
      </c>
      <c r="F65">
        <v>1</v>
      </c>
      <c r="G65" s="4">
        <v>1</v>
      </c>
    </row>
    <row r="66" spans="1:7" x14ac:dyDescent="0.3">
      <c r="A66" t="s">
        <v>262</v>
      </c>
      <c r="B66" t="s">
        <v>265</v>
      </c>
      <c r="C66">
        <v>1</v>
      </c>
      <c r="D66">
        <v>0</v>
      </c>
      <c r="E66">
        <v>0</v>
      </c>
      <c r="F66">
        <v>1</v>
      </c>
      <c r="G66" s="4">
        <v>1</v>
      </c>
    </row>
    <row r="67" spans="1:7" x14ac:dyDescent="0.3">
      <c r="A67" t="s">
        <v>266</v>
      </c>
      <c r="B67" t="s">
        <v>267</v>
      </c>
      <c r="C67">
        <v>0</v>
      </c>
      <c r="D67">
        <v>4</v>
      </c>
      <c r="E67">
        <v>1</v>
      </c>
      <c r="F67">
        <v>5</v>
      </c>
      <c r="G67" s="4">
        <v>0</v>
      </c>
    </row>
    <row r="68" spans="1:7" x14ac:dyDescent="0.3">
      <c r="A68" t="s">
        <v>268</v>
      </c>
      <c r="B68" t="s">
        <v>269</v>
      </c>
      <c r="C68">
        <v>0</v>
      </c>
      <c r="D68">
        <v>3</v>
      </c>
      <c r="E68">
        <v>4</v>
      </c>
      <c r="F68">
        <v>7</v>
      </c>
      <c r="G68" s="4">
        <v>0</v>
      </c>
    </row>
    <row r="69" spans="1:7" x14ac:dyDescent="0.3">
      <c r="A69" t="s">
        <v>270</v>
      </c>
      <c r="B69" t="s">
        <v>271</v>
      </c>
      <c r="C69">
        <v>0</v>
      </c>
      <c r="D69">
        <v>3</v>
      </c>
      <c r="E69">
        <v>2</v>
      </c>
      <c r="F69">
        <v>5</v>
      </c>
      <c r="G69" s="4">
        <v>0</v>
      </c>
    </row>
    <row r="70" spans="1:7" x14ac:dyDescent="0.3">
      <c r="A70" t="s">
        <v>272</v>
      </c>
      <c r="B70" t="s">
        <v>273</v>
      </c>
      <c r="C70">
        <v>0</v>
      </c>
      <c r="D70">
        <v>2</v>
      </c>
      <c r="E70">
        <v>2</v>
      </c>
      <c r="F70">
        <v>4</v>
      </c>
      <c r="G70" s="4">
        <v>0</v>
      </c>
    </row>
    <row r="71" spans="1:7" x14ac:dyDescent="0.3">
      <c r="A71" t="s">
        <v>274</v>
      </c>
      <c r="B71" t="s">
        <v>275</v>
      </c>
      <c r="C71">
        <v>0</v>
      </c>
      <c r="D71">
        <v>2</v>
      </c>
      <c r="E71">
        <v>1</v>
      </c>
      <c r="F71">
        <v>3</v>
      </c>
      <c r="G71" s="4">
        <v>0</v>
      </c>
    </row>
    <row r="72" spans="1:7" x14ac:dyDescent="0.3">
      <c r="A72" t="s">
        <v>276</v>
      </c>
      <c r="B72" t="s">
        <v>277</v>
      </c>
      <c r="C72">
        <v>0</v>
      </c>
      <c r="D72">
        <v>1</v>
      </c>
      <c r="E72">
        <v>3</v>
      </c>
      <c r="F72">
        <v>4</v>
      </c>
      <c r="G72" s="4">
        <v>0</v>
      </c>
    </row>
    <row r="73" spans="1:7" x14ac:dyDescent="0.3">
      <c r="A73" t="s">
        <v>278</v>
      </c>
      <c r="B73" t="s">
        <v>279</v>
      </c>
      <c r="C73">
        <v>0</v>
      </c>
      <c r="D73">
        <v>1</v>
      </c>
      <c r="E73">
        <v>2</v>
      </c>
      <c r="F73">
        <v>3</v>
      </c>
      <c r="G73" s="4">
        <v>0</v>
      </c>
    </row>
    <row r="74" spans="1:7" x14ac:dyDescent="0.3">
      <c r="A74" t="s">
        <v>278</v>
      </c>
      <c r="B74" t="s">
        <v>280</v>
      </c>
      <c r="C74">
        <v>0</v>
      </c>
      <c r="D74">
        <v>1</v>
      </c>
      <c r="E74">
        <v>2</v>
      </c>
      <c r="F74">
        <v>3</v>
      </c>
      <c r="G74" s="4">
        <v>0</v>
      </c>
    </row>
    <row r="75" spans="1:7" x14ac:dyDescent="0.3">
      <c r="A75" t="s">
        <v>281</v>
      </c>
      <c r="B75" t="s">
        <v>282</v>
      </c>
      <c r="C75">
        <v>0</v>
      </c>
      <c r="D75">
        <v>1</v>
      </c>
      <c r="E75">
        <v>1</v>
      </c>
      <c r="F75">
        <v>2</v>
      </c>
      <c r="G75" s="4">
        <v>0</v>
      </c>
    </row>
    <row r="76" spans="1:7" x14ac:dyDescent="0.3">
      <c r="A76" t="s">
        <v>281</v>
      </c>
      <c r="B76" t="s">
        <v>283</v>
      </c>
      <c r="C76">
        <v>0</v>
      </c>
      <c r="D76">
        <v>1</v>
      </c>
      <c r="E76">
        <v>1</v>
      </c>
      <c r="F76">
        <v>2</v>
      </c>
      <c r="G76" s="4">
        <v>0</v>
      </c>
    </row>
    <row r="77" spans="1:7" x14ac:dyDescent="0.3">
      <c r="A77" t="s">
        <v>281</v>
      </c>
      <c r="B77" t="s">
        <v>284</v>
      </c>
      <c r="C77">
        <v>0</v>
      </c>
      <c r="D77">
        <v>1</v>
      </c>
      <c r="E77">
        <v>1</v>
      </c>
      <c r="F77">
        <v>2</v>
      </c>
      <c r="G77" s="4">
        <v>0</v>
      </c>
    </row>
    <row r="78" spans="1:7" x14ac:dyDescent="0.3">
      <c r="A78" t="s">
        <v>285</v>
      </c>
      <c r="B78" t="s">
        <v>286</v>
      </c>
      <c r="C78">
        <v>0</v>
      </c>
      <c r="D78">
        <v>1</v>
      </c>
      <c r="E78">
        <v>0</v>
      </c>
      <c r="F78">
        <v>1</v>
      </c>
      <c r="G78" s="4">
        <v>0</v>
      </c>
    </row>
    <row r="79" spans="1:7" x14ac:dyDescent="0.3">
      <c r="A79" t="s">
        <v>285</v>
      </c>
      <c r="B79" t="s">
        <v>287</v>
      </c>
      <c r="C79">
        <v>0</v>
      </c>
      <c r="D79">
        <v>1</v>
      </c>
      <c r="E79">
        <v>0</v>
      </c>
      <c r="F79">
        <v>1</v>
      </c>
      <c r="G79" s="4">
        <v>0</v>
      </c>
    </row>
    <row r="80" spans="1:7" x14ac:dyDescent="0.3">
      <c r="A80" t="s">
        <v>285</v>
      </c>
      <c r="B80" t="s">
        <v>288</v>
      </c>
      <c r="C80">
        <v>0</v>
      </c>
      <c r="D80">
        <v>1</v>
      </c>
      <c r="E80">
        <v>0</v>
      </c>
      <c r="F80">
        <v>1</v>
      </c>
      <c r="G80" s="4">
        <v>0</v>
      </c>
    </row>
    <row r="81" spans="1:7" x14ac:dyDescent="0.3">
      <c r="A81" t="s">
        <v>285</v>
      </c>
      <c r="B81" t="s">
        <v>289</v>
      </c>
      <c r="C81">
        <v>0</v>
      </c>
      <c r="D81">
        <v>1</v>
      </c>
      <c r="E81">
        <v>0</v>
      </c>
      <c r="F81">
        <v>1</v>
      </c>
      <c r="G81" s="4">
        <v>0</v>
      </c>
    </row>
    <row r="82" spans="1:7" x14ac:dyDescent="0.3">
      <c r="A82" t="s">
        <v>285</v>
      </c>
      <c r="B82" t="s">
        <v>290</v>
      </c>
      <c r="C82">
        <v>0</v>
      </c>
      <c r="D82">
        <v>1</v>
      </c>
      <c r="E82">
        <v>0</v>
      </c>
      <c r="F82">
        <v>1</v>
      </c>
      <c r="G82" s="4">
        <v>0</v>
      </c>
    </row>
    <row r="83" spans="1:7" x14ac:dyDescent="0.3">
      <c r="A83" t="s">
        <v>285</v>
      </c>
      <c r="B83" t="s">
        <v>291</v>
      </c>
      <c r="C83">
        <v>0</v>
      </c>
      <c r="D83">
        <v>1</v>
      </c>
      <c r="E83">
        <v>0</v>
      </c>
      <c r="F83">
        <v>1</v>
      </c>
      <c r="G83" s="4">
        <v>0</v>
      </c>
    </row>
    <row r="84" spans="1:7" x14ac:dyDescent="0.3">
      <c r="A84" t="s">
        <v>292</v>
      </c>
      <c r="B84" t="s">
        <v>293</v>
      </c>
      <c r="C84">
        <v>0</v>
      </c>
      <c r="D84">
        <v>0</v>
      </c>
      <c r="E84">
        <v>8</v>
      </c>
      <c r="F84">
        <v>8</v>
      </c>
      <c r="G84" s="4">
        <v>0</v>
      </c>
    </row>
    <row r="85" spans="1:7" x14ac:dyDescent="0.3">
      <c r="A85" t="s">
        <v>294</v>
      </c>
      <c r="B85" t="s">
        <v>295</v>
      </c>
      <c r="C85">
        <v>0</v>
      </c>
      <c r="D85">
        <v>0</v>
      </c>
      <c r="E85">
        <v>4</v>
      </c>
      <c r="F85">
        <v>4</v>
      </c>
      <c r="G85" s="4">
        <v>0</v>
      </c>
    </row>
    <row r="86" spans="1:7" x14ac:dyDescent="0.3">
      <c r="A86" t="s">
        <v>296</v>
      </c>
      <c r="B86" t="s">
        <v>297</v>
      </c>
      <c r="C86">
        <v>0</v>
      </c>
      <c r="D86">
        <v>0</v>
      </c>
      <c r="E86">
        <v>2</v>
      </c>
      <c r="F86">
        <v>2</v>
      </c>
      <c r="G86" s="4">
        <v>0</v>
      </c>
    </row>
    <row r="87" spans="1:7" x14ac:dyDescent="0.3">
      <c r="A87" t="s">
        <v>298</v>
      </c>
      <c r="B87" t="s">
        <v>299</v>
      </c>
      <c r="C87">
        <v>0</v>
      </c>
      <c r="D87">
        <v>0</v>
      </c>
      <c r="E87">
        <v>1</v>
      </c>
      <c r="F87">
        <v>1</v>
      </c>
      <c r="G87" s="4">
        <v>0</v>
      </c>
    </row>
    <row r="88" spans="1:7" x14ac:dyDescent="0.3">
      <c r="A88" t="s">
        <v>298</v>
      </c>
      <c r="B88" t="s">
        <v>300</v>
      </c>
      <c r="C88">
        <v>0</v>
      </c>
      <c r="D88">
        <v>0</v>
      </c>
      <c r="E88">
        <v>1</v>
      </c>
      <c r="F88">
        <v>1</v>
      </c>
      <c r="G88" s="4">
        <v>0</v>
      </c>
    </row>
    <row r="89" spans="1:7" x14ac:dyDescent="0.3">
      <c r="A89" t="s">
        <v>298</v>
      </c>
      <c r="B89" t="s">
        <v>301</v>
      </c>
      <c r="C89">
        <v>0</v>
      </c>
      <c r="D89">
        <v>0</v>
      </c>
      <c r="E89">
        <v>1</v>
      </c>
      <c r="F89">
        <v>1</v>
      </c>
      <c r="G89" s="4">
        <v>0</v>
      </c>
    </row>
    <row r="90" spans="1:7" x14ac:dyDescent="0.3">
      <c r="A90" t="s">
        <v>298</v>
      </c>
      <c r="B90" t="s">
        <v>302</v>
      </c>
      <c r="C90">
        <v>0</v>
      </c>
      <c r="D90">
        <v>0</v>
      </c>
      <c r="E90">
        <v>1</v>
      </c>
      <c r="F90">
        <v>1</v>
      </c>
      <c r="G90" s="4">
        <v>0</v>
      </c>
    </row>
    <row r="91" spans="1:7" x14ac:dyDescent="0.3">
      <c r="A91" t="s">
        <v>298</v>
      </c>
      <c r="B91" t="s">
        <v>303</v>
      </c>
      <c r="C91">
        <v>0</v>
      </c>
      <c r="D91">
        <v>0</v>
      </c>
      <c r="E91">
        <v>1</v>
      </c>
      <c r="F91">
        <v>1</v>
      </c>
      <c r="G91" s="4">
        <v>0</v>
      </c>
    </row>
    <row r="92" spans="1:7" x14ac:dyDescent="0.3">
      <c r="A92" t="s">
        <v>298</v>
      </c>
      <c r="B92" t="s">
        <v>304</v>
      </c>
      <c r="C92">
        <v>0</v>
      </c>
      <c r="D92">
        <v>0</v>
      </c>
      <c r="E92">
        <v>1</v>
      </c>
      <c r="F92">
        <v>1</v>
      </c>
      <c r="G92" s="4">
        <v>0</v>
      </c>
    </row>
    <row r="93" spans="1:7" x14ac:dyDescent="0.3">
      <c r="A93" t="s">
        <v>298</v>
      </c>
      <c r="B93" t="s">
        <v>305</v>
      </c>
      <c r="C93">
        <v>0</v>
      </c>
      <c r="D93">
        <v>0</v>
      </c>
      <c r="E93">
        <v>1</v>
      </c>
      <c r="F93">
        <v>1</v>
      </c>
      <c r="G93" s="4">
        <v>0</v>
      </c>
    </row>
    <row r="94" spans="1:7" x14ac:dyDescent="0.3">
      <c r="A94" t="s">
        <v>298</v>
      </c>
      <c r="B94" t="s">
        <v>306</v>
      </c>
      <c r="C94">
        <v>0</v>
      </c>
      <c r="D94">
        <v>0</v>
      </c>
      <c r="E94">
        <v>1</v>
      </c>
      <c r="F94">
        <v>1</v>
      </c>
      <c r="G94" s="4">
        <v>0</v>
      </c>
    </row>
    <row r="95" spans="1:7" x14ac:dyDescent="0.3">
      <c r="A95" t="s">
        <v>307</v>
      </c>
      <c r="B95" t="s">
        <v>307</v>
      </c>
      <c r="C95">
        <v>340</v>
      </c>
      <c r="D95">
        <v>338</v>
      </c>
      <c r="E95">
        <v>402</v>
      </c>
      <c r="F95">
        <v>1080</v>
      </c>
      <c r="G95" s="4">
        <v>0.31481481481481499</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001F9-26DD-498D-99C3-228EABAD54E9}">
  <dimension ref="A1:O261"/>
  <sheetViews>
    <sheetView tabSelected="1" topLeftCell="B1" workbookViewId="0">
      <selection activeCell="B1" sqref="B1:B1048576"/>
    </sheetView>
  </sheetViews>
  <sheetFormatPr defaultRowHeight="14.4" x14ac:dyDescent="0.3"/>
  <cols>
    <col min="1" max="1" width="9.109375" bestFit="1" customWidth="1"/>
    <col min="2" max="2" width="12.88671875" bestFit="1" customWidth="1"/>
    <col min="3" max="3" width="18.5546875" bestFit="1" customWidth="1"/>
    <col min="4" max="4" width="11.88671875" bestFit="1" customWidth="1"/>
    <col min="5" max="5" width="23.21875" bestFit="1" customWidth="1"/>
    <col min="6" max="6" width="12.6640625" bestFit="1" customWidth="1"/>
    <col min="7" max="7" width="14.5546875" bestFit="1" customWidth="1"/>
    <col min="8" max="8" width="11.5546875" bestFit="1" customWidth="1"/>
    <col min="9" max="9" width="6.109375" bestFit="1" customWidth="1"/>
    <col min="10" max="10" width="11.77734375" bestFit="1" customWidth="1"/>
    <col min="11" max="11" width="15.5546875" bestFit="1" customWidth="1"/>
    <col min="12" max="12" width="20.88671875" bestFit="1" customWidth="1"/>
    <col min="13" max="13" width="10.6640625" bestFit="1" customWidth="1"/>
    <col min="14" max="14" width="12.21875" bestFit="1" customWidth="1"/>
    <col min="15" max="15" width="21.5546875" customWidth="1"/>
  </cols>
  <sheetData>
    <row r="1" spans="1:15" x14ac:dyDescent="0.3">
      <c r="A1" t="s">
        <v>0</v>
      </c>
      <c r="B1" t="s">
        <v>308</v>
      </c>
      <c r="C1" t="s">
        <v>309</v>
      </c>
      <c r="D1" t="s">
        <v>2</v>
      </c>
      <c r="E1" t="s">
        <v>3</v>
      </c>
      <c r="F1" t="s">
        <v>4</v>
      </c>
      <c r="G1" t="s">
        <v>310</v>
      </c>
      <c r="H1" t="s">
        <v>5</v>
      </c>
      <c r="I1" t="s">
        <v>6</v>
      </c>
      <c r="J1" t="s">
        <v>311</v>
      </c>
      <c r="K1" t="s">
        <v>7</v>
      </c>
      <c r="L1" t="s">
        <v>8</v>
      </c>
      <c r="M1" t="s">
        <v>312</v>
      </c>
      <c r="N1" t="s">
        <v>313</v>
      </c>
      <c r="O1" t="s">
        <v>2085</v>
      </c>
    </row>
    <row r="2" spans="1:15" x14ac:dyDescent="0.3">
      <c r="A2" t="s">
        <v>22</v>
      </c>
      <c r="B2" t="s">
        <v>314</v>
      </c>
      <c r="C2" t="s">
        <v>315</v>
      </c>
      <c r="D2" t="s">
        <v>24</v>
      </c>
      <c r="E2" t="s">
        <v>316</v>
      </c>
      <c r="F2" s="8">
        <v>120000</v>
      </c>
      <c r="G2" t="s">
        <v>317</v>
      </c>
      <c r="H2" s="1">
        <v>43416</v>
      </c>
      <c r="I2">
        <v>1</v>
      </c>
      <c r="J2" t="s">
        <v>318</v>
      </c>
      <c r="K2" t="s">
        <v>13</v>
      </c>
      <c r="L2" t="s">
        <v>26</v>
      </c>
      <c r="M2" s="5">
        <v>2843</v>
      </c>
      <c r="N2" s="6">
        <v>7.7890410958904113</v>
      </c>
    </row>
    <row r="3" spans="1:15" x14ac:dyDescent="0.3">
      <c r="A3" t="s">
        <v>132</v>
      </c>
      <c r="B3" t="s">
        <v>319</v>
      </c>
      <c r="C3" t="s">
        <v>320</v>
      </c>
      <c r="D3" t="s">
        <v>11</v>
      </c>
      <c r="E3" t="s">
        <v>17</v>
      </c>
      <c r="F3" s="8">
        <v>98000</v>
      </c>
      <c r="G3" t="s">
        <v>321</v>
      </c>
      <c r="H3" s="1">
        <v>43710</v>
      </c>
      <c r="I3">
        <v>0.9</v>
      </c>
      <c r="J3" t="s">
        <v>322</v>
      </c>
      <c r="K3" t="s">
        <v>13</v>
      </c>
      <c r="L3" t="s">
        <v>53</v>
      </c>
      <c r="M3" s="5">
        <v>2549</v>
      </c>
      <c r="N3" s="6">
        <v>6.9835616438356167</v>
      </c>
    </row>
    <row r="4" spans="1:15" x14ac:dyDescent="0.3">
      <c r="A4" t="s">
        <v>323</v>
      </c>
      <c r="B4" t="s">
        <v>324</v>
      </c>
      <c r="C4" t="s">
        <v>325</v>
      </c>
      <c r="D4" t="s">
        <v>11</v>
      </c>
      <c r="E4" t="s">
        <v>62</v>
      </c>
      <c r="F4" s="8">
        <v>120000</v>
      </c>
      <c r="G4" t="s">
        <v>317</v>
      </c>
      <c r="H4" s="1">
        <v>43902</v>
      </c>
      <c r="I4">
        <v>0.9</v>
      </c>
      <c r="J4" t="s">
        <v>322</v>
      </c>
      <c r="K4" t="s">
        <v>13</v>
      </c>
      <c r="L4" t="s">
        <v>26</v>
      </c>
      <c r="M4" s="5">
        <v>2357</v>
      </c>
      <c r="N4" s="6">
        <v>6.4575342465753423</v>
      </c>
    </row>
    <row r="5" spans="1:15" x14ac:dyDescent="0.3">
      <c r="A5" t="s">
        <v>326</v>
      </c>
      <c r="B5" t="s">
        <v>327</v>
      </c>
      <c r="C5" t="s">
        <v>328</v>
      </c>
      <c r="D5" t="s">
        <v>11</v>
      </c>
      <c r="E5" t="s">
        <v>12</v>
      </c>
      <c r="F5" s="8">
        <v>93128.34</v>
      </c>
      <c r="G5" t="s">
        <v>321</v>
      </c>
      <c r="H5" s="1">
        <v>43164</v>
      </c>
      <c r="I5">
        <v>1</v>
      </c>
      <c r="J5" t="s">
        <v>318</v>
      </c>
      <c r="K5" t="s">
        <v>329</v>
      </c>
      <c r="L5" t="s">
        <v>53</v>
      </c>
      <c r="M5" s="5">
        <v>3095</v>
      </c>
      <c r="N5" s="6">
        <v>8.4794520547945211</v>
      </c>
    </row>
    <row r="6" spans="1:15" x14ac:dyDescent="0.3">
      <c r="A6" t="s">
        <v>330</v>
      </c>
      <c r="B6" t="s">
        <v>331</v>
      </c>
      <c r="C6" t="s">
        <v>332</v>
      </c>
      <c r="D6" t="s">
        <v>11</v>
      </c>
      <c r="E6" t="s">
        <v>12</v>
      </c>
      <c r="F6" s="8">
        <v>57002.02</v>
      </c>
      <c r="G6" t="s">
        <v>321</v>
      </c>
      <c r="H6" s="1">
        <v>43192</v>
      </c>
      <c r="I6">
        <v>0.7</v>
      </c>
      <c r="J6" t="s">
        <v>322</v>
      </c>
      <c r="K6" t="s">
        <v>13</v>
      </c>
      <c r="L6" t="s">
        <v>18</v>
      </c>
      <c r="M6" s="5">
        <v>3067</v>
      </c>
      <c r="N6" s="6">
        <v>8.4027397260273968</v>
      </c>
    </row>
    <row r="7" spans="1:15" x14ac:dyDescent="0.3">
      <c r="A7" t="s">
        <v>333</v>
      </c>
      <c r="B7" t="s">
        <v>334</v>
      </c>
      <c r="C7" t="s">
        <v>335</v>
      </c>
      <c r="D7" t="s">
        <v>24</v>
      </c>
      <c r="E7" t="s">
        <v>59</v>
      </c>
      <c r="F7" s="8">
        <v>118976.16</v>
      </c>
      <c r="G7" t="s">
        <v>317</v>
      </c>
      <c r="H7" s="1">
        <v>44120</v>
      </c>
      <c r="I7">
        <v>1</v>
      </c>
      <c r="J7" t="s">
        <v>318</v>
      </c>
      <c r="K7" t="s">
        <v>13</v>
      </c>
      <c r="L7" t="s">
        <v>14</v>
      </c>
      <c r="M7" s="5">
        <v>2139</v>
      </c>
      <c r="N7" s="6">
        <v>5.86027397260274</v>
      </c>
    </row>
    <row r="8" spans="1:15" x14ac:dyDescent="0.3">
      <c r="A8" t="s">
        <v>130</v>
      </c>
      <c r="B8" t="s">
        <v>336</v>
      </c>
      <c r="C8" t="s">
        <v>337</v>
      </c>
      <c r="D8" t="s">
        <v>2134</v>
      </c>
      <c r="E8" t="s">
        <v>82</v>
      </c>
      <c r="F8" s="8">
        <v>104802.63</v>
      </c>
      <c r="G8" t="s">
        <v>317</v>
      </c>
      <c r="H8" s="1">
        <v>44502</v>
      </c>
      <c r="I8">
        <v>1</v>
      </c>
      <c r="J8" t="s">
        <v>318</v>
      </c>
      <c r="K8" t="s">
        <v>13</v>
      </c>
      <c r="L8" t="s">
        <v>18</v>
      </c>
      <c r="M8" s="5">
        <v>1757</v>
      </c>
      <c r="N8" s="6">
        <v>4.8136986301369866</v>
      </c>
    </row>
    <row r="9" spans="1:15" x14ac:dyDescent="0.3">
      <c r="A9" t="s">
        <v>338</v>
      </c>
      <c r="B9" t="s">
        <v>339</v>
      </c>
      <c r="C9" t="s">
        <v>340</v>
      </c>
      <c r="D9" t="s">
        <v>11</v>
      </c>
      <c r="E9" t="s">
        <v>29</v>
      </c>
      <c r="F9" s="8">
        <v>66017.179999999993</v>
      </c>
      <c r="G9" t="s">
        <v>321</v>
      </c>
      <c r="H9" s="1">
        <v>43643</v>
      </c>
      <c r="I9">
        <v>0.9</v>
      </c>
      <c r="J9" t="s">
        <v>322</v>
      </c>
      <c r="K9" t="s">
        <v>13</v>
      </c>
      <c r="L9" t="s">
        <v>26</v>
      </c>
      <c r="M9" s="5">
        <v>2616</v>
      </c>
      <c r="N9" s="6">
        <v>7.1671232876712327</v>
      </c>
    </row>
    <row r="10" spans="1:15" x14ac:dyDescent="0.3">
      <c r="A10" t="s">
        <v>341</v>
      </c>
      <c r="B10" t="s">
        <v>342</v>
      </c>
      <c r="C10" t="s">
        <v>343</v>
      </c>
      <c r="D10" t="s">
        <v>24</v>
      </c>
      <c r="E10" t="s">
        <v>47</v>
      </c>
      <c r="F10" s="8">
        <v>74279.009999999995</v>
      </c>
      <c r="G10" t="s">
        <v>321</v>
      </c>
      <c r="H10" s="1">
        <v>43466</v>
      </c>
      <c r="I10">
        <v>1</v>
      </c>
      <c r="J10" t="s">
        <v>318</v>
      </c>
      <c r="K10" t="s">
        <v>13</v>
      </c>
      <c r="L10" t="s">
        <v>14</v>
      </c>
      <c r="M10" s="5">
        <v>2793</v>
      </c>
      <c r="N10" s="6">
        <v>7.6520547945205477</v>
      </c>
    </row>
    <row r="11" spans="1:15" x14ac:dyDescent="0.3">
      <c r="A11" t="s">
        <v>30</v>
      </c>
      <c r="B11" t="s">
        <v>344</v>
      </c>
      <c r="C11" t="s">
        <v>345</v>
      </c>
      <c r="D11" t="s">
        <v>11</v>
      </c>
      <c r="E11" t="s">
        <v>17</v>
      </c>
      <c r="F11" s="8">
        <v>68980.52</v>
      </c>
      <c r="G11" t="s">
        <v>321</v>
      </c>
      <c r="H11" s="1">
        <v>43494</v>
      </c>
      <c r="I11">
        <v>0.8</v>
      </c>
      <c r="J11" t="s">
        <v>322</v>
      </c>
      <c r="K11" t="s">
        <v>13</v>
      </c>
      <c r="L11" t="s">
        <v>26</v>
      </c>
      <c r="M11" s="5">
        <v>2765</v>
      </c>
      <c r="N11" s="6">
        <v>7.5753424657534243</v>
      </c>
    </row>
    <row r="12" spans="1:15" x14ac:dyDescent="0.3">
      <c r="A12" t="s">
        <v>346</v>
      </c>
      <c r="B12" t="s">
        <v>347</v>
      </c>
      <c r="C12" t="s">
        <v>348</v>
      </c>
      <c r="D12" t="s">
        <v>11</v>
      </c>
      <c r="E12" t="s">
        <v>62</v>
      </c>
      <c r="F12" s="8">
        <v>42314.39</v>
      </c>
      <c r="G12" t="s">
        <v>349</v>
      </c>
      <c r="H12" s="1">
        <v>44487</v>
      </c>
      <c r="I12">
        <v>1</v>
      </c>
      <c r="J12" t="s">
        <v>318</v>
      </c>
      <c r="K12" t="s">
        <v>329</v>
      </c>
      <c r="L12" t="s">
        <v>26</v>
      </c>
      <c r="M12" s="5">
        <v>1772</v>
      </c>
      <c r="N12" s="6">
        <v>4.8547945205479452</v>
      </c>
    </row>
    <row r="13" spans="1:15" x14ac:dyDescent="0.3">
      <c r="A13" t="s">
        <v>350</v>
      </c>
      <c r="B13" t="s">
        <v>351</v>
      </c>
      <c r="C13" t="s">
        <v>352</v>
      </c>
      <c r="D13" t="s">
        <v>11</v>
      </c>
      <c r="E13" t="s">
        <v>59</v>
      </c>
      <c r="F13" s="8">
        <v>114425.19</v>
      </c>
      <c r="G13" t="s">
        <v>317</v>
      </c>
      <c r="H13" s="1">
        <v>43857</v>
      </c>
      <c r="I13">
        <v>1</v>
      </c>
      <c r="J13" t="s">
        <v>318</v>
      </c>
      <c r="K13" t="s">
        <v>13</v>
      </c>
      <c r="L13" t="s">
        <v>14</v>
      </c>
      <c r="M13" s="5">
        <v>2402</v>
      </c>
      <c r="N13" s="6">
        <v>6.580821917808219</v>
      </c>
    </row>
    <row r="14" spans="1:15" x14ac:dyDescent="0.3">
      <c r="A14" t="s">
        <v>128</v>
      </c>
      <c r="B14" t="s">
        <v>353</v>
      </c>
      <c r="C14" t="s">
        <v>354</v>
      </c>
      <c r="D14" t="s">
        <v>11</v>
      </c>
      <c r="E14" t="s">
        <v>17</v>
      </c>
      <c r="F14" s="8">
        <v>69192.850000000006</v>
      </c>
      <c r="G14" t="s">
        <v>321</v>
      </c>
      <c r="H14" s="1">
        <v>44305</v>
      </c>
      <c r="I14">
        <v>1</v>
      </c>
      <c r="J14" t="s">
        <v>318</v>
      </c>
      <c r="K14" t="s">
        <v>13</v>
      </c>
      <c r="L14" t="s">
        <v>21</v>
      </c>
      <c r="M14" s="5">
        <v>1954</v>
      </c>
      <c r="N14" s="6">
        <v>5.353424657534247</v>
      </c>
    </row>
    <row r="15" spans="1:15" x14ac:dyDescent="0.3">
      <c r="A15" t="s">
        <v>355</v>
      </c>
      <c r="B15" t="s">
        <v>356</v>
      </c>
      <c r="C15" t="s">
        <v>357</v>
      </c>
      <c r="D15" t="s">
        <v>24</v>
      </c>
      <c r="E15" t="s">
        <v>82</v>
      </c>
      <c r="F15" s="8">
        <v>61214.26</v>
      </c>
      <c r="G15" t="s">
        <v>321</v>
      </c>
      <c r="H15" s="1">
        <v>43171</v>
      </c>
      <c r="I15">
        <v>1</v>
      </c>
      <c r="J15" t="s">
        <v>318</v>
      </c>
      <c r="K15" t="s">
        <v>358</v>
      </c>
      <c r="L15" t="s">
        <v>56</v>
      </c>
      <c r="M15" s="5">
        <v>3088</v>
      </c>
      <c r="N15" s="6">
        <v>8.4602739726027405</v>
      </c>
    </row>
    <row r="16" spans="1:15" x14ac:dyDescent="0.3">
      <c r="A16" t="s">
        <v>359</v>
      </c>
      <c r="B16" t="s">
        <v>360</v>
      </c>
      <c r="C16" t="s">
        <v>361</v>
      </c>
      <c r="D16" t="s">
        <v>24</v>
      </c>
      <c r="E16" t="s">
        <v>82</v>
      </c>
      <c r="F16" s="8">
        <v>54137.05</v>
      </c>
      <c r="G16" t="s">
        <v>321</v>
      </c>
      <c r="H16" s="1">
        <v>43763</v>
      </c>
      <c r="I16">
        <v>1</v>
      </c>
      <c r="J16" t="s">
        <v>318</v>
      </c>
      <c r="K16" t="s">
        <v>13</v>
      </c>
      <c r="L16" t="s">
        <v>26</v>
      </c>
      <c r="M16" s="5">
        <v>2496</v>
      </c>
      <c r="N16" s="6">
        <v>6.838356164383562</v>
      </c>
    </row>
    <row r="17" spans="1:14" x14ac:dyDescent="0.3">
      <c r="A17" t="s">
        <v>362</v>
      </c>
      <c r="B17" t="s">
        <v>363</v>
      </c>
      <c r="C17" t="s">
        <v>364</v>
      </c>
      <c r="D17" t="s">
        <v>11</v>
      </c>
      <c r="E17" t="s">
        <v>12</v>
      </c>
      <c r="F17" s="8">
        <v>37902.35</v>
      </c>
      <c r="G17" t="s">
        <v>349</v>
      </c>
      <c r="H17" s="1">
        <v>43823</v>
      </c>
      <c r="I17">
        <v>1</v>
      </c>
      <c r="J17" t="s">
        <v>318</v>
      </c>
      <c r="K17" t="s">
        <v>13</v>
      </c>
      <c r="L17" t="s">
        <v>50</v>
      </c>
      <c r="M17" s="5">
        <v>2436</v>
      </c>
      <c r="N17" s="6">
        <v>6.6739726027397257</v>
      </c>
    </row>
    <row r="18" spans="1:14" x14ac:dyDescent="0.3">
      <c r="A18" t="s">
        <v>365</v>
      </c>
      <c r="B18" t="s">
        <v>366</v>
      </c>
      <c r="C18" t="s">
        <v>367</v>
      </c>
      <c r="D18" t="s">
        <v>24</v>
      </c>
      <c r="E18" t="s">
        <v>59</v>
      </c>
      <c r="F18" s="8">
        <v>39969.72</v>
      </c>
      <c r="G18" t="s">
        <v>349</v>
      </c>
      <c r="H18" s="1">
        <v>43444</v>
      </c>
      <c r="I18">
        <v>1</v>
      </c>
      <c r="J18" t="s">
        <v>318</v>
      </c>
      <c r="K18" t="s">
        <v>358</v>
      </c>
      <c r="L18" t="s">
        <v>21</v>
      </c>
      <c r="M18" s="5">
        <v>2815</v>
      </c>
      <c r="N18" s="6">
        <v>7.7123287671232879</v>
      </c>
    </row>
    <row r="19" spans="1:14" x14ac:dyDescent="0.3">
      <c r="A19" t="s">
        <v>368</v>
      </c>
      <c r="B19" t="s">
        <v>369</v>
      </c>
      <c r="C19" t="s">
        <v>370</v>
      </c>
      <c r="D19" t="s">
        <v>24</v>
      </c>
      <c r="E19" t="s">
        <v>62</v>
      </c>
      <c r="F19" s="8">
        <v>69913.39</v>
      </c>
      <c r="G19" t="s">
        <v>321</v>
      </c>
      <c r="H19" s="1">
        <v>43584</v>
      </c>
      <c r="I19">
        <v>1</v>
      </c>
      <c r="J19" t="s">
        <v>318</v>
      </c>
      <c r="K19" t="s">
        <v>13</v>
      </c>
      <c r="L19" t="s">
        <v>26</v>
      </c>
      <c r="M19" s="5">
        <v>2675</v>
      </c>
      <c r="N19" s="6">
        <v>7.3287671232876717</v>
      </c>
    </row>
    <row r="20" spans="1:14" x14ac:dyDescent="0.3">
      <c r="A20" t="s">
        <v>371</v>
      </c>
      <c r="B20" t="s">
        <v>372</v>
      </c>
      <c r="C20" t="s">
        <v>373</v>
      </c>
      <c r="D20" t="s">
        <v>24</v>
      </c>
      <c r="E20" t="s">
        <v>47</v>
      </c>
      <c r="F20" s="8">
        <v>52748.63</v>
      </c>
      <c r="G20" t="s">
        <v>321</v>
      </c>
      <c r="H20" s="1">
        <v>43857</v>
      </c>
      <c r="I20">
        <v>1</v>
      </c>
      <c r="J20" t="s">
        <v>318</v>
      </c>
      <c r="K20" t="s">
        <v>13</v>
      </c>
      <c r="L20" t="s">
        <v>50</v>
      </c>
      <c r="M20" s="5">
        <v>2402</v>
      </c>
      <c r="N20" s="6">
        <v>6.580821917808219</v>
      </c>
    </row>
    <row r="21" spans="1:14" x14ac:dyDescent="0.3">
      <c r="A21" t="s">
        <v>42</v>
      </c>
      <c r="B21" t="s">
        <v>374</v>
      </c>
      <c r="C21" t="s">
        <v>375</v>
      </c>
      <c r="D21" t="s">
        <v>24</v>
      </c>
      <c r="E21" t="s">
        <v>44</v>
      </c>
      <c r="F21" s="8">
        <v>50310.09</v>
      </c>
      <c r="G21" t="s">
        <v>321</v>
      </c>
      <c r="H21" s="1">
        <v>44285</v>
      </c>
      <c r="I21">
        <v>0.4</v>
      </c>
      <c r="J21" t="s">
        <v>322</v>
      </c>
      <c r="K21" t="s">
        <v>13</v>
      </c>
      <c r="L21" t="s">
        <v>18</v>
      </c>
      <c r="M21" s="5">
        <v>1974</v>
      </c>
      <c r="N21" s="6">
        <v>5.4082191780821915</v>
      </c>
    </row>
    <row r="22" spans="1:14" x14ac:dyDescent="0.3">
      <c r="A22" t="s">
        <v>40</v>
      </c>
      <c r="B22" t="s">
        <v>376</v>
      </c>
      <c r="C22" t="s">
        <v>377</v>
      </c>
      <c r="D22" t="s">
        <v>24</v>
      </c>
      <c r="E22" t="s">
        <v>37</v>
      </c>
      <c r="F22" s="8">
        <v>52963.65</v>
      </c>
      <c r="G22" t="s">
        <v>321</v>
      </c>
      <c r="H22" s="1">
        <v>44288</v>
      </c>
      <c r="I22">
        <v>0.3</v>
      </c>
      <c r="J22" t="s">
        <v>322</v>
      </c>
      <c r="K22" t="s">
        <v>13</v>
      </c>
      <c r="L22" t="s">
        <v>21</v>
      </c>
      <c r="M22" s="5">
        <v>1971</v>
      </c>
      <c r="N22" s="6">
        <v>5.4</v>
      </c>
    </row>
    <row r="23" spans="1:14" x14ac:dyDescent="0.3">
      <c r="A23" t="s">
        <v>110</v>
      </c>
      <c r="B23" t="s">
        <v>378</v>
      </c>
      <c r="C23" t="s">
        <v>379</v>
      </c>
      <c r="D23" t="s">
        <v>24</v>
      </c>
      <c r="E23" t="s">
        <v>89</v>
      </c>
      <c r="F23" s="8">
        <v>62195.47</v>
      </c>
      <c r="G23" t="s">
        <v>321</v>
      </c>
      <c r="H23" s="1">
        <v>44434</v>
      </c>
      <c r="I23">
        <v>1</v>
      </c>
      <c r="J23" t="s">
        <v>318</v>
      </c>
      <c r="K23" t="s">
        <v>13</v>
      </c>
      <c r="L23" t="s">
        <v>26</v>
      </c>
      <c r="M23" s="5">
        <v>1825</v>
      </c>
      <c r="N23" s="6">
        <v>5</v>
      </c>
    </row>
    <row r="24" spans="1:14" x14ac:dyDescent="0.3">
      <c r="A24" t="s">
        <v>380</v>
      </c>
      <c r="B24" t="s">
        <v>381</v>
      </c>
      <c r="C24" t="s">
        <v>382</v>
      </c>
      <c r="D24" t="s">
        <v>24</v>
      </c>
      <c r="E24" t="s">
        <v>59</v>
      </c>
      <c r="F24" s="8">
        <v>43329.22</v>
      </c>
      <c r="G24" t="s">
        <v>349</v>
      </c>
      <c r="H24" s="1">
        <v>43809</v>
      </c>
      <c r="I24">
        <v>0.5</v>
      </c>
      <c r="J24" t="s">
        <v>322</v>
      </c>
      <c r="K24" t="s">
        <v>329</v>
      </c>
      <c r="L24" t="s">
        <v>26</v>
      </c>
      <c r="M24" s="5">
        <v>2450</v>
      </c>
      <c r="N24" s="6">
        <v>6.7123287671232879</v>
      </c>
    </row>
    <row r="25" spans="1:14" x14ac:dyDescent="0.3">
      <c r="A25" t="s">
        <v>383</v>
      </c>
      <c r="B25" t="s">
        <v>384</v>
      </c>
      <c r="C25" t="s">
        <v>385</v>
      </c>
      <c r="D25" t="s">
        <v>11</v>
      </c>
      <c r="E25" t="s">
        <v>12</v>
      </c>
      <c r="F25" s="8">
        <v>71570.990000000005</v>
      </c>
      <c r="G25" t="s">
        <v>321</v>
      </c>
      <c r="H25" s="1">
        <v>44249</v>
      </c>
      <c r="I25">
        <v>0.5</v>
      </c>
      <c r="J25" t="s">
        <v>322</v>
      </c>
      <c r="K25" t="s">
        <v>13</v>
      </c>
      <c r="L25" t="s">
        <v>18</v>
      </c>
      <c r="M25" s="5">
        <v>2010</v>
      </c>
      <c r="N25" s="6">
        <v>5.506849315068493</v>
      </c>
    </row>
    <row r="26" spans="1:14" x14ac:dyDescent="0.3">
      <c r="A26" t="s">
        <v>386</v>
      </c>
      <c r="B26" t="s">
        <v>387</v>
      </c>
      <c r="C26" t="s">
        <v>388</v>
      </c>
      <c r="D26" t="s">
        <v>2134</v>
      </c>
      <c r="E26" t="s">
        <v>12</v>
      </c>
      <c r="F26" s="8">
        <v>78840.23</v>
      </c>
      <c r="G26" t="s">
        <v>321</v>
      </c>
      <c r="H26" s="1">
        <v>43633</v>
      </c>
      <c r="I26">
        <v>1</v>
      </c>
      <c r="J26" t="s">
        <v>318</v>
      </c>
      <c r="K26" t="s">
        <v>358</v>
      </c>
      <c r="L26" t="s">
        <v>26</v>
      </c>
      <c r="M26" s="5">
        <v>2626</v>
      </c>
      <c r="N26" s="6">
        <v>7.1945205479452055</v>
      </c>
    </row>
    <row r="27" spans="1:14" x14ac:dyDescent="0.3">
      <c r="A27" t="s">
        <v>96</v>
      </c>
      <c r="B27" t="s">
        <v>389</v>
      </c>
      <c r="C27" t="s">
        <v>390</v>
      </c>
      <c r="D27" t="s">
        <v>11</v>
      </c>
      <c r="E27" t="s">
        <v>44</v>
      </c>
      <c r="F27" s="8">
        <v>61994.76</v>
      </c>
      <c r="G27" t="s">
        <v>321</v>
      </c>
      <c r="H27" s="1">
        <v>43794</v>
      </c>
      <c r="I27">
        <v>0.3</v>
      </c>
      <c r="J27" t="s">
        <v>322</v>
      </c>
      <c r="K27" t="s">
        <v>13</v>
      </c>
      <c r="L27" t="s">
        <v>18</v>
      </c>
      <c r="M27" s="5">
        <v>2465</v>
      </c>
      <c r="N27" s="6">
        <v>6.7534246575342465</v>
      </c>
    </row>
    <row r="28" spans="1:14" x14ac:dyDescent="0.3">
      <c r="A28" t="s">
        <v>106</v>
      </c>
      <c r="B28" t="s">
        <v>391</v>
      </c>
      <c r="C28" t="s">
        <v>392</v>
      </c>
      <c r="D28" t="s">
        <v>11</v>
      </c>
      <c r="E28" t="s">
        <v>62</v>
      </c>
      <c r="F28" s="8">
        <v>89690.38</v>
      </c>
      <c r="G28" t="s">
        <v>321</v>
      </c>
      <c r="H28" s="1">
        <v>43206</v>
      </c>
      <c r="I28">
        <v>1</v>
      </c>
      <c r="J28" t="s">
        <v>318</v>
      </c>
      <c r="K28" t="s">
        <v>13</v>
      </c>
      <c r="L28" t="s">
        <v>14</v>
      </c>
      <c r="M28" s="5">
        <v>3053</v>
      </c>
      <c r="N28" s="6">
        <v>8.3643835616438356</v>
      </c>
    </row>
    <row r="29" spans="1:14" x14ac:dyDescent="0.3">
      <c r="A29" t="s">
        <v>90</v>
      </c>
      <c r="B29" t="s">
        <v>393</v>
      </c>
      <c r="C29" t="s">
        <v>394</v>
      </c>
      <c r="D29" t="s">
        <v>24</v>
      </c>
      <c r="E29" t="s">
        <v>67</v>
      </c>
      <c r="F29" s="8">
        <v>104335.03999999999</v>
      </c>
      <c r="G29" t="s">
        <v>317</v>
      </c>
      <c r="H29" s="1">
        <v>43874</v>
      </c>
      <c r="I29">
        <v>1</v>
      </c>
      <c r="J29" t="s">
        <v>318</v>
      </c>
      <c r="K29" t="s">
        <v>13</v>
      </c>
      <c r="L29" t="s">
        <v>21</v>
      </c>
      <c r="M29" s="5">
        <v>2385</v>
      </c>
      <c r="N29" s="6">
        <v>6.5342465753424657</v>
      </c>
    </row>
    <row r="30" spans="1:14" x14ac:dyDescent="0.3">
      <c r="A30" t="s">
        <v>395</v>
      </c>
      <c r="B30" t="s">
        <v>396</v>
      </c>
      <c r="C30" t="s">
        <v>397</v>
      </c>
      <c r="D30" t="s">
        <v>24</v>
      </c>
      <c r="E30" t="s">
        <v>37</v>
      </c>
      <c r="F30" s="8">
        <v>52246.29</v>
      </c>
      <c r="G30" t="s">
        <v>321</v>
      </c>
      <c r="H30" s="1">
        <v>43573</v>
      </c>
      <c r="I30">
        <v>1</v>
      </c>
      <c r="J30" t="s">
        <v>318</v>
      </c>
      <c r="K30" t="s">
        <v>358</v>
      </c>
      <c r="L30" t="s">
        <v>14</v>
      </c>
      <c r="M30" s="5">
        <v>2686</v>
      </c>
      <c r="N30" s="6">
        <v>7.3589041095890408</v>
      </c>
    </row>
    <row r="31" spans="1:14" x14ac:dyDescent="0.3">
      <c r="A31" t="s">
        <v>398</v>
      </c>
      <c r="B31" t="s">
        <v>399</v>
      </c>
      <c r="C31" t="s">
        <v>400</v>
      </c>
      <c r="D31" t="s">
        <v>24</v>
      </c>
      <c r="E31" t="s">
        <v>34</v>
      </c>
      <c r="F31" s="8">
        <v>90697.67</v>
      </c>
      <c r="G31" t="s">
        <v>321</v>
      </c>
      <c r="H31" s="1">
        <v>44221</v>
      </c>
      <c r="I31">
        <v>0.8</v>
      </c>
      <c r="J31" t="s">
        <v>322</v>
      </c>
      <c r="K31" t="s">
        <v>13</v>
      </c>
      <c r="L31" t="s">
        <v>53</v>
      </c>
      <c r="M31" s="5">
        <v>2038</v>
      </c>
      <c r="N31" s="6">
        <v>5.5835616438356164</v>
      </c>
    </row>
    <row r="32" spans="1:14" x14ac:dyDescent="0.3">
      <c r="A32" t="s">
        <v>401</v>
      </c>
      <c r="B32" t="s">
        <v>402</v>
      </c>
      <c r="C32" t="s">
        <v>403</v>
      </c>
      <c r="D32" t="s">
        <v>24</v>
      </c>
      <c r="E32" t="s">
        <v>17</v>
      </c>
      <c r="F32" s="8">
        <v>90884.32</v>
      </c>
      <c r="G32" t="s">
        <v>321</v>
      </c>
      <c r="H32" s="1">
        <v>43826</v>
      </c>
      <c r="I32">
        <v>1</v>
      </c>
      <c r="J32" t="s">
        <v>318</v>
      </c>
      <c r="K32" t="s">
        <v>13</v>
      </c>
      <c r="L32" t="s">
        <v>21</v>
      </c>
      <c r="M32" s="5">
        <v>2433</v>
      </c>
      <c r="N32" s="6">
        <v>6.6657534246575345</v>
      </c>
    </row>
    <row r="33" spans="1:14" x14ac:dyDescent="0.3">
      <c r="A33" t="s">
        <v>404</v>
      </c>
      <c r="B33" t="s">
        <v>405</v>
      </c>
      <c r="C33" t="s">
        <v>406</v>
      </c>
      <c r="D33" t="s">
        <v>24</v>
      </c>
      <c r="E33" t="s">
        <v>44</v>
      </c>
      <c r="F33" s="8">
        <v>76320.44</v>
      </c>
      <c r="G33" t="s">
        <v>321</v>
      </c>
      <c r="H33" s="1">
        <v>44383</v>
      </c>
      <c r="I33">
        <v>0.8</v>
      </c>
      <c r="J33" t="s">
        <v>322</v>
      </c>
      <c r="K33" t="s">
        <v>358</v>
      </c>
      <c r="L33" t="s">
        <v>26</v>
      </c>
      <c r="M33" s="5">
        <v>1876</v>
      </c>
      <c r="N33" s="6">
        <v>5.13972602739726</v>
      </c>
    </row>
    <row r="34" spans="1:14" x14ac:dyDescent="0.3">
      <c r="A34" t="s">
        <v>407</v>
      </c>
      <c r="B34" t="s">
        <v>408</v>
      </c>
      <c r="C34" t="s">
        <v>409</v>
      </c>
      <c r="D34" t="s">
        <v>24</v>
      </c>
      <c r="E34" t="s">
        <v>17</v>
      </c>
      <c r="F34" s="8">
        <v>73360.38</v>
      </c>
      <c r="G34" t="s">
        <v>321</v>
      </c>
      <c r="H34" s="1">
        <v>43972</v>
      </c>
      <c r="I34">
        <v>1</v>
      </c>
      <c r="J34" t="s">
        <v>318</v>
      </c>
      <c r="K34" t="s">
        <v>358</v>
      </c>
      <c r="L34" t="s">
        <v>26</v>
      </c>
      <c r="M34" s="5">
        <v>2287</v>
      </c>
      <c r="N34" s="6">
        <v>6.2657534246575342</v>
      </c>
    </row>
    <row r="35" spans="1:14" x14ac:dyDescent="0.3">
      <c r="A35" t="s">
        <v>70</v>
      </c>
      <c r="B35" t="s">
        <v>410</v>
      </c>
      <c r="C35" t="s">
        <v>411</v>
      </c>
      <c r="D35" t="s">
        <v>11</v>
      </c>
      <c r="E35" t="s">
        <v>47</v>
      </c>
      <c r="F35" s="8">
        <v>50449.46</v>
      </c>
      <c r="G35" t="s">
        <v>321</v>
      </c>
      <c r="H35" s="1">
        <v>43418</v>
      </c>
      <c r="I35">
        <v>0.8</v>
      </c>
      <c r="J35" t="s">
        <v>322</v>
      </c>
      <c r="K35" t="s">
        <v>13</v>
      </c>
      <c r="L35" t="s">
        <v>56</v>
      </c>
      <c r="M35" s="5">
        <v>2841</v>
      </c>
      <c r="N35" s="6">
        <v>7.7835616438356166</v>
      </c>
    </row>
    <row r="36" spans="1:14" x14ac:dyDescent="0.3">
      <c r="A36" t="s">
        <v>412</v>
      </c>
      <c r="B36" t="s">
        <v>413</v>
      </c>
      <c r="C36" t="s">
        <v>414</v>
      </c>
      <c r="D36" t="s">
        <v>24</v>
      </c>
      <c r="E36" t="s">
        <v>12</v>
      </c>
      <c r="F36" s="8">
        <v>53949.26</v>
      </c>
      <c r="G36" t="s">
        <v>321</v>
      </c>
      <c r="H36" s="1">
        <v>43808</v>
      </c>
      <c r="I36">
        <v>1</v>
      </c>
      <c r="J36" t="s">
        <v>318</v>
      </c>
      <c r="K36" t="s">
        <v>358</v>
      </c>
      <c r="L36" t="s">
        <v>21</v>
      </c>
      <c r="M36" s="5">
        <v>2451</v>
      </c>
      <c r="N36" s="6">
        <v>6.7150684931506852</v>
      </c>
    </row>
    <row r="37" spans="1:14" x14ac:dyDescent="0.3">
      <c r="A37" t="s">
        <v>415</v>
      </c>
      <c r="B37" t="s">
        <v>416</v>
      </c>
      <c r="C37" t="s">
        <v>417</v>
      </c>
      <c r="D37" t="s">
        <v>24</v>
      </c>
      <c r="E37" t="s">
        <v>34</v>
      </c>
      <c r="F37" s="8">
        <v>113616.23</v>
      </c>
      <c r="G37" t="s">
        <v>317</v>
      </c>
      <c r="H37" s="1">
        <v>43255</v>
      </c>
      <c r="I37">
        <v>1</v>
      </c>
      <c r="J37" t="s">
        <v>318</v>
      </c>
      <c r="K37" t="s">
        <v>13</v>
      </c>
      <c r="L37" t="s">
        <v>26</v>
      </c>
      <c r="M37" s="5">
        <v>3004</v>
      </c>
      <c r="N37" s="6">
        <v>8.2301369863013694</v>
      </c>
    </row>
    <row r="38" spans="1:14" x14ac:dyDescent="0.3">
      <c r="A38" t="s">
        <v>418</v>
      </c>
      <c r="B38" t="s">
        <v>419</v>
      </c>
      <c r="C38" t="s">
        <v>420</v>
      </c>
      <c r="D38" t="s">
        <v>11</v>
      </c>
      <c r="E38" t="s">
        <v>67</v>
      </c>
      <c r="F38" s="8">
        <v>110906.35</v>
      </c>
      <c r="G38" t="s">
        <v>317</v>
      </c>
      <c r="H38" s="1">
        <v>43434</v>
      </c>
      <c r="I38">
        <v>1</v>
      </c>
      <c r="J38" t="s">
        <v>318</v>
      </c>
      <c r="K38" t="s">
        <v>358</v>
      </c>
      <c r="L38" t="s">
        <v>14</v>
      </c>
      <c r="M38" s="5">
        <v>2825</v>
      </c>
      <c r="N38" s="6">
        <v>7.7397260273972606</v>
      </c>
    </row>
    <row r="39" spans="1:14" x14ac:dyDescent="0.3">
      <c r="A39" t="s">
        <v>421</v>
      </c>
      <c r="B39" t="s">
        <v>422</v>
      </c>
      <c r="C39" t="s">
        <v>423</v>
      </c>
      <c r="D39" t="s">
        <v>11</v>
      </c>
      <c r="E39" t="s">
        <v>82</v>
      </c>
      <c r="F39" s="8">
        <v>100371.31</v>
      </c>
      <c r="G39" t="s">
        <v>317</v>
      </c>
      <c r="H39" s="1">
        <v>44067</v>
      </c>
      <c r="I39">
        <v>0.8</v>
      </c>
      <c r="J39" t="s">
        <v>322</v>
      </c>
      <c r="K39" t="s">
        <v>329</v>
      </c>
      <c r="L39" t="s">
        <v>56</v>
      </c>
      <c r="M39" s="5">
        <v>2192</v>
      </c>
      <c r="N39" s="6">
        <v>6.0054794520547947</v>
      </c>
    </row>
    <row r="40" spans="1:14" x14ac:dyDescent="0.3">
      <c r="A40" t="s">
        <v>424</v>
      </c>
      <c r="B40" t="s">
        <v>425</v>
      </c>
      <c r="C40" t="s">
        <v>426</v>
      </c>
      <c r="D40" t="s">
        <v>11</v>
      </c>
      <c r="E40" t="s">
        <v>37</v>
      </c>
      <c r="F40" s="8">
        <v>69163.39</v>
      </c>
      <c r="G40" t="s">
        <v>321</v>
      </c>
      <c r="H40" s="1">
        <v>43397</v>
      </c>
      <c r="I40">
        <v>1</v>
      </c>
      <c r="J40" t="s">
        <v>318</v>
      </c>
      <c r="K40" t="s">
        <v>13</v>
      </c>
      <c r="L40" t="s">
        <v>26</v>
      </c>
      <c r="M40" s="5">
        <v>2862</v>
      </c>
      <c r="N40" s="6">
        <v>7.8410958904109593</v>
      </c>
    </row>
    <row r="41" spans="1:14" x14ac:dyDescent="0.3">
      <c r="A41" t="s">
        <v>427</v>
      </c>
      <c r="B41" t="s">
        <v>428</v>
      </c>
      <c r="C41" t="s">
        <v>429</v>
      </c>
      <c r="D41" t="s">
        <v>24</v>
      </c>
      <c r="E41" t="s">
        <v>12</v>
      </c>
      <c r="F41" s="8">
        <v>114691.03</v>
      </c>
      <c r="G41" t="s">
        <v>317</v>
      </c>
      <c r="H41" s="1">
        <v>44039</v>
      </c>
      <c r="I41">
        <v>1</v>
      </c>
      <c r="J41" t="s">
        <v>318</v>
      </c>
      <c r="K41" t="s">
        <v>358</v>
      </c>
      <c r="L41" t="s">
        <v>14</v>
      </c>
      <c r="M41" s="5">
        <v>2220</v>
      </c>
      <c r="N41" s="6">
        <v>6.0821917808219181</v>
      </c>
    </row>
    <row r="42" spans="1:14" x14ac:dyDescent="0.3">
      <c r="A42" t="s">
        <v>430</v>
      </c>
      <c r="B42" t="s">
        <v>431</v>
      </c>
      <c r="C42" t="s">
        <v>432</v>
      </c>
      <c r="D42" t="s">
        <v>24</v>
      </c>
      <c r="E42" t="s">
        <v>44</v>
      </c>
      <c r="F42" s="8">
        <v>86556.96</v>
      </c>
      <c r="G42" t="s">
        <v>321</v>
      </c>
      <c r="H42" s="1">
        <v>44104</v>
      </c>
      <c r="I42">
        <v>1</v>
      </c>
      <c r="J42" t="s">
        <v>318</v>
      </c>
      <c r="K42" t="s">
        <v>13</v>
      </c>
      <c r="L42" t="s">
        <v>18</v>
      </c>
      <c r="M42" s="5">
        <v>2155</v>
      </c>
      <c r="N42" s="6">
        <v>5.904109589041096</v>
      </c>
    </row>
    <row r="43" spans="1:14" x14ac:dyDescent="0.3">
      <c r="A43" t="s">
        <v>433</v>
      </c>
      <c r="B43" t="s">
        <v>434</v>
      </c>
      <c r="C43" t="s">
        <v>435</v>
      </c>
      <c r="D43" t="s">
        <v>11</v>
      </c>
      <c r="E43" t="s">
        <v>62</v>
      </c>
      <c r="F43" s="8">
        <v>31172.77</v>
      </c>
      <c r="G43" t="s">
        <v>349</v>
      </c>
      <c r="H43" s="1">
        <v>43665</v>
      </c>
      <c r="I43">
        <v>1</v>
      </c>
      <c r="J43" t="s">
        <v>318</v>
      </c>
      <c r="K43" t="s">
        <v>329</v>
      </c>
      <c r="L43" t="s">
        <v>26</v>
      </c>
      <c r="M43" s="5">
        <v>2594</v>
      </c>
      <c r="N43" s="6">
        <v>7.1068493150684935</v>
      </c>
    </row>
    <row r="44" spans="1:14" x14ac:dyDescent="0.3">
      <c r="A44" t="s">
        <v>436</v>
      </c>
      <c r="B44" t="s">
        <v>437</v>
      </c>
      <c r="C44" t="s">
        <v>438</v>
      </c>
      <c r="D44" t="s">
        <v>24</v>
      </c>
      <c r="E44" t="s">
        <v>17</v>
      </c>
      <c r="F44" s="8">
        <v>80169.42</v>
      </c>
      <c r="G44" t="s">
        <v>321</v>
      </c>
      <c r="H44" s="1">
        <v>44053</v>
      </c>
      <c r="I44">
        <v>1</v>
      </c>
      <c r="J44" t="s">
        <v>318</v>
      </c>
      <c r="K44" t="s">
        <v>13</v>
      </c>
      <c r="L44" t="s">
        <v>56</v>
      </c>
      <c r="M44" s="5">
        <v>2206</v>
      </c>
      <c r="N44" s="6">
        <v>6.043835616438356</v>
      </c>
    </row>
    <row r="45" spans="1:14" x14ac:dyDescent="0.3">
      <c r="A45" t="s">
        <v>412</v>
      </c>
      <c r="B45" t="s">
        <v>413</v>
      </c>
      <c r="C45" t="s">
        <v>414</v>
      </c>
      <c r="D45" t="s">
        <v>24</v>
      </c>
      <c r="E45" t="s">
        <v>12</v>
      </c>
      <c r="F45" s="8">
        <v>53949.26</v>
      </c>
      <c r="G45" t="s">
        <v>321</v>
      </c>
      <c r="H45" s="1">
        <v>43808</v>
      </c>
      <c r="I45">
        <v>1</v>
      </c>
      <c r="J45" t="s">
        <v>318</v>
      </c>
      <c r="K45" t="s">
        <v>358</v>
      </c>
      <c r="L45" t="s">
        <v>21</v>
      </c>
      <c r="M45" s="5">
        <v>2451</v>
      </c>
      <c r="N45" s="6">
        <v>6.7150684931506852</v>
      </c>
    </row>
    <row r="46" spans="1:14" x14ac:dyDescent="0.3">
      <c r="A46" t="s">
        <v>439</v>
      </c>
      <c r="B46" t="s">
        <v>440</v>
      </c>
      <c r="C46" t="s">
        <v>441</v>
      </c>
      <c r="D46" t="s">
        <v>11</v>
      </c>
      <c r="E46" t="s">
        <v>82</v>
      </c>
      <c r="F46" s="8">
        <v>58935.92</v>
      </c>
      <c r="G46" t="s">
        <v>321</v>
      </c>
      <c r="H46" s="1">
        <v>43717</v>
      </c>
      <c r="I46">
        <v>1</v>
      </c>
      <c r="J46" t="s">
        <v>318</v>
      </c>
      <c r="K46" t="s">
        <v>358</v>
      </c>
      <c r="L46" t="s">
        <v>18</v>
      </c>
      <c r="M46" s="5">
        <v>2542</v>
      </c>
      <c r="N46" s="6">
        <v>6.9643835616438352</v>
      </c>
    </row>
    <row r="47" spans="1:14" x14ac:dyDescent="0.3">
      <c r="A47" t="s">
        <v>442</v>
      </c>
      <c r="B47" t="s">
        <v>443</v>
      </c>
      <c r="C47" t="s">
        <v>444</v>
      </c>
      <c r="D47" t="s">
        <v>11</v>
      </c>
      <c r="E47" t="s">
        <v>82</v>
      </c>
      <c r="F47" s="8">
        <v>63555.73</v>
      </c>
      <c r="G47" t="s">
        <v>321</v>
      </c>
      <c r="H47" s="1">
        <v>44159</v>
      </c>
      <c r="I47">
        <v>1</v>
      </c>
      <c r="J47" t="s">
        <v>318</v>
      </c>
      <c r="K47" t="s">
        <v>13</v>
      </c>
      <c r="L47" t="s">
        <v>50</v>
      </c>
      <c r="M47" s="5">
        <v>2100</v>
      </c>
      <c r="N47" s="6">
        <v>5.7534246575342465</v>
      </c>
    </row>
    <row r="48" spans="1:14" x14ac:dyDescent="0.3">
      <c r="A48" t="s">
        <v>445</v>
      </c>
      <c r="B48" t="s">
        <v>446</v>
      </c>
      <c r="C48" t="s">
        <v>447</v>
      </c>
      <c r="D48" t="s">
        <v>24</v>
      </c>
      <c r="E48" t="s">
        <v>37</v>
      </c>
      <c r="F48" s="8">
        <v>57419.35</v>
      </c>
      <c r="G48" t="s">
        <v>321</v>
      </c>
      <c r="H48" s="1">
        <v>43305</v>
      </c>
      <c r="I48">
        <v>1</v>
      </c>
      <c r="J48" t="s">
        <v>318</v>
      </c>
      <c r="K48" t="s">
        <v>329</v>
      </c>
      <c r="L48" t="s">
        <v>56</v>
      </c>
      <c r="M48" s="5">
        <v>2954</v>
      </c>
      <c r="N48" s="6">
        <v>8.0931506849315067</v>
      </c>
    </row>
    <row r="49" spans="1:14" x14ac:dyDescent="0.3">
      <c r="A49" t="s">
        <v>448</v>
      </c>
      <c r="B49" t="s">
        <v>449</v>
      </c>
      <c r="C49" t="s">
        <v>450</v>
      </c>
      <c r="D49" t="s">
        <v>11</v>
      </c>
      <c r="E49" t="s">
        <v>67</v>
      </c>
      <c r="F49" s="8">
        <v>67818.14</v>
      </c>
      <c r="G49" t="s">
        <v>321</v>
      </c>
      <c r="H49" s="1">
        <v>43406</v>
      </c>
      <c r="I49">
        <v>0.6</v>
      </c>
      <c r="J49" t="s">
        <v>322</v>
      </c>
      <c r="K49" t="s">
        <v>329</v>
      </c>
      <c r="L49" t="s">
        <v>26</v>
      </c>
      <c r="M49" s="5">
        <v>2853</v>
      </c>
      <c r="N49" s="6">
        <v>7.816438356164384</v>
      </c>
    </row>
    <row r="50" spans="1:14" x14ac:dyDescent="0.3">
      <c r="A50" t="s">
        <v>451</v>
      </c>
      <c r="B50" t="s">
        <v>452</v>
      </c>
      <c r="C50" t="s">
        <v>453</v>
      </c>
      <c r="D50" t="s">
        <v>11</v>
      </c>
      <c r="E50" t="s">
        <v>316</v>
      </c>
      <c r="F50" s="8">
        <v>44403.77</v>
      </c>
      <c r="G50" t="s">
        <v>349</v>
      </c>
      <c r="H50" s="1">
        <v>43416</v>
      </c>
      <c r="I50">
        <v>1</v>
      </c>
      <c r="J50" t="s">
        <v>318</v>
      </c>
      <c r="K50" t="s">
        <v>13</v>
      </c>
      <c r="L50" t="s">
        <v>18</v>
      </c>
      <c r="M50" s="5">
        <v>2843</v>
      </c>
      <c r="N50" s="6">
        <v>7.7890410958904113</v>
      </c>
    </row>
    <row r="51" spans="1:14" x14ac:dyDescent="0.3">
      <c r="A51" t="s">
        <v>454</v>
      </c>
      <c r="B51" t="s">
        <v>455</v>
      </c>
      <c r="C51" t="s">
        <v>456</v>
      </c>
      <c r="D51" t="s">
        <v>24</v>
      </c>
      <c r="E51" t="s">
        <v>29</v>
      </c>
      <c r="F51" s="8">
        <v>40753.54</v>
      </c>
      <c r="G51" t="s">
        <v>349</v>
      </c>
      <c r="H51" s="1">
        <v>43152</v>
      </c>
      <c r="I51">
        <v>0.6</v>
      </c>
      <c r="J51" t="s">
        <v>322</v>
      </c>
      <c r="K51" t="s">
        <v>13</v>
      </c>
      <c r="L51" t="s">
        <v>14</v>
      </c>
      <c r="M51" s="5">
        <v>3107</v>
      </c>
      <c r="N51" s="6">
        <v>8.5123287671232877</v>
      </c>
    </row>
    <row r="52" spans="1:14" x14ac:dyDescent="0.3">
      <c r="A52" t="s">
        <v>85</v>
      </c>
      <c r="B52" t="s">
        <v>457</v>
      </c>
      <c r="C52" t="s">
        <v>458</v>
      </c>
      <c r="D52" t="s">
        <v>11</v>
      </c>
      <c r="E52" t="s">
        <v>12</v>
      </c>
      <c r="F52" s="8">
        <v>102934.09</v>
      </c>
      <c r="G52" t="s">
        <v>317</v>
      </c>
      <c r="H52" s="1">
        <v>44315</v>
      </c>
      <c r="I52">
        <v>1</v>
      </c>
      <c r="J52" t="s">
        <v>318</v>
      </c>
      <c r="K52" t="s">
        <v>13</v>
      </c>
      <c r="L52" t="s">
        <v>18</v>
      </c>
      <c r="M52" s="5">
        <v>1944</v>
      </c>
      <c r="N52" s="6">
        <v>5.3260273972602743</v>
      </c>
    </row>
    <row r="53" spans="1:14" x14ac:dyDescent="0.3">
      <c r="A53" t="s">
        <v>459</v>
      </c>
      <c r="B53" t="s">
        <v>460</v>
      </c>
      <c r="C53" t="s">
        <v>461</v>
      </c>
      <c r="D53" t="s">
        <v>24</v>
      </c>
      <c r="E53" t="s">
        <v>89</v>
      </c>
      <c r="F53" s="8">
        <v>68860.399999999994</v>
      </c>
      <c r="G53" t="s">
        <v>321</v>
      </c>
      <c r="H53" s="1">
        <v>43508</v>
      </c>
      <c r="I53">
        <v>0.4</v>
      </c>
      <c r="J53" t="s">
        <v>322</v>
      </c>
      <c r="K53" t="s">
        <v>13</v>
      </c>
      <c r="L53" t="s">
        <v>21</v>
      </c>
      <c r="M53" s="5">
        <v>2751</v>
      </c>
      <c r="N53" s="6">
        <v>7.536986301369863</v>
      </c>
    </row>
    <row r="54" spans="1:14" x14ac:dyDescent="0.3">
      <c r="A54" t="s">
        <v>462</v>
      </c>
      <c r="B54" t="s">
        <v>463</v>
      </c>
      <c r="C54" t="s">
        <v>464</v>
      </c>
      <c r="D54" t="s">
        <v>24</v>
      </c>
      <c r="E54" t="s">
        <v>12</v>
      </c>
      <c r="F54" s="8">
        <v>79567.69</v>
      </c>
      <c r="G54" t="s">
        <v>321</v>
      </c>
      <c r="H54" s="1">
        <v>43272</v>
      </c>
      <c r="I54">
        <v>1</v>
      </c>
      <c r="J54" t="s">
        <v>318</v>
      </c>
      <c r="K54" t="s">
        <v>329</v>
      </c>
      <c r="L54" t="s">
        <v>50</v>
      </c>
      <c r="M54" s="5">
        <v>2987</v>
      </c>
      <c r="N54" s="6">
        <v>8.1835616438356169</v>
      </c>
    </row>
    <row r="55" spans="1:14" x14ac:dyDescent="0.3">
      <c r="A55" t="s">
        <v>117</v>
      </c>
      <c r="B55" t="s">
        <v>465</v>
      </c>
      <c r="C55" t="s">
        <v>466</v>
      </c>
      <c r="D55" t="s">
        <v>11</v>
      </c>
      <c r="E55" t="s">
        <v>44</v>
      </c>
      <c r="F55" s="8">
        <v>35943.620000000003</v>
      </c>
      <c r="G55" t="s">
        <v>349</v>
      </c>
      <c r="H55" s="1">
        <v>44078</v>
      </c>
      <c r="I55">
        <v>1</v>
      </c>
      <c r="J55" t="s">
        <v>318</v>
      </c>
      <c r="K55" t="s">
        <v>13</v>
      </c>
      <c r="L55" t="s">
        <v>21</v>
      </c>
      <c r="M55" s="5">
        <v>2181</v>
      </c>
      <c r="N55" s="6">
        <v>5.9753424657534246</v>
      </c>
    </row>
    <row r="56" spans="1:14" x14ac:dyDescent="0.3">
      <c r="A56" t="s">
        <v>467</v>
      </c>
      <c r="B56" t="s">
        <v>468</v>
      </c>
      <c r="C56" t="s">
        <v>469</v>
      </c>
      <c r="D56" t="s">
        <v>11</v>
      </c>
      <c r="E56" t="s">
        <v>12</v>
      </c>
      <c r="F56" s="8">
        <v>116767.63</v>
      </c>
      <c r="G56" t="s">
        <v>317</v>
      </c>
      <c r="H56" s="1">
        <v>43949</v>
      </c>
      <c r="I56">
        <v>0.4</v>
      </c>
      <c r="J56" t="s">
        <v>322</v>
      </c>
      <c r="K56" t="s">
        <v>358</v>
      </c>
      <c r="L56" t="s">
        <v>50</v>
      </c>
      <c r="M56" s="5">
        <v>2310</v>
      </c>
      <c r="N56" s="6">
        <v>6.3287671232876717</v>
      </c>
    </row>
    <row r="57" spans="1:14" x14ac:dyDescent="0.3">
      <c r="A57" t="s">
        <v>470</v>
      </c>
      <c r="B57" t="s">
        <v>471</v>
      </c>
      <c r="C57" t="s">
        <v>472</v>
      </c>
      <c r="D57" t="s">
        <v>24</v>
      </c>
      <c r="E57" t="s">
        <v>47</v>
      </c>
      <c r="F57" s="8">
        <v>85455.53</v>
      </c>
      <c r="G57" t="s">
        <v>321</v>
      </c>
      <c r="H57" s="1">
        <v>43839</v>
      </c>
      <c r="I57">
        <v>1</v>
      </c>
      <c r="J57" t="s">
        <v>318</v>
      </c>
      <c r="K57" t="s">
        <v>13</v>
      </c>
      <c r="L57" t="s">
        <v>14</v>
      </c>
      <c r="M57" s="5">
        <v>2420</v>
      </c>
      <c r="N57" s="6">
        <v>6.6301369863013697</v>
      </c>
    </row>
    <row r="58" spans="1:14" x14ac:dyDescent="0.3">
      <c r="A58" t="s">
        <v>473</v>
      </c>
      <c r="B58" t="s">
        <v>474</v>
      </c>
      <c r="C58" t="s">
        <v>475</v>
      </c>
      <c r="D58" t="s">
        <v>11</v>
      </c>
      <c r="E58" t="s">
        <v>47</v>
      </c>
      <c r="F58" s="8">
        <v>39700.82</v>
      </c>
      <c r="G58" t="s">
        <v>349</v>
      </c>
      <c r="H58" s="1">
        <v>44203</v>
      </c>
      <c r="I58">
        <v>0.8</v>
      </c>
      <c r="J58" t="s">
        <v>322</v>
      </c>
      <c r="K58" t="s">
        <v>13</v>
      </c>
      <c r="L58" t="s">
        <v>50</v>
      </c>
      <c r="M58" s="5">
        <v>2056</v>
      </c>
      <c r="N58" s="6">
        <v>5.6328767123287671</v>
      </c>
    </row>
    <row r="59" spans="1:14" x14ac:dyDescent="0.3">
      <c r="A59" t="s">
        <v>476</v>
      </c>
      <c r="B59" t="s">
        <v>477</v>
      </c>
      <c r="C59" t="s">
        <v>478</v>
      </c>
      <c r="D59" t="s">
        <v>11</v>
      </c>
      <c r="E59" t="s">
        <v>67</v>
      </c>
      <c r="F59" s="8">
        <v>38438.239999999998</v>
      </c>
      <c r="G59" t="s">
        <v>349</v>
      </c>
      <c r="H59" s="1">
        <v>43962</v>
      </c>
      <c r="I59">
        <v>1</v>
      </c>
      <c r="J59" t="s">
        <v>318</v>
      </c>
      <c r="K59" t="s">
        <v>13</v>
      </c>
      <c r="L59" t="s">
        <v>50</v>
      </c>
      <c r="M59" s="5">
        <v>2297</v>
      </c>
      <c r="N59" s="6">
        <v>6.2931506849315069</v>
      </c>
    </row>
    <row r="60" spans="1:14" x14ac:dyDescent="0.3">
      <c r="A60" t="s">
        <v>479</v>
      </c>
      <c r="B60" t="s">
        <v>480</v>
      </c>
      <c r="C60" t="s">
        <v>481</v>
      </c>
      <c r="D60" t="s">
        <v>24</v>
      </c>
      <c r="E60" t="s">
        <v>59</v>
      </c>
      <c r="F60" s="8">
        <v>50855.53</v>
      </c>
      <c r="G60" t="s">
        <v>321</v>
      </c>
      <c r="H60" s="1">
        <v>44221</v>
      </c>
      <c r="I60">
        <v>1</v>
      </c>
      <c r="J60" t="s">
        <v>318</v>
      </c>
      <c r="K60" t="s">
        <v>13</v>
      </c>
      <c r="L60" t="s">
        <v>14</v>
      </c>
      <c r="M60" s="5">
        <v>2038</v>
      </c>
      <c r="N60" s="6">
        <v>5.5835616438356164</v>
      </c>
    </row>
    <row r="61" spans="1:14" x14ac:dyDescent="0.3">
      <c r="A61" t="s">
        <v>98</v>
      </c>
      <c r="B61" t="s">
        <v>482</v>
      </c>
      <c r="C61" t="s">
        <v>483</v>
      </c>
      <c r="D61" t="s">
        <v>24</v>
      </c>
      <c r="E61" t="s">
        <v>29</v>
      </c>
      <c r="F61" s="8">
        <v>37362.300000000003</v>
      </c>
      <c r="G61" t="s">
        <v>349</v>
      </c>
      <c r="H61" s="1">
        <v>43642</v>
      </c>
      <c r="I61">
        <v>1</v>
      </c>
      <c r="J61" t="s">
        <v>318</v>
      </c>
      <c r="K61" t="s">
        <v>13</v>
      </c>
      <c r="L61" t="s">
        <v>56</v>
      </c>
      <c r="M61" s="5">
        <v>2617</v>
      </c>
      <c r="N61" s="6">
        <v>7.1698630136986301</v>
      </c>
    </row>
    <row r="62" spans="1:14" x14ac:dyDescent="0.3">
      <c r="A62" t="s">
        <v>484</v>
      </c>
      <c r="B62" t="s">
        <v>485</v>
      </c>
      <c r="C62" t="s">
        <v>486</v>
      </c>
      <c r="D62" t="s">
        <v>24</v>
      </c>
      <c r="E62" t="s">
        <v>44</v>
      </c>
      <c r="F62" s="8">
        <v>72876.91</v>
      </c>
      <c r="G62" t="s">
        <v>321</v>
      </c>
      <c r="H62" s="1">
        <v>43612</v>
      </c>
      <c r="I62">
        <v>0.4</v>
      </c>
      <c r="J62" t="s">
        <v>322</v>
      </c>
      <c r="K62" t="s">
        <v>329</v>
      </c>
      <c r="L62" t="s">
        <v>56</v>
      </c>
      <c r="M62" s="5">
        <v>2647</v>
      </c>
      <c r="N62" s="6">
        <v>7.2520547945205482</v>
      </c>
    </row>
    <row r="63" spans="1:14" x14ac:dyDescent="0.3">
      <c r="A63" t="s">
        <v>487</v>
      </c>
      <c r="B63" t="s">
        <v>488</v>
      </c>
      <c r="C63" t="s">
        <v>489</v>
      </c>
      <c r="D63" t="s">
        <v>11</v>
      </c>
      <c r="E63" t="s">
        <v>34</v>
      </c>
      <c r="F63" s="8">
        <v>31042.51</v>
      </c>
      <c r="G63" t="s">
        <v>349</v>
      </c>
      <c r="H63" s="1">
        <v>44473</v>
      </c>
      <c r="I63">
        <v>0.3</v>
      </c>
      <c r="J63" t="s">
        <v>322</v>
      </c>
      <c r="K63" t="s">
        <v>329</v>
      </c>
      <c r="L63" t="s">
        <v>26</v>
      </c>
      <c r="M63" s="5">
        <v>1786</v>
      </c>
      <c r="N63" s="6">
        <v>4.8931506849315065</v>
      </c>
    </row>
    <row r="64" spans="1:14" x14ac:dyDescent="0.3">
      <c r="A64" t="s">
        <v>32</v>
      </c>
      <c r="B64" t="s">
        <v>490</v>
      </c>
      <c r="C64" t="s">
        <v>491</v>
      </c>
      <c r="D64" t="s">
        <v>11</v>
      </c>
      <c r="E64" t="s">
        <v>34</v>
      </c>
      <c r="F64" s="8">
        <v>63705.4</v>
      </c>
      <c r="G64" t="s">
        <v>321</v>
      </c>
      <c r="H64" s="1">
        <v>43682</v>
      </c>
      <c r="I64">
        <v>1</v>
      </c>
      <c r="J64" t="s">
        <v>318</v>
      </c>
      <c r="K64" t="s">
        <v>13</v>
      </c>
      <c r="L64" t="s">
        <v>18</v>
      </c>
      <c r="M64" s="5">
        <v>2577</v>
      </c>
      <c r="N64" s="6">
        <v>7.0602739726027401</v>
      </c>
    </row>
    <row r="65" spans="1:14" x14ac:dyDescent="0.3">
      <c r="A65" t="s">
        <v>492</v>
      </c>
      <c r="B65" t="s">
        <v>493</v>
      </c>
      <c r="C65" t="s">
        <v>494</v>
      </c>
      <c r="D65" t="s">
        <v>11</v>
      </c>
      <c r="E65" t="s">
        <v>47</v>
      </c>
      <c r="F65" s="8">
        <v>59434.18</v>
      </c>
      <c r="G65" t="s">
        <v>321</v>
      </c>
      <c r="H65" s="1">
        <v>43931</v>
      </c>
      <c r="I65">
        <v>1</v>
      </c>
      <c r="J65" t="s">
        <v>318</v>
      </c>
      <c r="K65" t="s">
        <v>358</v>
      </c>
      <c r="L65" t="s">
        <v>53</v>
      </c>
      <c r="M65" s="5">
        <v>2328</v>
      </c>
      <c r="N65" s="6">
        <v>6.3780821917808215</v>
      </c>
    </row>
    <row r="66" spans="1:14" x14ac:dyDescent="0.3">
      <c r="A66" t="s">
        <v>495</v>
      </c>
      <c r="B66" t="s">
        <v>496</v>
      </c>
      <c r="C66" t="s">
        <v>497</v>
      </c>
      <c r="D66" t="s">
        <v>11</v>
      </c>
      <c r="E66" t="s">
        <v>89</v>
      </c>
      <c r="F66" s="8">
        <v>84762.76</v>
      </c>
      <c r="G66" t="s">
        <v>321</v>
      </c>
      <c r="H66" s="1">
        <v>43332</v>
      </c>
      <c r="I66">
        <v>1</v>
      </c>
      <c r="J66" t="s">
        <v>318</v>
      </c>
      <c r="K66" t="s">
        <v>13</v>
      </c>
      <c r="L66" t="s">
        <v>18</v>
      </c>
      <c r="M66" s="5">
        <v>2927</v>
      </c>
      <c r="N66" s="6">
        <v>8.0191780821917806</v>
      </c>
    </row>
    <row r="67" spans="1:14" x14ac:dyDescent="0.3">
      <c r="A67" t="s">
        <v>498</v>
      </c>
      <c r="B67" t="s">
        <v>499</v>
      </c>
      <c r="C67" t="s">
        <v>500</v>
      </c>
      <c r="D67" t="s">
        <v>11</v>
      </c>
      <c r="E67" t="s">
        <v>62</v>
      </c>
      <c r="F67" s="8">
        <v>69057.320000000007</v>
      </c>
      <c r="G67" t="s">
        <v>321</v>
      </c>
      <c r="H67" s="1">
        <v>43390</v>
      </c>
      <c r="I67">
        <v>1</v>
      </c>
      <c r="J67" t="s">
        <v>318</v>
      </c>
      <c r="K67" t="s">
        <v>13</v>
      </c>
      <c r="L67" t="s">
        <v>14</v>
      </c>
      <c r="M67" s="5">
        <v>2869</v>
      </c>
      <c r="N67" s="6">
        <v>7.86027397260274</v>
      </c>
    </row>
    <row r="68" spans="1:14" x14ac:dyDescent="0.3">
      <c r="A68" t="s">
        <v>501</v>
      </c>
      <c r="B68" t="s">
        <v>502</v>
      </c>
      <c r="C68" t="s">
        <v>503</v>
      </c>
      <c r="D68" t="s">
        <v>2134</v>
      </c>
      <c r="E68" t="s">
        <v>44</v>
      </c>
      <c r="F68" s="8">
        <v>99448.78</v>
      </c>
      <c r="G68" t="s">
        <v>321</v>
      </c>
      <c r="H68" s="1">
        <v>43473</v>
      </c>
      <c r="I68">
        <v>1</v>
      </c>
      <c r="J68" t="s">
        <v>318</v>
      </c>
      <c r="K68" t="s">
        <v>329</v>
      </c>
      <c r="L68" t="s">
        <v>14</v>
      </c>
      <c r="M68" s="5">
        <v>2786</v>
      </c>
      <c r="N68" s="6">
        <v>7.6328767123287671</v>
      </c>
    </row>
    <row r="69" spans="1:14" x14ac:dyDescent="0.3">
      <c r="A69" t="s">
        <v>504</v>
      </c>
      <c r="B69" t="s">
        <v>505</v>
      </c>
      <c r="C69" t="s">
        <v>506</v>
      </c>
      <c r="D69" t="s">
        <v>11</v>
      </c>
      <c r="E69" t="s">
        <v>67</v>
      </c>
      <c r="F69" s="8">
        <v>66865.490000000005</v>
      </c>
      <c r="G69" t="s">
        <v>321</v>
      </c>
      <c r="H69" s="1">
        <v>43514</v>
      </c>
      <c r="I69">
        <v>1</v>
      </c>
      <c r="J69" t="s">
        <v>318</v>
      </c>
      <c r="K69" t="s">
        <v>13</v>
      </c>
      <c r="L69" t="s">
        <v>53</v>
      </c>
      <c r="M69" s="5">
        <v>2745</v>
      </c>
      <c r="N69" s="6">
        <v>7.5205479452054798</v>
      </c>
    </row>
    <row r="70" spans="1:14" x14ac:dyDescent="0.3">
      <c r="A70" t="s">
        <v>507</v>
      </c>
      <c r="B70" t="s">
        <v>508</v>
      </c>
      <c r="C70" t="s">
        <v>509</v>
      </c>
      <c r="D70" t="s">
        <v>24</v>
      </c>
      <c r="E70" t="s">
        <v>34</v>
      </c>
      <c r="F70" s="8">
        <v>113747.56</v>
      </c>
      <c r="G70" t="s">
        <v>317</v>
      </c>
      <c r="H70" s="1">
        <v>44270</v>
      </c>
      <c r="I70">
        <v>0.7</v>
      </c>
      <c r="J70" t="s">
        <v>322</v>
      </c>
      <c r="K70" t="s">
        <v>358</v>
      </c>
      <c r="L70" t="s">
        <v>21</v>
      </c>
      <c r="M70" s="5">
        <v>1989</v>
      </c>
      <c r="N70" s="6">
        <v>5.4493150684931511</v>
      </c>
    </row>
    <row r="71" spans="1:14" x14ac:dyDescent="0.3">
      <c r="A71" t="s">
        <v>63</v>
      </c>
      <c r="B71" t="s">
        <v>510</v>
      </c>
      <c r="C71" t="s">
        <v>511</v>
      </c>
      <c r="D71" t="s">
        <v>24</v>
      </c>
      <c r="E71" t="s">
        <v>17</v>
      </c>
      <c r="F71" s="8">
        <v>85918.61</v>
      </c>
      <c r="G71" t="s">
        <v>321</v>
      </c>
      <c r="H71" s="1">
        <v>43136</v>
      </c>
      <c r="I71">
        <v>1</v>
      </c>
      <c r="J71" t="s">
        <v>318</v>
      </c>
      <c r="K71" t="s">
        <v>13</v>
      </c>
      <c r="L71" t="s">
        <v>21</v>
      </c>
      <c r="M71" s="5">
        <v>3123</v>
      </c>
      <c r="N71" s="6">
        <v>8.5561643835616437</v>
      </c>
    </row>
    <row r="72" spans="1:14" x14ac:dyDescent="0.3">
      <c r="A72" t="s">
        <v>512</v>
      </c>
      <c r="B72" t="s">
        <v>513</v>
      </c>
      <c r="C72" t="s">
        <v>514</v>
      </c>
      <c r="D72" t="s">
        <v>11</v>
      </c>
      <c r="E72" t="s">
        <v>316</v>
      </c>
      <c r="F72" s="8">
        <v>51165.37</v>
      </c>
      <c r="G72" t="s">
        <v>321</v>
      </c>
      <c r="H72" s="1">
        <v>44237</v>
      </c>
      <c r="I72">
        <v>1</v>
      </c>
      <c r="J72" t="s">
        <v>318</v>
      </c>
      <c r="K72" t="s">
        <v>329</v>
      </c>
      <c r="L72" t="s">
        <v>18</v>
      </c>
      <c r="M72" s="5">
        <v>2022</v>
      </c>
      <c r="N72" s="6">
        <v>5.5397260273972604</v>
      </c>
    </row>
    <row r="73" spans="1:14" x14ac:dyDescent="0.3">
      <c r="A73" t="s">
        <v>515</v>
      </c>
      <c r="B73" t="s">
        <v>516</v>
      </c>
      <c r="C73" t="s">
        <v>517</v>
      </c>
      <c r="D73" t="s">
        <v>2134</v>
      </c>
      <c r="E73" t="s">
        <v>44</v>
      </c>
      <c r="F73" s="8">
        <v>67957.899999999994</v>
      </c>
      <c r="G73" t="s">
        <v>321</v>
      </c>
      <c r="H73" s="1">
        <v>43430</v>
      </c>
      <c r="I73">
        <v>1</v>
      </c>
      <c r="J73" t="s">
        <v>318</v>
      </c>
      <c r="K73" t="s">
        <v>13</v>
      </c>
      <c r="L73" t="s">
        <v>50</v>
      </c>
      <c r="M73" s="5">
        <v>2829</v>
      </c>
      <c r="N73" s="6">
        <v>7.7506849315068491</v>
      </c>
    </row>
    <row r="74" spans="1:14" x14ac:dyDescent="0.3">
      <c r="A74" t="s">
        <v>518</v>
      </c>
      <c r="B74" t="s">
        <v>519</v>
      </c>
      <c r="C74" t="s">
        <v>520</v>
      </c>
      <c r="D74" t="s">
        <v>24</v>
      </c>
      <c r="E74" t="s">
        <v>59</v>
      </c>
      <c r="F74" s="8">
        <v>114465.93</v>
      </c>
      <c r="G74" t="s">
        <v>317</v>
      </c>
      <c r="H74" s="1">
        <v>43291</v>
      </c>
      <c r="I74">
        <v>1</v>
      </c>
      <c r="J74" t="s">
        <v>318</v>
      </c>
      <c r="K74" t="s">
        <v>358</v>
      </c>
      <c r="L74" t="s">
        <v>14</v>
      </c>
      <c r="M74" s="5">
        <v>2968</v>
      </c>
      <c r="N74" s="6">
        <v>8.131506849315068</v>
      </c>
    </row>
    <row r="75" spans="1:14" x14ac:dyDescent="0.3">
      <c r="A75" t="s">
        <v>121</v>
      </c>
      <c r="B75" t="s">
        <v>521</v>
      </c>
      <c r="C75" t="s">
        <v>522</v>
      </c>
      <c r="D75" t="s">
        <v>24</v>
      </c>
      <c r="E75" t="s">
        <v>29</v>
      </c>
      <c r="F75" s="8">
        <v>65699.02</v>
      </c>
      <c r="G75" t="s">
        <v>321</v>
      </c>
      <c r="H75" s="1">
        <v>43951</v>
      </c>
      <c r="I75">
        <v>1</v>
      </c>
      <c r="J75" t="s">
        <v>318</v>
      </c>
      <c r="K75" t="s">
        <v>13</v>
      </c>
      <c r="L75" t="s">
        <v>21</v>
      </c>
      <c r="M75" s="5">
        <v>2308</v>
      </c>
      <c r="N75" s="6">
        <v>6.3232876712328769</v>
      </c>
    </row>
    <row r="76" spans="1:14" x14ac:dyDescent="0.3">
      <c r="A76" t="s">
        <v>523</v>
      </c>
      <c r="B76" t="s">
        <v>524</v>
      </c>
      <c r="C76" t="s">
        <v>525</v>
      </c>
      <c r="D76" t="s">
        <v>24</v>
      </c>
      <c r="E76" t="s">
        <v>89</v>
      </c>
      <c r="F76" s="8">
        <v>83191.95</v>
      </c>
      <c r="G76" t="s">
        <v>321</v>
      </c>
      <c r="H76" s="1">
        <v>43700</v>
      </c>
      <c r="I76">
        <v>0.6</v>
      </c>
      <c r="J76" t="s">
        <v>322</v>
      </c>
      <c r="K76" t="s">
        <v>358</v>
      </c>
      <c r="L76" t="s">
        <v>26</v>
      </c>
      <c r="M76" s="5">
        <v>2559</v>
      </c>
      <c r="N76" s="6">
        <v>7.0109589041095894</v>
      </c>
    </row>
    <row r="77" spans="1:14" x14ac:dyDescent="0.3">
      <c r="A77" t="s">
        <v>526</v>
      </c>
      <c r="B77" t="s">
        <v>527</v>
      </c>
      <c r="C77" t="s">
        <v>528</v>
      </c>
      <c r="D77" t="s">
        <v>24</v>
      </c>
      <c r="E77" t="s">
        <v>67</v>
      </c>
      <c r="F77" s="8">
        <v>106775.14</v>
      </c>
      <c r="G77" t="s">
        <v>317</v>
      </c>
      <c r="H77" s="1">
        <v>43563</v>
      </c>
      <c r="I77">
        <v>1</v>
      </c>
      <c r="J77" t="s">
        <v>318</v>
      </c>
      <c r="K77" t="s">
        <v>329</v>
      </c>
      <c r="L77" t="s">
        <v>18</v>
      </c>
      <c r="M77" s="5">
        <v>2696</v>
      </c>
      <c r="N77" s="6">
        <v>7.3863013698630136</v>
      </c>
    </row>
    <row r="78" spans="1:14" x14ac:dyDescent="0.3">
      <c r="A78" t="s">
        <v>529</v>
      </c>
      <c r="B78" t="s">
        <v>530</v>
      </c>
      <c r="C78" t="s">
        <v>531</v>
      </c>
      <c r="D78" t="s">
        <v>24</v>
      </c>
      <c r="E78" t="s">
        <v>44</v>
      </c>
      <c r="F78" s="8">
        <v>83396.5</v>
      </c>
      <c r="G78" t="s">
        <v>321</v>
      </c>
      <c r="H78" s="1">
        <v>44285</v>
      </c>
      <c r="I78">
        <v>1</v>
      </c>
      <c r="J78" t="s">
        <v>318</v>
      </c>
      <c r="K78" t="s">
        <v>358</v>
      </c>
      <c r="L78" t="s">
        <v>56</v>
      </c>
      <c r="M78" s="5">
        <v>1974</v>
      </c>
      <c r="N78" s="6">
        <v>5.4082191780821915</v>
      </c>
    </row>
    <row r="79" spans="1:14" x14ac:dyDescent="0.3">
      <c r="A79" t="s">
        <v>532</v>
      </c>
      <c r="B79" t="s">
        <v>533</v>
      </c>
      <c r="C79" t="s">
        <v>534</v>
      </c>
      <c r="D79" t="s">
        <v>24</v>
      </c>
      <c r="E79" t="s">
        <v>34</v>
      </c>
      <c r="F79" s="8">
        <v>28481.16</v>
      </c>
      <c r="G79" t="s">
        <v>349</v>
      </c>
      <c r="H79" s="1">
        <v>44228</v>
      </c>
      <c r="I79">
        <v>1</v>
      </c>
      <c r="J79" t="s">
        <v>318</v>
      </c>
      <c r="K79" t="s">
        <v>358</v>
      </c>
      <c r="L79" t="s">
        <v>50</v>
      </c>
      <c r="M79" s="5">
        <v>2031</v>
      </c>
      <c r="N79" s="6">
        <v>5.5643835616438357</v>
      </c>
    </row>
    <row r="80" spans="1:14" x14ac:dyDescent="0.3">
      <c r="A80" t="s">
        <v>102</v>
      </c>
      <c r="B80" t="s">
        <v>535</v>
      </c>
      <c r="C80" t="s">
        <v>536</v>
      </c>
      <c r="D80" t="s">
        <v>24</v>
      </c>
      <c r="E80" t="s">
        <v>89</v>
      </c>
      <c r="F80" s="8">
        <v>32192.15</v>
      </c>
      <c r="G80" t="s">
        <v>349</v>
      </c>
      <c r="H80" s="1">
        <v>44473</v>
      </c>
      <c r="I80">
        <v>1</v>
      </c>
      <c r="J80" t="s">
        <v>318</v>
      </c>
      <c r="K80" t="s">
        <v>13</v>
      </c>
      <c r="L80" t="s">
        <v>18</v>
      </c>
      <c r="M80" s="5">
        <v>1786</v>
      </c>
      <c r="N80" s="6">
        <v>4.8931506849315065</v>
      </c>
    </row>
    <row r="81" spans="1:14" x14ac:dyDescent="0.3">
      <c r="A81" t="s">
        <v>51</v>
      </c>
      <c r="B81" t="s">
        <v>537</v>
      </c>
      <c r="C81" t="s">
        <v>538</v>
      </c>
      <c r="D81" t="s">
        <v>24</v>
      </c>
      <c r="E81" t="s">
        <v>316</v>
      </c>
      <c r="F81" s="8">
        <v>112645.99</v>
      </c>
      <c r="G81" t="s">
        <v>317</v>
      </c>
      <c r="H81" s="1">
        <v>43759</v>
      </c>
      <c r="I81">
        <v>0.6</v>
      </c>
      <c r="J81" t="s">
        <v>322</v>
      </c>
      <c r="K81" t="s">
        <v>13</v>
      </c>
      <c r="L81" t="s">
        <v>53</v>
      </c>
      <c r="M81" s="5">
        <v>2500</v>
      </c>
      <c r="N81" s="6">
        <v>6.8493150684931505</v>
      </c>
    </row>
    <row r="82" spans="1:14" x14ac:dyDescent="0.3">
      <c r="A82" t="s">
        <v>539</v>
      </c>
      <c r="B82" t="s">
        <v>540</v>
      </c>
      <c r="C82" t="s">
        <v>541</v>
      </c>
      <c r="D82" t="s">
        <v>2134</v>
      </c>
      <c r="E82" t="s">
        <v>37</v>
      </c>
      <c r="F82" s="8">
        <v>107107.6</v>
      </c>
      <c r="G82" t="s">
        <v>317</v>
      </c>
      <c r="H82" s="1">
        <v>43325</v>
      </c>
      <c r="I82">
        <v>0.9</v>
      </c>
      <c r="J82" t="s">
        <v>322</v>
      </c>
      <c r="K82" t="s">
        <v>13</v>
      </c>
      <c r="L82" t="s">
        <v>50</v>
      </c>
      <c r="M82" s="5">
        <v>2934</v>
      </c>
      <c r="N82" s="6">
        <v>8.0383561643835613</v>
      </c>
    </row>
    <row r="83" spans="1:14" x14ac:dyDescent="0.3">
      <c r="A83" t="s">
        <v>125</v>
      </c>
      <c r="B83" t="s">
        <v>542</v>
      </c>
      <c r="C83" t="s">
        <v>543</v>
      </c>
      <c r="D83" t="s">
        <v>11</v>
      </c>
      <c r="E83" t="s">
        <v>17</v>
      </c>
      <c r="F83" s="8">
        <v>80695.740000000005</v>
      </c>
      <c r="G83" t="s">
        <v>321</v>
      </c>
      <c r="H83" s="1">
        <v>43787</v>
      </c>
      <c r="I83">
        <v>0.8</v>
      </c>
      <c r="J83" t="s">
        <v>322</v>
      </c>
      <c r="K83" t="s">
        <v>13</v>
      </c>
      <c r="L83" t="s">
        <v>21</v>
      </c>
      <c r="M83" s="5">
        <v>2472</v>
      </c>
      <c r="N83" s="6">
        <v>6.7726027397260271</v>
      </c>
    </row>
    <row r="84" spans="1:14" x14ac:dyDescent="0.3">
      <c r="A84" t="s">
        <v>544</v>
      </c>
      <c r="B84" t="s">
        <v>545</v>
      </c>
      <c r="C84" t="s">
        <v>546</v>
      </c>
      <c r="D84" t="s">
        <v>11</v>
      </c>
      <c r="E84" t="s">
        <v>67</v>
      </c>
      <c r="F84" s="8">
        <v>75475.929999999993</v>
      </c>
      <c r="G84" t="s">
        <v>321</v>
      </c>
      <c r="H84" s="1">
        <v>43794</v>
      </c>
      <c r="I84">
        <v>1</v>
      </c>
      <c r="J84" t="s">
        <v>318</v>
      </c>
      <c r="K84" t="s">
        <v>13</v>
      </c>
      <c r="L84" t="s">
        <v>26</v>
      </c>
      <c r="M84" s="5">
        <v>2465</v>
      </c>
      <c r="N84" s="6">
        <v>6.7534246575342465</v>
      </c>
    </row>
    <row r="85" spans="1:14" x14ac:dyDescent="0.3">
      <c r="A85" t="s">
        <v>547</v>
      </c>
      <c r="B85" t="s">
        <v>548</v>
      </c>
      <c r="C85" t="s">
        <v>549</v>
      </c>
      <c r="D85" t="s">
        <v>11</v>
      </c>
      <c r="E85" t="s">
        <v>17</v>
      </c>
      <c r="F85" s="8">
        <v>86558.58</v>
      </c>
      <c r="G85" t="s">
        <v>321</v>
      </c>
      <c r="H85" s="1">
        <v>43887</v>
      </c>
      <c r="I85">
        <v>1</v>
      </c>
      <c r="J85" t="s">
        <v>318</v>
      </c>
      <c r="K85" t="s">
        <v>329</v>
      </c>
      <c r="L85" t="s">
        <v>26</v>
      </c>
      <c r="M85" s="5">
        <v>2372</v>
      </c>
      <c r="N85" s="6">
        <v>6.4986301369863018</v>
      </c>
    </row>
    <row r="86" spans="1:14" x14ac:dyDescent="0.3">
      <c r="A86" t="s">
        <v>45</v>
      </c>
      <c r="B86" t="s">
        <v>550</v>
      </c>
      <c r="C86" t="s">
        <v>551</v>
      </c>
      <c r="D86" t="s">
        <v>11</v>
      </c>
      <c r="E86" t="s">
        <v>47</v>
      </c>
      <c r="F86" s="8">
        <v>84309.95</v>
      </c>
      <c r="G86" t="s">
        <v>321</v>
      </c>
      <c r="H86" s="1">
        <v>44501</v>
      </c>
      <c r="I86">
        <v>1</v>
      </c>
      <c r="J86" t="s">
        <v>318</v>
      </c>
      <c r="K86" t="s">
        <v>13</v>
      </c>
      <c r="L86" t="s">
        <v>26</v>
      </c>
      <c r="M86" s="5">
        <v>1758</v>
      </c>
      <c r="N86" s="6">
        <v>4.816438356164384</v>
      </c>
    </row>
    <row r="87" spans="1:14" x14ac:dyDescent="0.3">
      <c r="A87" t="s">
        <v>54</v>
      </c>
      <c r="B87" t="s">
        <v>552</v>
      </c>
      <c r="C87" t="s">
        <v>553</v>
      </c>
      <c r="D87" t="s">
        <v>24</v>
      </c>
      <c r="E87" t="s">
        <v>37</v>
      </c>
      <c r="F87" s="8">
        <v>91645.04</v>
      </c>
      <c r="G87" t="s">
        <v>321</v>
      </c>
      <c r="H87" s="1">
        <v>44223</v>
      </c>
      <c r="I87">
        <v>1</v>
      </c>
      <c r="J87" t="s">
        <v>318</v>
      </c>
      <c r="K87" t="s">
        <v>13</v>
      </c>
      <c r="L87" t="s">
        <v>56</v>
      </c>
      <c r="M87" s="5">
        <v>2036</v>
      </c>
      <c r="N87" s="6">
        <v>5.5780821917808217</v>
      </c>
    </row>
    <row r="88" spans="1:14" x14ac:dyDescent="0.3">
      <c r="A88" t="s">
        <v>554</v>
      </c>
      <c r="B88" t="s">
        <v>555</v>
      </c>
      <c r="C88" t="s">
        <v>556</v>
      </c>
      <c r="D88" t="s">
        <v>11</v>
      </c>
      <c r="E88" t="s">
        <v>12</v>
      </c>
      <c r="F88" s="8">
        <v>101187.36</v>
      </c>
      <c r="G88" t="s">
        <v>317</v>
      </c>
      <c r="H88" s="1">
        <v>43258</v>
      </c>
      <c r="I88">
        <v>1</v>
      </c>
      <c r="J88" t="s">
        <v>318</v>
      </c>
      <c r="K88" t="s">
        <v>329</v>
      </c>
      <c r="L88" t="s">
        <v>21</v>
      </c>
      <c r="M88" s="5">
        <v>3001</v>
      </c>
      <c r="N88" s="6">
        <v>8.2219178082191782</v>
      </c>
    </row>
    <row r="89" spans="1:14" x14ac:dyDescent="0.3">
      <c r="A89" t="s">
        <v>436</v>
      </c>
      <c r="B89" t="s">
        <v>437</v>
      </c>
      <c r="C89" t="s">
        <v>438</v>
      </c>
      <c r="D89" t="s">
        <v>24</v>
      </c>
      <c r="E89" t="s">
        <v>17</v>
      </c>
      <c r="F89" s="8">
        <v>80169.42</v>
      </c>
      <c r="G89" t="s">
        <v>321</v>
      </c>
      <c r="H89" s="1">
        <v>44053</v>
      </c>
      <c r="I89">
        <v>1</v>
      </c>
      <c r="J89" t="s">
        <v>318</v>
      </c>
      <c r="K89" t="s">
        <v>13</v>
      </c>
      <c r="L89" t="s">
        <v>56</v>
      </c>
      <c r="M89" s="5">
        <v>2206</v>
      </c>
      <c r="N89" s="6">
        <v>6.043835616438356</v>
      </c>
    </row>
    <row r="90" spans="1:14" x14ac:dyDescent="0.3">
      <c r="A90" t="s">
        <v>557</v>
      </c>
      <c r="B90" t="s">
        <v>558</v>
      </c>
      <c r="C90" t="s">
        <v>559</v>
      </c>
      <c r="D90" t="s">
        <v>11</v>
      </c>
      <c r="E90" t="s">
        <v>82</v>
      </c>
      <c r="F90" s="8">
        <v>104038.9</v>
      </c>
      <c r="G90" t="s">
        <v>317</v>
      </c>
      <c r="H90" s="1">
        <v>43815</v>
      </c>
      <c r="I90">
        <v>1</v>
      </c>
      <c r="J90" t="s">
        <v>318</v>
      </c>
      <c r="K90" t="s">
        <v>329</v>
      </c>
      <c r="L90" t="s">
        <v>26</v>
      </c>
      <c r="M90" s="5">
        <v>2444</v>
      </c>
      <c r="N90" s="6">
        <v>6.6958904109589037</v>
      </c>
    </row>
    <row r="91" spans="1:14" x14ac:dyDescent="0.3">
      <c r="A91" t="s">
        <v>560</v>
      </c>
      <c r="B91" t="s">
        <v>561</v>
      </c>
      <c r="C91" t="s">
        <v>562</v>
      </c>
      <c r="D91" t="s">
        <v>11</v>
      </c>
      <c r="E91" t="s">
        <v>47</v>
      </c>
      <c r="F91" s="8">
        <v>99683.67</v>
      </c>
      <c r="G91" t="s">
        <v>321</v>
      </c>
      <c r="H91" s="1">
        <v>43500</v>
      </c>
      <c r="I91">
        <v>1</v>
      </c>
      <c r="J91" t="s">
        <v>318</v>
      </c>
      <c r="K91" t="s">
        <v>329</v>
      </c>
      <c r="L91" t="s">
        <v>53</v>
      </c>
      <c r="M91" s="5">
        <v>2759</v>
      </c>
      <c r="N91" s="6">
        <v>7.558904109589041</v>
      </c>
    </row>
    <row r="92" spans="1:14" x14ac:dyDescent="0.3">
      <c r="A92" t="s">
        <v>563</v>
      </c>
      <c r="B92" t="s">
        <v>564</v>
      </c>
      <c r="C92" t="s">
        <v>565</v>
      </c>
      <c r="D92" t="s">
        <v>24</v>
      </c>
      <c r="E92" t="s">
        <v>59</v>
      </c>
      <c r="F92" s="8">
        <v>47362.62</v>
      </c>
      <c r="G92" t="s">
        <v>349</v>
      </c>
      <c r="H92" s="1">
        <v>43973</v>
      </c>
      <c r="I92">
        <v>1</v>
      </c>
      <c r="J92" t="s">
        <v>318</v>
      </c>
      <c r="K92" t="s">
        <v>358</v>
      </c>
      <c r="L92" t="s">
        <v>26</v>
      </c>
      <c r="M92" s="5">
        <v>2286</v>
      </c>
      <c r="N92" s="6">
        <v>6.2630136986301368</v>
      </c>
    </row>
    <row r="93" spans="1:14" x14ac:dyDescent="0.3">
      <c r="A93" t="s">
        <v>15</v>
      </c>
      <c r="B93" t="s">
        <v>566</v>
      </c>
      <c r="C93" t="s">
        <v>567</v>
      </c>
      <c r="D93" t="s">
        <v>11</v>
      </c>
      <c r="E93" t="s">
        <v>17</v>
      </c>
      <c r="F93" s="8">
        <v>70649.460000000006</v>
      </c>
      <c r="G93" t="s">
        <v>321</v>
      </c>
      <c r="H93" s="1">
        <v>43843</v>
      </c>
      <c r="I93">
        <v>1</v>
      </c>
      <c r="J93" t="s">
        <v>318</v>
      </c>
      <c r="K93" t="s">
        <v>13</v>
      </c>
      <c r="L93" t="s">
        <v>18</v>
      </c>
      <c r="M93" s="5">
        <v>2416</v>
      </c>
      <c r="N93" s="6">
        <v>6.6191780821917812</v>
      </c>
    </row>
    <row r="94" spans="1:14" x14ac:dyDescent="0.3">
      <c r="A94" t="s">
        <v>568</v>
      </c>
      <c r="B94" t="s">
        <v>569</v>
      </c>
      <c r="C94" t="s">
        <v>570</v>
      </c>
      <c r="D94" t="s">
        <v>11</v>
      </c>
      <c r="E94" t="s">
        <v>34</v>
      </c>
      <c r="F94" s="8">
        <v>75733.740000000005</v>
      </c>
      <c r="G94" t="s">
        <v>321</v>
      </c>
      <c r="H94" s="1">
        <v>44382</v>
      </c>
      <c r="I94">
        <v>1</v>
      </c>
      <c r="J94" t="s">
        <v>318</v>
      </c>
      <c r="K94" t="s">
        <v>13</v>
      </c>
      <c r="L94" t="s">
        <v>18</v>
      </c>
      <c r="M94" s="5">
        <v>1877</v>
      </c>
      <c r="N94" s="6">
        <v>5.1424657534246574</v>
      </c>
    </row>
    <row r="95" spans="1:14" x14ac:dyDescent="0.3">
      <c r="A95" t="s">
        <v>571</v>
      </c>
      <c r="B95" t="s">
        <v>572</v>
      </c>
      <c r="C95" t="s">
        <v>573</v>
      </c>
      <c r="D95" t="s">
        <v>11</v>
      </c>
      <c r="E95" t="s">
        <v>37</v>
      </c>
      <c r="F95" s="8">
        <v>71823.56</v>
      </c>
      <c r="G95" t="s">
        <v>321</v>
      </c>
      <c r="H95" s="1">
        <v>43374</v>
      </c>
      <c r="I95">
        <v>0.3</v>
      </c>
      <c r="J95" t="s">
        <v>322</v>
      </c>
      <c r="K95" t="s">
        <v>358</v>
      </c>
      <c r="L95" t="s">
        <v>26</v>
      </c>
      <c r="M95" s="5">
        <v>2885</v>
      </c>
      <c r="N95" s="6">
        <v>7.904109589041096</v>
      </c>
    </row>
    <row r="96" spans="1:14" x14ac:dyDescent="0.3">
      <c r="A96" t="s">
        <v>574</v>
      </c>
      <c r="B96" t="s">
        <v>575</v>
      </c>
      <c r="C96" t="s">
        <v>576</v>
      </c>
      <c r="D96" t="s">
        <v>11</v>
      </c>
      <c r="E96" t="s">
        <v>89</v>
      </c>
      <c r="F96" s="8">
        <v>41934.71</v>
      </c>
      <c r="G96" t="s">
        <v>349</v>
      </c>
      <c r="H96" s="1">
        <v>43943</v>
      </c>
      <c r="I96">
        <v>1</v>
      </c>
      <c r="J96" t="s">
        <v>318</v>
      </c>
      <c r="K96" t="s">
        <v>13</v>
      </c>
      <c r="L96" t="s">
        <v>26</v>
      </c>
      <c r="M96" s="5">
        <v>2316</v>
      </c>
      <c r="N96" s="6">
        <v>6.3452054794520549</v>
      </c>
    </row>
    <row r="97" spans="1:14" x14ac:dyDescent="0.3">
      <c r="A97" t="s">
        <v>114</v>
      </c>
      <c r="B97" t="s">
        <v>577</v>
      </c>
      <c r="C97" t="s">
        <v>578</v>
      </c>
      <c r="D97" t="s">
        <v>24</v>
      </c>
      <c r="E97" t="s">
        <v>34</v>
      </c>
      <c r="F97" s="8">
        <v>66572.58</v>
      </c>
      <c r="G97" t="s">
        <v>321</v>
      </c>
      <c r="H97" s="1">
        <v>44193</v>
      </c>
      <c r="I97">
        <v>1</v>
      </c>
      <c r="J97" t="s">
        <v>318</v>
      </c>
      <c r="K97" t="s">
        <v>13</v>
      </c>
      <c r="L97" t="s">
        <v>50</v>
      </c>
      <c r="M97" s="5">
        <v>2066</v>
      </c>
      <c r="N97" s="6">
        <v>5.6602739726027398</v>
      </c>
    </row>
    <row r="98" spans="1:14" x14ac:dyDescent="0.3">
      <c r="A98" t="s">
        <v>579</v>
      </c>
      <c r="B98" t="s">
        <v>580</v>
      </c>
      <c r="C98" t="s">
        <v>581</v>
      </c>
      <c r="D98" t="s">
        <v>24</v>
      </c>
      <c r="E98" t="s">
        <v>29</v>
      </c>
      <c r="F98" s="8">
        <v>76932.600000000006</v>
      </c>
      <c r="G98" t="s">
        <v>321</v>
      </c>
      <c r="H98" s="1">
        <v>43493</v>
      </c>
      <c r="I98">
        <v>1</v>
      </c>
      <c r="J98" t="s">
        <v>318</v>
      </c>
      <c r="K98" t="s">
        <v>13</v>
      </c>
      <c r="L98" t="s">
        <v>18</v>
      </c>
      <c r="M98" s="5">
        <v>2766</v>
      </c>
      <c r="N98" s="6">
        <v>7.5780821917808217</v>
      </c>
    </row>
    <row r="99" spans="1:14" x14ac:dyDescent="0.3">
      <c r="A99" t="s">
        <v>582</v>
      </c>
      <c r="B99" t="s">
        <v>583</v>
      </c>
      <c r="C99" t="s">
        <v>584</v>
      </c>
      <c r="D99" t="s">
        <v>24</v>
      </c>
      <c r="E99" t="s">
        <v>82</v>
      </c>
      <c r="F99" s="8">
        <v>59258.19</v>
      </c>
      <c r="G99" t="s">
        <v>321</v>
      </c>
      <c r="H99" s="1">
        <v>43452</v>
      </c>
      <c r="I99">
        <v>0.8</v>
      </c>
      <c r="J99" t="s">
        <v>322</v>
      </c>
      <c r="K99" t="s">
        <v>13</v>
      </c>
      <c r="L99" t="s">
        <v>53</v>
      </c>
      <c r="M99" s="5">
        <v>2807</v>
      </c>
      <c r="N99" s="6">
        <v>7.6904109589041099</v>
      </c>
    </row>
    <row r="100" spans="1:14" x14ac:dyDescent="0.3">
      <c r="A100" t="s">
        <v>585</v>
      </c>
      <c r="B100" t="s">
        <v>586</v>
      </c>
      <c r="C100" t="s">
        <v>587</v>
      </c>
      <c r="D100" t="s">
        <v>24</v>
      </c>
      <c r="E100" t="s">
        <v>12</v>
      </c>
      <c r="F100" s="8">
        <v>112778.28</v>
      </c>
      <c r="G100" t="s">
        <v>317</v>
      </c>
      <c r="H100" s="1">
        <v>43250</v>
      </c>
      <c r="I100">
        <v>1</v>
      </c>
      <c r="J100" t="s">
        <v>318</v>
      </c>
      <c r="K100" t="s">
        <v>329</v>
      </c>
      <c r="L100" t="s">
        <v>26</v>
      </c>
      <c r="M100" s="5">
        <v>3009</v>
      </c>
      <c r="N100" s="6">
        <v>8.2438356164383571</v>
      </c>
    </row>
    <row r="101" spans="1:14" x14ac:dyDescent="0.3">
      <c r="A101" t="s">
        <v>588</v>
      </c>
      <c r="B101" t="s">
        <v>589</v>
      </c>
      <c r="C101" t="s">
        <v>590</v>
      </c>
      <c r="D101" t="s">
        <v>11</v>
      </c>
      <c r="E101" t="s">
        <v>37</v>
      </c>
      <c r="F101" s="8">
        <v>44845.33</v>
      </c>
      <c r="G101" t="s">
        <v>349</v>
      </c>
      <c r="H101" s="1">
        <v>43277</v>
      </c>
      <c r="I101">
        <v>1</v>
      </c>
      <c r="J101" t="s">
        <v>318</v>
      </c>
      <c r="K101" t="s">
        <v>13</v>
      </c>
      <c r="L101" t="s">
        <v>53</v>
      </c>
      <c r="M101" s="5">
        <v>2982</v>
      </c>
      <c r="N101" s="6">
        <v>8.169863013698631</v>
      </c>
    </row>
    <row r="102" spans="1:14" x14ac:dyDescent="0.3">
      <c r="A102" t="s">
        <v>76</v>
      </c>
      <c r="B102" t="s">
        <v>591</v>
      </c>
      <c r="C102" t="s">
        <v>592</v>
      </c>
      <c r="D102" t="s">
        <v>24</v>
      </c>
      <c r="E102" t="s">
        <v>67</v>
      </c>
      <c r="F102" s="8">
        <v>115191.38</v>
      </c>
      <c r="G102" t="s">
        <v>317</v>
      </c>
      <c r="H102" s="1">
        <v>44004</v>
      </c>
      <c r="I102">
        <v>1</v>
      </c>
      <c r="J102" t="s">
        <v>318</v>
      </c>
      <c r="K102" t="s">
        <v>13</v>
      </c>
      <c r="L102" t="s">
        <v>18</v>
      </c>
      <c r="M102" s="5">
        <v>2255</v>
      </c>
      <c r="N102" s="6">
        <v>6.1780821917808222</v>
      </c>
    </row>
    <row r="103" spans="1:14" x14ac:dyDescent="0.3">
      <c r="A103" t="s">
        <v>593</v>
      </c>
      <c r="B103" t="s">
        <v>594</v>
      </c>
      <c r="C103" t="s">
        <v>595</v>
      </c>
      <c r="D103" t="s">
        <v>11</v>
      </c>
      <c r="E103" t="s">
        <v>34</v>
      </c>
      <c r="F103" s="8">
        <v>111049.84</v>
      </c>
      <c r="G103" t="s">
        <v>317</v>
      </c>
      <c r="H103" s="1">
        <v>44393</v>
      </c>
      <c r="I103">
        <v>1</v>
      </c>
      <c r="J103" t="s">
        <v>318</v>
      </c>
      <c r="K103" t="s">
        <v>13</v>
      </c>
      <c r="L103" t="s">
        <v>14</v>
      </c>
      <c r="M103" s="5">
        <v>1866</v>
      </c>
      <c r="N103" s="6">
        <v>5.1123287671232873</v>
      </c>
    </row>
    <row r="104" spans="1:14" x14ac:dyDescent="0.3">
      <c r="A104" t="s">
        <v>80</v>
      </c>
      <c r="B104" t="s">
        <v>596</v>
      </c>
      <c r="C104" t="s">
        <v>597</v>
      </c>
      <c r="D104" t="s">
        <v>11</v>
      </c>
      <c r="E104" t="s">
        <v>82</v>
      </c>
      <c r="F104" s="8">
        <v>75974.990000000005</v>
      </c>
      <c r="G104" t="s">
        <v>321</v>
      </c>
      <c r="H104" s="1">
        <v>44172</v>
      </c>
      <c r="I104">
        <v>1</v>
      </c>
      <c r="J104" t="s">
        <v>318</v>
      </c>
      <c r="K104" t="s">
        <v>13</v>
      </c>
      <c r="L104" t="s">
        <v>26</v>
      </c>
      <c r="M104" s="5">
        <v>2087</v>
      </c>
      <c r="N104" s="6">
        <v>5.7178082191780826</v>
      </c>
    </row>
    <row r="105" spans="1:14" x14ac:dyDescent="0.3">
      <c r="A105" t="s">
        <v>598</v>
      </c>
      <c r="B105" t="s">
        <v>599</v>
      </c>
      <c r="C105" t="s">
        <v>600</v>
      </c>
      <c r="D105" t="s">
        <v>11</v>
      </c>
      <c r="E105" t="s">
        <v>62</v>
      </c>
      <c r="F105" s="8">
        <v>42161.77</v>
      </c>
      <c r="G105" t="s">
        <v>349</v>
      </c>
      <c r="H105" s="1">
        <v>43494</v>
      </c>
      <c r="I105">
        <v>1</v>
      </c>
      <c r="J105" t="s">
        <v>318</v>
      </c>
      <c r="K105" t="s">
        <v>13</v>
      </c>
      <c r="L105" t="s">
        <v>56</v>
      </c>
      <c r="M105" s="5">
        <v>2765</v>
      </c>
      <c r="N105" s="6">
        <v>7.5753424657534243</v>
      </c>
    </row>
    <row r="106" spans="1:14" x14ac:dyDescent="0.3">
      <c r="A106" t="s">
        <v>601</v>
      </c>
      <c r="B106" t="s">
        <v>602</v>
      </c>
      <c r="C106" t="s">
        <v>603</v>
      </c>
      <c r="D106" t="s">
        <v>24</v>
      </c>
      <c r="E106" t="s">
        <v>17</v>
      </c>
      <c r="F106" s="8">
        <v>71371.37</v>
      </c>
      <c r="G106" t="s">
        <v>321</v>
      </c>
      <c r="H106" s="1">
        <v>43392</v>
      </c>
      <c r="I106">
        <v>1</v>
      </c>
      <c r="J106" t="s">
        <v>318</v>
      </c>
      <c r="K106" t="s">
        <v>13</v>
      </c>
      <c r="L106" t="s">
        <v>18</v>
      </c>
      <c r="M106" s="5">
        <v>2867</v>
      </c>
      <c r="N106" s="6">
        <v>7.8547945205479452</v>
      </c>
    </row>
    <row r="107" spans="1:14" x14ac:dyDescent="0.3">
      <c r="A107" t="s">
        <v>604</v>
      </c>
      <c r="B107" t="s">
        <v>605</v>
      </c>
      <c r="C107" t="s">
        <v>606</v>
      </c>
      <c r="D107" t="s">
        <v>24</v>
      </c>
      <c r="E107" t="s">
        <v>37</v>
      </c>
      <c r="F107" s="8">
        <v>49915.14</v>
      </c>
      <c r="G107" t="s">
        <v>349</v>
      </c>
      <c r="H107" s="1">
        <v>43550</v>
      </c>
      <c r="I107">
        <v>1</v>
      </c>
      <c r="J107" t="s">
        <v>318</v>
      </c>
      <c r="K107" t="s">
        <v>13</v>
      </c>
      <c r="L107" t="s">
        <v>26</v>
      </c>
      <c r="M107" s="5">
        <v>2709</v>
      </c>
      <c r="N107" s="6">
        <v>7.4219178082191783</v>
      </c>
    </row>
    <row r="108" spans="1:14" x14ac:dyDescent="0.3">
      <c r="A108" t="s">
        <v>607</v>
      </c>
      <c r="B108" t="s">
        <v>608</v>
      </c>
      <c r="C108" t="s">
        <v>609</v>
      </c>
      <c r="D108" t="s">
        <v>24</v>
      </c>
      <c r="E108" t="s">
        <v>82</v>
      </c>
      <c r="F108" s="8">
        <v>37062.1</v>
      </c>
      <c r="G108" t="s">
        <v>349</v>
      </c>
      <c r="H108" s="1">
        <v>44357</v>
      </c>
      <c r="I108">
        <v>1</v>
      </c>
      <c r="J108" t="s">
        <v>318</v>
      </c>
      <c r="K108" t="s">
        <v>358</v>
      </c>
      <c r="L108" t="s">
        <v>50</v>
      </c>
      <c r="M108" s="5">
        <v>1902</v>
      </c>
      <c r="N108" s="6">
        <v>5.2109589041095887</v>
      </c>
    </row>
    <row r="109" spans="1:14" x14ac:dyDescent="0.3">
      <c r="A109" t="s">
        <v>401</v>
      </c>
      <c r="B109" t="s">
        <v>402</v>
      </c>
      <c r="C109" t="s">
        <v>403</v>
      </c>
      <c r="D109" t="s">
        <v>24</v>
      </c>
      <c r="E109" t="s">
        <v>17</v>
      </c>
      <c r="F109" s="8">
        <v>90884.32</v>
      </c>
      <c r="G109" t="s">
        <v>321</v>
      </c>
      <c r="H109" s="1">
        <v>43826</v>
      </c>
      <c r="I109">
        <v>1</v>
      </c>
      <c r="J109" t="s">
        <v>318</v>
      </c>
      <c r="K109" t="s">
        <v>13</v>
      </c>
      <c r="L109" t="s">
        <v>21</v>
      </c>
      <c r="M109" s="5">
        <v>2433</v>
      </c>
      <c r="N109" s="6">
        <v>6.6657534246575345</v>
      </c>
    </row>
    <row r="110" spans="1:14" x14ac:dyDescent="0.3">
      <c r="A110" t="s">
        <v>610</v>
      </c>
      <c r="B110" t="s">
        <v>611</v>
      </c>
      <c r="C110" t="s">
        <v>612</v>
      </c>
      <c r="D110" t="s">
        <v>24</v>
      </c>
      <c r="E110" t="s">
        <v>34</v>
      </c>
      <c r="F110" s="8">
        <v>89838.77</v>
      </c>
      <c r="G110" t="s">
        <v>321</v>
      </c>
      <c r="H110" s="1">
        <v>43602</v>
      </c>
      <c r="I110">
        <v>1</v>
      </c>
      <c r="J110" t="s">
        <v>318</v>
      </c>
      <c r="K110" t="s">
        <v>13</v>
      </c>
      <c r="L110" t="s">
        <v>26</v>
      </c>
      <c r="M110" s="5">
        <v>2657</v>
      </c>
      <c r="N110" s="6">
        <v>7.279452054794521</v>
      </c>
    </row>
    <row r="111" spans="1:14" x14ac:dyDescent="0.3">
      <c r="A111" t="s">
        <v>613</v>
      </c>
      <c r="B111" t="s">
        <v>614</v>
      </c>
      <c r="C111" t="s">
        <v>615</v>
      </c>
      <c r="D111" t="s">
        <v>11</v>
      </c>
      <c r="E111" t="s">
        <v>37</v>
      </c>
      <c r="F111" s="8">
        <v>68887.839999999997</v>
      </c>
      <c r="G111" t="s">
        <v>321</v>
      </c>
      <c r="H111" s="1">
        <v>43297</v>
      </c>
      <c r="I111">
        <v>1</v>
      </c>
      <c r="J111" t="s">
        <v>318</v>
      </c>
      <c r="K111" t="s">
        <v>13</v>
      </c>
      <c r="L111" t="s">
        <v>26</v>
      </c>
      <c r="M111" s="5">
        <v>2962</v>
      </c>
      <c r="N111" s="6">
        <v>8.1150684931506856</v>
      </c>
    </row>
    <row r="112" spans="1:14" x14ac:dyDescent="0.3">
      <c r="A112" t="s">
        <v>526</v>
      </c>
      <c r="B112" t="s">
        <v>616</v>
      </c>
      <c r="C112" t="s">
        <v>617</v>
      </c>
      <c r="D112" t="s">
        <v>24</v>
      </c>
      <c r="E112" t="s">
        <v>67</v>
      </c>
      <c r="F112" s="8">
        <v>106775.14</v>
      </c>
      <c r="G112" t="s">
        <v>317</v>
      </c>
      <c r="H112" s="1">
        <v>43563</v>
      </c>
      <c r="I112">
        <v>1</v>
      </c>
      <c r="J112" t="s">
        <v>318</v>
      </c>
      <c r="K112" t="s">
        <v>329</v>
      </c>
      <c r="L112" t="s">
        <v>18</v>
      </c>
      <c r="M112" s="5">
        <v>2696</v>
      </c>
      <c r="N112" s="6">
        <v>7.3863013698630136</v>
      </c>
    </row>
    <row r="113" spans="1:14" x14ac:dyDescent="0.3">
      <c r="A113" t="s">
        <v>618</v>
      </c>
      <c r="B113" t="s">
        <v>619</v>
      </c>
      <c r="C113" t="s">
        <v>620</v>
      </c>
      <c r="D113" t="s">
        <v>11</v>
      </c>
      <c r="E113" t="s">
        <v>62</v>
      </c>
      <c r="F113" s="8">
        <v>89690.38</v>
      </c>
      <c r="G113" t="s">
        <v>321</v>
      </c>
      <c r="H113" s="1">
        <v>43213</v>
      </c>
      <c r="I113">
        <v>1</v>
      </c>
      <c r="J113" t="s">
        <v>318</v>
      </c>
      <c r="K113" t="s">
        <v>13</v>
      </c>
      <c r="L113" t="s">
        <v>18</v>
      </c>
      <c r="M113" s="5">
        <v>3046</v>
      </c>
      <c r="N113" s="6">
        <v>8.3452054794520549</v>
      </c>
    </row>
    <row r="114" spans="1:14" x14ac:dyDescent="0.3">
      <c r="A114" t="s">
        <v>621</v>
      </c>
      <c r="B114" t="s">
        <v>622</v>
      </c>
      <c r="C114" t="s">
        <v>623</v>
      </c>
      <c r="D114" t="s">
        <v>24</v>
      </c>
      <c r="E114" t="s">
        <v>67</v>
      </c>
      <c r="F114" s="8">
        <v>111229.47</v>
      </c>
      <c r="G114" t="s">
        <v>317</v>
      </c>
      <c r="H114" s="1">
        <v>43402</v>
      </c>
      <c r="I114">
        <v>1</v>
      </c>
      <c r="J114" t="s">
        <v>318</v>
      </c>
      <c r="K114" t="s">
        <v>13</v>
      </c>
      <c r="L114" t="s">
        <v>26</v>
      </c>
      <c r="M114" s="5">
        <v>2857</v>
      </c>
      <c r="N114" s="6">
        <v>7.8273972602739725</v>
      </c>
    </row>
    <row r="115" spans="1:14" x14ac:dyDescent="0.3">
      <c r="A115" t="s">
        <v>624</v>
      </c>
      <c r="B115" t="s">
        <v>625</v>
      </c>
      <c r="C115" t="s">
        <v>626</v>
      </c>
      <c r="D115" t="s">
        <v>24</v>
      </c>
      <c r="E115" t="s">
        <v>37</v>
      </c>
      <c r="F115" s="8">
        <v>67633.850000000006</v>
      </c>
      <c r="G115" t="s">
        <v>321</v>
      </c>
      <c r="H115" s="1">
        <v>43340</v>
      </c>
      <c r="I115">
        <v>1</v>
      </c>
      <c r="J115" t="s">
        <v>318</v>
      </c>
      <c r="K115" t="s">
        <v>13</v>
      </c>
      <c r="L115" t="s">
        <v>21</v>
      </c>
      <c r="M115" s="5">
        <v>2919</v>
      </c>
      <c r="N115" s="6">
        <v>7.9972602739726026</v>
      </c>
    </row>
    <row r="116" spans="1:14" x14ac:dyDescent="0.3">
      <c r="A116" t="s">
        <v>627</v>
      </c>
      <c r="B116" t="s">
        <v>628</v>
      </c>
      <c r="C116" t="s">
        <v>629</v>
      </c>
      <c r="D116" t="s">
        <v>24</v>
      </c>
      <c r="E116" t="s">
        <v>62</v>
      </c>
      <c r="F116" s="8">
        <v>111815.49</v>
      </c>
      <c r="G116" t="s">
        <v>317</v>
      </c>
      <c r="H116" s="1">
        <v>43895</v>
      </c>
      <c r="I116">
        <v>0.7</v>
      </c>
      <c r="J116" t="s">
        <v>322</v>
      </c>
      <c r="K116" t="s">
        <v>358</v>
      </c>
      <c r="L116" t="s">
        <v>26</v>
      </c>
      <c r="M116" s="5">
        <v>2364</v>
      </c>
      <c r="N116" s="6">
        <v>6.4767123287671229</v>
      </c>
    </row>
    <row r="117" spans="1:14" x14ac:dyDescent="0.3">
      <c r="A117" t="s">
        <v>630</v>
      </c>
      <c r="B117" t="s">
        <v>631</v>
      </c>
      <c r="C117" t="s">
        <v>632</v>
      </c>
      <c r="D117" t="s">
        <v>24</v>
      </c>
      <c r="E117" t="s">
        <v>17</v>
      </c>
      <c r="F117" s="8">
        <v>39784.239999999998</v>
      </c>
      <c r="G117" t="s">
        <v>349</v>
      </c>
      <c r="H117" s="1">
        <v>43465</v>
      </c>
      <c r="I117">
        <v>1</v>
      </c>
      <c r="J117" t="s">
        <v>318</v>
      </c>
      <c r="K117" t="s">
        <v>329</v>
      </c>
      <c r="L117" t="s">
        <v>50</v>
      </c>
      <c r="M117" s="5">
        <v>2794</v>
      </c>
      <c r="N117" s="6">
        <v>7.6547945205479451</v>
      </c>
    </row>
    <row r="118" spans="1:14" x14ac:dyDescent="0.3">
      <c r="A118" t="s">
        <v>633</v>
      </c>
      <c r="B118" t="s">
        <v>634</v>
      </c>
      <c r="C118" t="s">
        <v>635</v>
      </c>
      <c r="D118" t="s">
        <v>11</v>
      </c>
      <c r="E118" t="s">
        <v>67</v>
      </c>
      <c r="F118" s="8">
        <v>89829.33</v>
      </c>
      <c r="G118" t="s">
        <v>321</v>
      </c>
      <c r="H118" s="1">
        <v>43794</v>
      </c>
      <c r="I118">
        <v>1</v>
      </c>
      <c r="J118" t="s">
        <v>318</v>
      </c>
      <c r="K118" t="s">
        <v>358</v>
      </c>
      <c r="L118" t="s">
        <v>50</v>
      </c>
      <c r="M118" s="5">
        <v>2465</v>
      </c>
      <c r="N118" s="6">
        <v>6.7534246575342465</v>
      </c>
    </row>
    <row r="119" spans="1:14" x14ac:dyDescent="0.3">
      <c r="A119" t="s">
        <v>627</v>
      </c>
      <c r="B119" t="s">
        <v>628</v>
      </c>
      <c r="C119" t="s">
        <v>629</v>
      </c>
      <c r="D119" t="s">
        <v>24</v>
      </c>
      <c r="E119" t="s">
        <v>62</v>
      </c>
      <c r="F119" s="8">
        <v>111815.49</v>
      </c>
      <c r="G119" t="s">
        <v>317</v>
      </c>
      <c r="H119" s="1">
        <v>43895</v>
      </c>
      <c r="I119">
        <v>0.7</v>
      </c>
      <c r="J119" t="s">
        <v>322</v>
      </c>
      <c r="K119" t="s">
        <v>358</v>
      </c>
      <c r="L119" t="s">
        <v>26</v>
      </c>
      <c r="M119" s="5">
        <v>2364</v>
      </c>
      <c r="N119" s="6">
        <v>6.4767123287671229</v>
      </c>
    </row>
    <row r="120" spans="1:14" x14ac:dyDescent="0.3">
      <c r="A120" t="s">
        <v>636</v>
      </c>
      <c r="B120" t="s">
        <v>637</v>
      </c>
      <c r="C120" t="s">
        <v>638</v>
      </c>
      <c r="D120" t="s">
        <v>24</v>
      </c>
      <c r="E120" t="s">
        <v>34</v>
      </c>
      <c r="F120" s="8">
        <v>72843.23</v>
      </c>
      <c r="G120" t="s">
        <v>321</v>
      </c>
      <c r="H120" s="1">
        <v>43280</v>
      </c>
      <c r="I120">
        <v>1</v>
      </c>
      <c r="J120" t="s">
        <v>318</v>
      </c>
      <c r="K120" t="s">
        <v>329</v>
      </c>
      <c r="L120" t="s">
        <v>14</v>
      </c>
      <c r="M120" s="5">
        <v>2979</v>
      </c>
      <c r="N120" s="6">
        <v>8.161643835616438</v>
      </c>
    </row>
    <row r="121" spans="1:14" x14ac:dyDescent="0.3">
      <c r="A121" t="s">
        <v>571</v>
      </c>
      <c r="B121" t="s">
        <v>572</v>
      </c>
      <c r="C121" t="s">
        <v>573</v>
      </c>
      <c r="D121" t="s">
        <v>11</v>
      </c>
      <c r="E121" t="s">
        <v>37</v>
      </c>
      <c r="F121" s="8">
        <v>71823.56</v>
      </c>
      <c r="G121" t="s">
        <v>321</v>
      </c>
      <c r="H121" s="1">
        <v>43374</v>
      </c>
      <c r="I121">
        <v>0.3</v>
      </c>
      <c r="J121" t="s">
        <v>322</v>
      </c>
      <c r="K121" t="s">
        <v>358</v>
      </c>
      <c r="L121" t="s">
        <v>26</v>
      </c>
      <c r="M121" s="5">
        <v>2885</v>
      </c>
      <c r="N121" s="6">
        <v>7.904109589041096</v>
      </c>
    </row>
    <row r="122" spans="1:14" x14ac:dyDescent="0.3">
      <c r="A122" t="s">
        <v>639</v>
      </c>
      <c r="B122" t="s">
        <v>640</v>
      </c>
      <c r="C122" t="s">
        <v>641</v>
      </c>
      <c r="D122" t="s">
        <v>24</v>
      </c>
      <c r="E122" t="s">
        <v>17</v>
      </c>
      <c r="F122" s="8">
        <v>88511.17</v>
      </c>
      <c r="G122" t="s">
        <v>321</v>
      </c>
      <c r="H122" s="1">
        <v>43950</v>
      </c>
      <c r="I122">
        <v>1</v>
      </c>
      <c r="J122" t="s">
        <v>318</v>
      </c>
      <c r="K122" t="s">
        <v>13</v>
      </c>
      <c r="L122" t="s">
        <v>21</v>
      </c>
      <c r="M122" s="5">
        <v>2309</v>
      </c>
      <c r="N122" s="6">
        <v>6.3260273972602743</v>
      </c>
    </row>
    <row r="123" spans="1:14" x14ac:dyDescent="0.3">
      <c r="A123" t="s">
        <v>74</v>
      </c>
      <c r="B123" t="s">
        <v>642</v>
      </c>
      <c r="C123" t="s">
        <v>643</v>
      </c>
      <c r="D123" t="s">
        <v>24</v>
      </c>
      <c r="E123" t="s">
        <v>37</v>
      </c>
      <c r="F123" s="8">
        <v>36547.58</v>
      </c>
      <c r="G123" t="s">
        <v>349</v>
      </c>
      <c r="H123" s="1">
        <v>43416</v>
      </c>
      <c r="I123">
        <v>1</v>
      </c>
      <c r="J123" t="s">
        <v>318</v>
      </c>
      <c r="K123" t="s">
        <v>13</v>
      </c>
      <c r="L123" t="s">
        <v>26</v>
      </c>
      <c r="M123" s="5">
        <v>2843</v>
      </c>
      <c r="N123" s="6">
        <v>7.7890410958904113</v>
      </c>
    </row>
    <row r="124" spans="1:14" x14ac:dyDescent="0.3">
      <c r="A124" t="s">
        <v>83</v>
      </c>
      <c r="B124" t="s">
        <v>644</v>
      </c>
      <c r="C124" t="s">
        <v>645</v>
      </c>
      <c r="D124" t="s">
        <v>24</v>
      </c>
      <c r="E124" t="s">
        <v>37</v>
      </c>
      <c r="F124" s="8">
        <v>95954.02</v>
      </c>
      <c r="G124" t="s">
        <v>321</v>
      </c>
      <c r="H124" s="1">
        <v>43567</v>
      </c>
      <c r="I124">
        <v>0.3</v>
      </c>
      <c r="J124" t="s">
        <v>322</v>
      </c>
      <c r="K124" t="s">
        <v>13</v>
      </c>
      <c r="L124" t="s">
        <v>18</v>
      </c>
      <c r="M124" s="5">
        <v>2692</v>
      </c>
      <c r="N124" s="6">
        <v>7.375342465753425</v>
      </c>
    </row>
    <row r="125" spans="1:14" x14ac:dyDescent="0.3">
      <c r="A125" t="s">
        <v>646</v>
      </c>
      <c r="B125" t="s">
        <v>647</v>
      </c>
      <c r="C125" t="s">
        <v>648</v>
      </c>
      <c r="D125" t="s">
        <v>11</v>
      </c>
      <c r="E125" t="s">
        <v>12</v>
      </c>
      <c r="F125" s="8">
        <v>95677.9</v>
      </c>
      <c r="G125" t="s">
        <v>321</v>
      </c>
      <c r="H125" s="1">
        <v>44396</v>
      </c>
      <c r="I125">
        <v>0.3</v>
      </c>
      <c r="J125" t="s">
        <v>322</v>
      </c>
      <c r="K125" t="s">
        <v>13</v>
      </c>
      <c r="L125" t="s">
        <v>50</v>
      </c>
      <c r="M125" s="5">
        <v>1863</v>
      </c>
      <c r="N125" s="6">
        <v>5.1041095890410961</v>
      </c>
    </row>
    <row r="126" spans="1:14" x14ac:dyDescent="0.3">
      <c r="A126" t="s">
        <v>649</v>
      </c>
      <c r="B126" t="s">
        <v>650</v>
      </c>
      <c r="C126" t="s">
        <v>651</v>
      </c>
      <c r="D126" t="s">
        <v>11</v>
      </c>
      <c r="E126" t="s">
        <v>37</v>
      </c>
      <c r="F126" s="8">
        <v>76303.820000000007</v>
      </c>
      <c r="G126" t="s">
        <v>321</v>
      </c>
      <c r="H126" s="1">
        <v>43458</v>
      </c>
      <c r="I126">
        <v>1</v>
      </c>
      <c r="J126" t="s">
        <v>318</v>
      </c>
      <c r="K126" t="s">
        <v>329</v>
      </c>
      <c r="L126" t="s">
        <v>18</v>
      </c>
      <c r="M126" s="5">
        <v>2801</v>
      </c>
      <c r="N126" s="6">
        <v>7.6739726027397257</v>
      </c>
    </row>
    <row r="127" spans="1:14" x14ac:dyDescent="0.3">
      <c r="A127" t="s">
        <v>652</v>
      </c>
      <c r="B127" t="s">
        <v>653</v>
      </c>
      <c r="C127" t="s">
        <v>654</v>
      </c>
      <c r="D127" t="s">
        <v>24</v>
      </c>
      <c r="E127" t="s">
        <v>34</v>
      </c>
      <c r="F127" s="8">
        <v>99460.78</v>
      </c>
      <c r="G127" t="s">
        <v>321</v>
      </c>
      <c r="H127" s="1">
        <v>43956</v>
      </c>
      <c r="I127">
        <v>1</v>
      </c>
      <c r="J127" t="s">
        <v>318</v>
      </c>
      <c r="K127" t="s">
        <v>13</v>
      </c>
      <c r="L127" t="s">
        <v>26</v>
      </c>
      <c r="M127" s="5">
        <v>2303</v>
      </c>
      <c r="N127" s="6">
        <v>6.3095890410958901</v>
      </c>
    </row>
    <row r="128" spans="1:14" x14ac:dyDescent="0.3">
      <c r="A128" t="s">
        <v>655</v>
      </c>
      <c r="B128" t="s">
        <v>656</v>
      </c>
      <c r="C128" t="s">
        <v>657</v>
      </c>
      <c r="D128" t="s">
        <v>11</v>
      </c>
      <c r="E128" t="s">
        <v>82</v>
      </c>
      <c r="F128" s="8">
        <v>88034.67</v>
      </c>
      <c r="G128" t="s">
        <v>321</v>
      </c>
      <c r="H128" s="1">
        <v>43669</v>
      </c>
      <c r="I128">
        <v>1</v>
      </c>
      <c r="J128" t="s">
        <v>318</v>
      </c>
      <c r="K128" t="s">
        <v>13</v>
      </c>
      <c r="L128" t="s">
        <v>26</v>
      </c>
      <c r="M128" s="5">
        <v>2590</v>
      </c>
      <c r="N128" s="6">
        <v>7.095890410958904</v>
      </c>
    </row>
    <row r="129" spans="1:14" x14ac:dyDescent="0.3">
      <c r="A129" t="s">
        <v>658</v>
      </c>
      <c r="B129" t="s">
        <v>659</v>
      </c>
      <c r="C129" t="s">
        <v>660</v>
      </c>
      <c r="D129" t="s">
        <v>11</v>
      </c>
      <c r="E129" t="s">
        <v>47</v>
      </c>
      <c r="F129" s="8">
        <v>44447.26</v>
      </c>
      <c r="G129" t="s">
        <v>349</v>
      </c>
      <c r="H129" s="1">
        <v>43846</v>
      </c>
      <c r="I129">
        <v>0.4</v>
      </c>
      <c r="J129" t="s">
        <v>322</v>
      </c>
      <c r="K129" t="s">
        <v>13</v>
      </c>
      <c r="L129" t="s">
        <v>53</v>
      </c>
      <c r="M129" s="5">
        <v>2413</v>
      </c>
      <c r="N129" s="6">
        <v>6.6109589041095891</v>
      </c>
    </row>
    <row r="130" spans="1:14" x14ac:dyDescent="0.3">
      <c r="A130" t="s">
        <v>661</v>
      </c>
      <c r="B130" t="s">
        <v>662</v>
      </c>
      <c r="C130" t="s">
        <v>663</v>
      </c>
      <c r="D130" t="s">
        <v>24</v>
      </c>
      <c r="E130" t="s">
        <v>67</v>
      </c>
      <c r="F130" s="8">
        <v>40445.29</v>
      </c>
      <c r="G130" t="s">
        <v>349</v>
      </c>
      <c r="H130" s="1">
        <v>44393</v>
      </c>
      <c r="I130">
        <v>1</v>
      </c>
      <c r="J130" t="s">
        <v>318</v>
      </c>
      <c r="K130" t="s">
        <v>13</v>
      </c>
      <c r="L130" t="s">
        <v>50</v>
      </c>
      <c r="M130" s="5">
        <v>1866</v>
      </c>
      <c r="N130" s="6">
        <v>5.1123287671232873</v>
      </c>
    </row>
    <row r="131" spans="1:14" x14ac:dyDescent="0.3">
      <c r="A131" t="s">
        <v>126</v>
      </c>
      <c r="B131" t="s">
        <v>664</v>
      </c>
      <c r="C131" t="s">
        <v>665</v>
      </c>
      <c r="D131" t="s">
        <v>11</v>
      </c>
      <c r="E131" t="s">
        <v>47</v>
      </c>
      <c r="F131" s="8">
        <v>92336.08</v>
      </c>
      <c r="G131" t="s">
        <v>321</v>
      </c>
      <c r="H131" s="1">
        <v>44431</v>
      </c>
      <c r="I131">
        <v>1</v>
      </c>
      <c r="J131" t="s">
        <v>318</v>
      </c>
      <c r="K131" t="s">
        <v>13</v>
      </c>
      <c r="L131" t="s">
        <v>18</v>
      </c>
      <c r="M131" s="5">
        <v>1828</v>
      </c>
      <c r="N131" s="6">
        <v>5.0082191780821921</v>
      </c>
    </row>
    <row r="132" spans="1:14" x14ac:dyDescent="0.3">
      <c r="A132" t="s">
        <v>666</v>
      </c>
      <c r="B132" t="s">
        <v>667</v>
      </c>
      <c r="C132" t="s">
        <v>668</v>
      </c>
      <c r="D132" t="s">
        <v>11</v>
      </c>
      <c r="E132" t="s">
        <v>29</v>
      </c>
      <c r="F132" s="8">
        <v>68008.55</v>
      </c>
      <c r="G132" t="s">
        <v>321</v>
      </c>
      <c r="H132" s="1">
        <v>44062</v>
      </c>
      <c r="I132">
        <v>1</v>
      </c>
      <c r="J132" t="s">
        <v>318</v>
      </c>
      <c r="K132" t="s">
        <v>13</v>
      </c>
      <c r="L132" t="s">
        <v>56</v>
      </c>
      <c r="M132" s="5">
        <v>2197</v>
      </c>
      <c r="N132" s="6">
        <v>6.0191780821917806</v>
      </c>
    </row>
    <row r="133" spans="1:14" x14ac:dyDescent="0.3">
      <c r="A133" t="s">
        <v>669</v>
      </c>
      <c r="B133" t="s">
        <v>670</v>
      </c>
      <c r="C133" t="s">
        <v>671</v>
      </c>
      <c r="D133" t="s">
        <v>24</v>
      </c>
      <c r="E133" t="s">
        <v>67</v>
      </c>
      <c r="F133" s="8">
        <v>74924.649999999994</v>
      </c>
      <c r="G133" t="s">
        <v>321</v>
      </c>
      <c r="H133" s="1">
        <v>44239</v>
      </c>
      <c r="I133">
        <v>1</v>
      </c>
      <c r="J133" t="s">
        <v>318</v>
      </c>
      <c r="K133" t="s">
        <v>13</v>
      </c>
      <c r="L133" t="s">
        <v>18</v>
      </c>
      <c r="M133" s="5">
        <v>2020</v>
      </c>
      <c r="N133" s="6">
        <v>5.5342465753424657</v>
      </c>
    </row>
    <row r="134" spans="1:14" x14ac:dyDescent="0.3">
      <c r="A134" t="s">
        <v>672</v>
      </c>
      <c r="B134" t="s">
        <v>673</v>
      </c>
      <c r="C134" t="s">
        <v>674</v>
      </c>
      <c r="D134" t="s">
        <v>24</v>
      </c>
      <c r="E134" t="s">
        <v>62</v>
      </c>
      <c r="F134" s="8">
        <v>88689.09</v>
      </c>
      <c r="G134" t="s">
        <v>321</v>
      </c>
      <c r="H134" s="1">
        <v>43740</v>
      </c>
      <c r="I134">
        <v>1</v>
      </c>
      <c r="J134" t="s">
        <v>318</v>
      </c>
      <c r="K134" t="s">
        <v>13</v>
      </c>
      <c r="L134" t="s">
        <v>53</v>
      </c>
      <c r="M134" s="5">
        <v>2519</v>
      </c>
      <c r="N134" s="6">
        <v>6.9013698630136986</v>
      </c>
    </row>
    <row r="135" spans="1:14" x14ac:dyDescent="0.3">
      <c r="A135" t="s">
        <v>675</v>
      </c>
      <c r="B135" t="s">
        <v>676</v>
      </c>
      <c r="C135" t="s">
        <v>677</v>
      </c>
      <c r="D135" t="s">
        <v>11</v>
      </c>
      <c r="E135" t="s">
        <v>47</v>
      </c>
      <c r="F135" s="8">
        <v>96555.53</v>
      </c>
      <c r="G135" t="s">
        <v>321</v>
      </c>
      <c r="H135" s="1">
        <v>43489</v>
      </c>
      <c r="I135">
        <v>0.2</v>
      </c>
      <c r="J135" t="s">
        <v>322</v>
      </c>
      <c r="K135" t="s">
        <v>358</v>
      </c>
      <c r="L135" t="s">
        <v>18</v>
      </c>
      <c r="M135" s="5">
        <v>2770</v>
      </c>
      <c r="N135" s="6">
        <v>7.5890410958904111</v>
      </c>
    </row>
    <row r="136" spans="1:14" x14ac:dyDescent="0.3">
      <c r="A136" t="s">
        <v>678</v>
      </c>
      <c r="B136" t="s">
        <v>679</v>
      </c>
      <c r="C136" t="s">
        <v>680</v>
      </c>
      <c r="D136" t="s">
        <v>11</v>
      </c>
      <c r="E136" t="s">
        <v>82</v>
      </c>
      <c r="F136" s="8">
        <v>71924.850000000006</v>
      </c>
      <c r="G136" t="s">
        <v>321</v>
      </c>
      <c r="H136" s="1">
        <v>43822</v>
      </c>
      <c r="I136">
        <v>1</v>
      </c>
      <c r="J136" t="s">
        <v>318</v>
      </c>
      <c r="K136" t="s">
        <v>13</v>
      </c>
      <c r="L136" t="s">
        <v>50</v>
      </c>
      <c r="M136" s="5">
        <v>2437</v>
      </c>
      <c r="N136" s="6">
        <v>6.6767123287671231</v>
      </c>
    </row>
    <row r="137" spans="1:14" x14ac:dyDescent="0.3">
      <c r="A137" t="s">
        <v>681</v>
      </c>
      <c r="B137" t="s">
        <v>682</v>
      </c>
      <c r="C137" t="s">
        <v>683</v>
      </c>
      <c r="D137" t="s">
        <v>24</v>
      </c>
      <c r="E137" t="s">
        <v>67</v>
      </c>
      <c r="F137" s="8">
        <v>31241.24</v>
      </c>
      <c r="G137" t="s">
        <v>349</v>
      </c>
      <c r="H137" s="1">
        <v>43725</v>
      </c>
      <c r="I137">
        <v>1</v>
      </c>
      <c r="J137" t="s">
        <v>318</v>
      </c>
      <c r="K137" t="s">
        <v>13</v>
      </c>
      <c r="L137" t="s">
        <v>26</v>
      </c>
      <c r="M137" s="5">
        <v>2534</v>
      </c>
      <c r="N137" s="6">
        <v>6.9424657534246572</v>
      </c>
    </row>
    <row r="138" spans="1:14" x14ac:dyDescent="0.3">
      <c r="A138" t="s">
        <v>136</v>
      </c>
      <c r="B138" t="s">
        <v>684</v>
      </c>
      <c r="C138" t="s">
        <v>685</v>
      </c>
      <c r="D138" t="s">
        <v>24</v>
      </c>
      <c r="E138" t="s">
        <v>17</v>
      </c>
      <c r="F138" s="8">
        <v>110042.37</v>
      </c>
      <c r="G138" t="s">
        <v>317</v>
      </c>
      <c r="H138" s="1">
        <v>43914</v>
      </c>
      <c r="I138">
        <v>1</v>
      </c>
      <c r="J138" t="s">
        <v>318</v>
      </c>
      <c r="K138" t="s">
        <v>13</v>
      </c>
      <c r="L138" t="s">
        <v>21</v>
      </c>
      <c r="M138" s="5">
        <v>2345</v>
      </c>
      <c r="N138" s="6">
        <v>6.4246575342465757</v>
      </c>
    </row>
    <row r="139" spans="1:14" x14ac:dyDescent="0.3">
      <c r="A139" t="s">
        <v>362</v>
      </c>
      <c r="B139" t="s">
        <v>686</v>
      </c>
      <c r="C139" t="s">
        <v>687</v>
      </c>
      <c r="D139" t="s">
        <v>11</v>
      </c>
      <c r="E139" t="s">
        <v>12</v>
      </c>
      <c r="F139" s="8">
        <v>37902.35</v>
      </c>
      <c r="G139" t="s">
        <v>349</v>
      </c>
      <c r="H139" s="1">
        <v>43823</v>
      </c>
      <c r="I139">
        <v>1</v>
      </c>
      <c r="J139" t="s">
        <v>318</v>
      </c>
      <c r="K139" t="s">
        <v>13</v>
      </c>
      <c r="L139" t="s">
        <v>50</v>
      </c>
      <c r="M139" s="5">
        <v>2436</v>
      </c>
      <c r="N139" s="6">
        <v>6.6739726027397257</v>
      </c>
    </row>
    <row r="140" spans="1:14" x14ac:dyDescent="0.3">
      <c r="A140" t="s">
        <v>688</v>
      </c>
      <c r="B140" t="s">
        <v>689</v>
      </c>
      <c r="C140" t="s">
        <v>690</v>
      </c>
      <c r="D140" t="s">
        <v>11</v>
      </c>
      <c r="E140" t="s">
        <v>17</v>
      </c>
      <c r="F140" s="8">
        <v>33031.26</v>
      </c>
      <c r="G140" t="s">
        <v>349</v>
      </c>
      <c r="H140" s="1">
        <v>43468</v>
      </c>
      <c r="I140">
        <v>0.4</v>
      </c>
      <c r="J140" t="s">
        <v>322</v>
      </c>
      <c r="K140" t="s">
        <v>13</v>
      </c>
      <c r="L140" t="s">
        <v>18</v>
      </c>
      <c r="M140" s="5">
        <v>2791</v>
      </c>
      <c r="N140" s="6">
        <v>7.646575342465753</v>
      </c>
    </row>
    <row r="141" spans="1:14" x14ac:dyDescent="0.3">
      <c r="A141" t="s">
        <v>691</v>
      </c>
      <c r="B141" t="s">
        <v>692</v>
      </c>
      <c r="C141" t="s">
        <v>693</v>
      </c>
      <c r="D141" t="s">
        <v>11</v>
      </c>
      <c r="E141" t="s">
        <v>34</v>
      </c>
      <c r="F141" s="8">
        <v>32496.880000000001</v>
      </c>
      <c r="G141" t="s">
        <v>349</v>
      </c>
      <c r="H141" s="1">
        <v>43234</v>
      </c>
      <c r="I141">
        <v>1</v>
      </c>
      <c r="J141" t="s">
        <v>318</v>
      </c>
      <c r="K141" t="s">
        <v>358</v>
      </c>
      <c r="L141" t="s">
        <v>26</v>
      </c>
      <c r="M141" s="5">
        <v>3025</v>
      </c>
      <c r="N141" s="6">
        <v>8.287671232876713</v>
      </c>
    </row>
    <row r="142" spans="1:14" x14ac:dyDescent="0.3">
      <c r="A142" t="s">
        <v>92</v>
      </c>
      <c r="B142" t="s">
        <v>694</v>
      </c>
      <c r="C142" t="s">
        <v>695</v>
      </c>
      <c r="D142" t="s">
        <v>11</v>
      </c>
      <c r="E142" t="s">
        <v>62</v>
      </c>
      <c r="F142" s="8">
        <v>81897.789999999994</v>
      </c>
      <c r="G142" t="s">
        <v>321</v>
      </c>
      <c r="H142" s="1">
        <v>43146</v>
      </c>
      <c r="I142">
        <v>1</v>
      </c>
      <c r="J142" t="s">
        <v>318</v>
      </c>
      <c r="K142" t="s">
        <v>13</v>
      </c>
      <c r="L142" t="s">
        <v>56</v>
      </c>
      <c r="M142" s="5">
        <v>3113</v>
      </c>
      <c r="N142" s="6">
        <v>8.5287671232876718</v>
      </c>
    </row>
    <row r="143" spans="1:14" x14ac:dyDescent="0.3">
      <c r="A143" t="s">
        <v>696</v>
      </c>
      <c r="B143" t="s">
        <v>697</v>
      </c>
      <c r="C143" t="s">
        <v>698</v>
      </c>
      <c r="D143" t="s">
        <v>24</v>
      </c>
      <c r="E143" t="s">
        <v>59</v>
      </c>
      <c r="F143" s="8">
        <v>108872.77</v>
      </c>
      <c r="G143" t="s">
        <v>317</v>
      </c>
      <c r="H143" s="1">
        <v>43521</v>
      </c>
      <c r="I143">
        <v>1</v>
      </c>
      <c r="J143" t="s">
        <v>318</v>
      </c>
      <c r="K143" t="s">
        <v>13</v>
      </c>
      <c r="L143" t="s">
        <v>26</v>
      </c>
      <c r="M143" s="5">
        <v>2738</v>
      </c>
      <c r="N143" s="6">
        <v>7.5013698630136982</v>
      </c>
    </row>
    <row r="144" spans="1:14" x14ac:dyDescent="0.3">
      <c r="A144" t="s">
        <v>699</v>
      </c>
      <c r="B144" t="s">
        <v>700</v>
      </c>
      <c r="C144" t="s">
        <v>701</v>
      </c>
      <c r="D144" t="s">
        <v>24</v>
      </c>
      <c r="E144" t="s">
        <v>29</v>
      </c>
      <c r="F144" s="8">
        <v>89605.13</v>
      </c>
      <c r="G144" t="s">
        <v>321</v>
      </c>
      <c r="H144" s="1">
        <v>43258</v>
      </c>
      <c r="I144">
        <v>1</v>
      </c>
      <c r="J144" t="s">
        <v>318</v>
      </c>
      <c r="K144" t="s">
        <v>13</v>
      </c>
      <c r="L144" t="s">
        <v>53</v>
      </c>
      <c r="M144" s="5">
        <v>3001</v>
      </c>
      <c r="N144" s="6">
        <v>8.2219178082191782</v>
      </c>
    </row>
    <row r="145" spans="1:14" x14ac:dyDescent="0.3">
      <c r="A145" t="s">
        <v>702</v>
      </c>
      <c r="B145" t="s">
        <v>703</v>
      </c>
      <c r="C145" t="s">
        <v>704</v>
      </c>
      <c r="D145" t="s">
        <v>2134</v>
      </c>
      <c r="E145" t="s">
        <v>34</v>
      </c>
      <c r="F145" s="8">
        <v>63447.07</v>
      </c>
      <c r="G145" t="s">
        <v>321</v>
      </c>
      <c r="H145" s="1">
        <v>44148</v>
      </c>
      <c r="I145">
        <v>1</v>
      </c>
      <c r="J145" t="s">
        <v>318</v>
      </c>
      <c r="K145" t="s">
        <v>358</v>
      </c>
      <c r="L145" t="s">
        <v>14</v>
      </c>
      <c r="M145" s="5">
        <v>2111</v>
      </c>
      <c r="N145" s="6">
        <v>5.7835616438356166</v>
      </c>
    </row>
    <row r="146" spans="1:14" x14ac:dyDescent="0.3">
      <c r="A146" t="s">
        <v>705</v>
      </c>
      <c r="B146" t="s">
        <v>706</v>
      </c>
      <c r="C146" t="s">
        <v>707</v>
      </c>
      <c r="D146" t="s">
        <v>11</v>
      </c>
      <c r="E146" t="s">
        <v>67</v>
      </c>
      <c r="F146" s="8">
        <v>106665.67</v>
      </c>
      <c r="G146" t="s">
        <v>317</v>
      </c>
      <c r="H146" s="1">
        <v>43311</v>
      </c>
      <c r="I146">
        <v>1</v>
      </c>
      <c r="J146" t="s">
        <v>318</v>
      </c>
      <c r="K146" t="s">
        <v>358</v>
      </c>
      <c r="L146" t="s">
        <v>21</v>
      </c>
      <c r="M146" s="5">
        <v>2948</v>
      </c>
      <c r="N146" s="6">
        <v>8.0767123287671225</v>
      </c>
    </row>
    <row r="147" spans="1:14" x14ac:dyDescent="0.3">
      <c r="A147" t="s">
        <v>708</v>
      </c>
      <c r="B147" t="s">
        <v>709</v>
      </c>
      <c r="C147" t="s">
        <v>710</v>
      </c>
      <c r="D147" t="s">
        <v>24</v>
      </c>
      <c r="E147" t="s">
        <v>62</v>
      </c>
      <c r="F147" s="8">
        <v>100424.23</v>
      </c>
      <c r="G147" t="s">
        <v>317</v>
      </c>
      <c r="H147" s="1">
        <v>43801</v>
      </c>
      <c r="I147">
        <v>1</v>
      </c>
      <c r="J147" t="s">
        <v>318</v>
      </c>
      <c r="K147" t="s">
        <v>13</v>
      </c>
      <c r="L147" t="s">
        <v>56</v>
      </c>
      <c r="M147" s="5">
        <v>2458</v>
      </c>
      <c r="N147" s="6">
        <v>6.7342465753424658</v>
      </c>
    </row>
    <row r="148" spans="1:14" x14ac:dyDescent="0.3">
      <c r="A148" t="s">
        <v>711</v>
      </c>
      <c r="B148" t="s">
        <v>712</v>
      </c>
      <c r="C148" t="s">
        <v>713</v>
      </c>
      <c r="D148" t="s">
        <v>24</v>
      </c>
      <c r="E148" t="s">
        <v>62</v>
      </c>
      <c r="F148" s="8">
        <v>47646.95</v>
      </c>
      <c r="G148" t="s">
        <v>349</v>
      </c>
      <c r="H148" s="1">
        <v>43791</v>
      </c>
      <c r="I148">
        <v>0.3</v>
      </c>
      <c r="J148" t="s">
        <v>322</v>
      </c>
      <c r="K148" t="s">
        <v>329</v>
      </c>
      <c r="L148" t="s">
        <v>50</v>
      </c>
      <c r="M148" s="5">
        <v>2468</v>
      </c>
      <c r="N148" s="6">
        <v>6.7616438356164386</v>
      </c>
    </row>
    <row r="149" spans="1:14" x14ac:dyDescent="0.3">
      <c r="A149" t="s">
        <v>714</v>
      </c>
      <c r="B149" t="s">
        <v>715</v>
      </c>
      <c r="C149" t="s">
        <v>716</v>
      </c>
      <c r="D149" t="s">
        <v>24</v>
      </c>
      <c r="E149" t="s">
        <v>34</v>
      </c>
      <c r="F149" s="8">
        <v>28481.16</v>
      </c>
      <c r="G149" t="s">
        <v>349</v>
      </c>
      <c r="H149" s="1">
        <v>43916</v>
      </c>
      <c r="I149">
        <v>1</v>
      </c>
      <c r="J149" t="s">
        <v>318</v>
      </c>
      <c r="K149" t="s">
        <v>13</v>
      </c>
      <c r="L149" t="s">
        <v>18</v>
      </c>
      <c r="M149" s="5">
        <v>2343</v>
      </c>
      <c r="N149" s="6">
        <v>6.419178082191781</v>
      </c>
    </row>
    <row r="150" spans="1:14" x14ac:dyDescent="0.3">
      <c r="A150" t="s">
        <v>108</v>
      </c>
      <c r="B150" t="s">
        <v>717</v>
      </c>
      <c r="C150" t="s">
        <v>718</v>
      </c>
      <c r="D150" t="s">
        <v>11</v>
      </c>
      <c r="E150" t="s">
        <v>89</v>
      </c>
      <c r="F150" s="8">
        <v>39535.49</v>
      </c>
      <c r="G150" t="s">
        <v>349</v>
      </c>
      <c r="H150" s="1">
        <v>43397</v>
      </c>
      <c r="I150">
        <v>0.3</v>
      </c>
      <c r="J150" t="s">
        <v>322</v>
      </c>
      <c r="K150" t="s">
        <v>13</v>
      </c>
      <c r="L150" t="s">
        <v>26</v>
      </c>
      <c r="M150" s="5">
        <v>2862</v>
      </c>
      <c r="N150" s="6">
        <v>7.8410958904109593</v>
      </c>
    </row>
    <row r="151" spans="1:14" x14ac:dyDescent="0.3">
      <c r="A151" t="s">
        <v>719</v>
      </c>
      <c r="B151" t="s">
        <v>720</v>
      </c>
      <c r="C151" t="s">
        <v>721</v>
      </c>
      <c r="D151" t="s">
        <v>24</v>
      </c>
      <c r="E151" t="s">
        <v>82</v>
      </c>
      <c r="F151" s="8">
        <v>95017.1</v>
      </c>
      <c r="G151" t="s">
        <v>321</v>
      </c>
      <c r="H151" s="1">
        <v>43283</v>
      </c>
      <c r="I151">
        <v>1</v>
      </c>
      <c r="J151" t="s">
        <v>318</v>
      </c>
      <c r="K151" t="s">
        <v>329</v>
      </c>
      <c r="L151" t="s">
        <v>53</v>
      </c>
      <c r="M151" s="5">
        <v>2976</v>
      </c>
      <c r="N151" s="6">
        <v>8.1534246575342468</v>
      </c>
    </row>
    <row r="152" spans="1:14" x14ac:dyDescent="0.3">
      <c r="A152" t="s">
        <v>722</v>
      </c>
      <c r="B152" t="s">
        <v>723</v>
      </c>
      <c r="C152" t="s">
        <v>724</v>
      </c>
      <c r="D152" t="s">
        <v>24</v>
      </c>
      <c r="E152" t="s">
        <v>17</v>
      </c>
      <c r="F152" s="8">
        <v>69764.100000000006</v>
      </c>
      <c r="G152" t="s">
        <v>321</v>
      </c>
      <c r="H152" s="1">
        <v>44195</v>
      </c>
      <c r="I152">
        <v>1</v>
      </c>
      <c r="J152" t="s">
        <v>318</v>
      </c>
      <c r="K152" t="s">
        <v>329</v>
      </c>
      <c r="L152" t="s">
        <v>53</v>
      </c>
      <c r="M152" s="5">
        <v>2064</v>
      </c>
      <c r="N152" s="6">
        <v>5.6547945205479451</v>
      </c>
    </row>
    <row r="153" spans="1:14" x14ac:dyDescent="0.3">
      <c r="A153" t="s">
        <v>725</v>
      </c>
      <c r="B153" t="s">
        <v>726</v>
      </c>
      <c r="C153" t="s">
        <v>727</v>
      </c>
      <c r="D153" t="s">
        <v>11</v>
      </c>
      <c r="E153" t="s">
        <v>89</v>
      </c>
      <c r="F153" s="8">
        <v>84598.88</v>
      </c>
      <c r="G153" t="s">
        <v>321</v>
      </c>
      <c r="H153" s="1">
        <v>44116</v>
      </c>
      <c r="I153">
        <v>1</v>
      </c>
      <c r="J153" t="s">
        <v>318</v>
      </c>
      <c r="K153" t="s">
        <v>329</v>
      </c>
      <c r="L153" t="s">
        <v>53</v>
      </c>
      <c r="M153" s="5">
        <v>2143</v>
      </c>
      <c r="N153" s="6">
        <v>5.8712328767123285</v>
      </c>
    </row>
    <row r="154" spans="1:14" x14ac:dyDescent="0.3">
      <c r="A154" t="s">
        <v>728</v>
      </c>
      <c r="B154" t="s">
        <v>729</v>
      </c>
      <c r="C154" t="s">
        <v>730</v>
      </c>
      <c r="D154" t="s">
        <v>24</v>
      </c>
      <c r="E154" t="s">
        <v>59</v>
      </c>
      <c r="F154" s="8">
        <v>36536.26</v>
      </c>
      <c r="G154" t="s">
        <v>349</v>
      </c>
      <c r="H154" s="1">
        <v>44358</v>
      </c>
      <c r="I154">
        <v>1</v>
      </c>
      <c r="J154" t="s">
        <v>318</v>
      </c>
      <c r="K154" t="s">
        <v>358</v>
      </c>
      <c r="L154" t="s">
        <v>18</v>
      </c>
      <c r="M154" s="5">
        <v>1901</v>
      </c>
      <c r="N154" s="6">
        <v>5.2082191780821914</v>
      </c>
    </row>
    <row r="155" spans="1:14" x14ac:dyDescent="0.3">
      <c r="A155" t="s">
        <v>731</v>
      </c>
      <c r="B155" t="s">
        <v>732</v>
      </c>
      <c r="C155" t="s">
        <v>733</v>
      </c>
      <c r="D155" t="s">
        <v>11</v>
      </c>
      <c r="E155" t="s">
        <v>17</v>
      </c>
      <c r="F155" s="8">
        <v>61688.77</v>
      </c>
      <c r="G155" t="s">
        <v>321</v>
      </c>
      <c r="H155" s="1">
        <v>43346</v>
      </c>
      <c r="I155">
        <v>0.9</v>
      </c>
      <c r="J155" t="s">
        <v>322</v>
      </c>
      <c r="K155" t="s">
        <v>13</v>
      </c>
      <c r="L155" t="s">
        <v>50</v>
      </c>
      <c r="M155" s="5">
        <v>2913</v>
      </c>
      <c r="N155" s="6">
        <v>7.9808219178082194</v>
      </c>
    </row>
    <row r="156" spans="1:14" x14ac:dyDescent="0.3">
      <c r="A156" t="s">
        <v>734</v>
      </c>
      <c r="B156" t="s">
        <v>735</v>
      </c>
      <c r="C156" t="s">
        <v>736</v>
      </c>
      <c r="D156" t="s">
        <v>11</v>
      </c>
      <c r="E156" t="s">
        <v>59</v>
      </c>
      <c r="F156" s="8">
        <v>88425.08</v>
      </c>
      <c r="G156" t="s">
        <v>321</v>
      </c>
      <c r="H156" s="1">
        <v>43662</v>
      </c>
      <c r="I156">
        <v>1</v>
      </c>
      <c r="J156" t="s">
        <v>318</v>
      </c>
      <c r="K156" t="s">
        <v>13</v>
      </c>
      <c r="L156" t="s">
        <v>18</v>
      </c>
      <c r="M156" s="5">
        <v>2597</v>
      </c>
      <c r="N156" s="6">
        <v>7.1150684931506847</v>
      </c>
    </row>
    <row r="157" spans="1:14" x14ac:dyDescent="0.3">
      <c r="A157" t="s">
        <v>476</v>
      </c>
      <c r="B157" t="s">
        <v>737</v>
      </c>
      <c r="C157" t="s">
        <v>738</v>
      </c>
      <c r="D157" t="s">
        <v>11</v>
      </c>
      <c r="E157" t="s">
        <v>67</v>
      </c>
      <c r="F157" s="8">
        <v>38438.239999999998</v>
      </c>
      <c r="G157" t="s">
        <v>349</v>
      </c>
      <c r="H157" s="1">
        <v>43962</v>
      </c>
      <c r="I157">
        <v>1</v>
      </c>
      <c r="J157" t="s">
        <v>318</v>
      </c>
      <c r="K157" t="s">
        <v>13</v>
      </c>
      <c r="L157" t="s">
        <v>50</v>
      </c>
      <c r="M157" s="5">
        <v>2297</v>
      </c>
      <c r="N157" s="6">
        <v>6.2931506849315069</v>
      </c>
    </row>
    <row r="158" spans="1:14" x14ac:dyDescent="0.3">
      <c r="A158" t="s">
        <v>739</v>
      </c>
      <c r="B158" t="s">
        <v>740</v>
      </c>
      <c r="C158" t="s">
        <v>741</v>
      </c>
      <c r="D158" t="s">
        <v>24</v>
      </c>
      <c r="E158" t="s">
        <v>89</v>
      </c>
      <c r="F158" s="8">
        <v>96753.78</v>
      </c>
      <c r="G158" t="s">
        <v>321</v>
      </c>
      <c r="H158" s="1">
        <v>44494</v>
      </c>
      <c r="I158">
        <v>1</v>
      </c>
      <c r="J158" t="s">
        <v>318</v>
      </c>
      <c r="K158" t="s">
        <v>13</v>
      </c>
      <c r="L158" t="s">
        <v>56</v>
      </c>
      <c r="M158" s="5">
        <v>1765</v>
      </c>
      <c r="N158" s="6">
        <v>4.8356164383561646</v>
      </c>
    </row>
    <row r="159" spans="1:14" x14ac:dyDescent="0.3">
      <c r="A159" t="s">
        <v>585</v>
      </c>
      <c r="B159" t="s">
        <v>586</v>
      </c>
      <c r="C159" t="s">
        <v>587</v>
      </c>
      <c r="D159" t="s">
        <v>24</v>
      </c>
      <c r="E159" t="s">
        <v>12</v>
      </c>
      <c r="F159" s="8">
        <v>112778.28</v>
      </c>
      <c r="G159" t="s">
        <v>317</v>
      </c>
      <c r="H159" s="1">
        <v>43250</v>
      </c>
      <c r="I159">
        <v>1</v>
      </c>
      <c r="J159" t="s">
        <v>318</v>
      </c>
      <c r="K159" t="s">
        <v>329</v>
      </c>
      <c r="L159" t="s">
        <v>26</v>
      </c>
      <c r="M159" s="5">
        <v>3009</v>
      </c>
      <c r="N159" s="6">
        <v>8.2438356164383571</v>
      </c>
    </row>
    <row r="160" spans="1:14" x14ac:dyDescent="0.3">
      <c r="A160" t="s">
        <v>742</v>
      </c>
      <c r="B160" t="s">
        <v>743</v>
      </c>
      <c r="C160" t="s">
        <v>744</v>
      </c>
      <c r="D160" t="s">
        <v>11</v>
      </c>
      <c r="E160" t="s">
        <v>82</v>
      </c>
      <c r="F160" s="8">
        <v>28974.03</v>
      </c>
      <c r="G160" t="s">
        <v>349</v>
      </c>
      <c r="H160" s="1">
        <v>43733</v>
      </c>
      <c r="I160">
        <v>1</v>
      </c>
      <c r="J160" t="s">
        <v>318</v>
      </c>
      <c r="K160" t="s">
        <v>13</v>
      </c>
      <c r="L160" t="s">
        <v>56</v>
      </c>
      <c r="M160" s="5">
        <v>2526</v>
      </c>
      <c r="N160" s="6">
        <v>6.9205479452054792</v>
      </c>
    </row>
    <row r="161" spans="1:14" x14ac:dyDescent="0.3">
      <c r="A161" t="s">
        <v>745</v>
      </c>
      <c r="B161" t="s">
        <v>746</v>
      </c>
      <c r="C161" t="s">
        <v>747</v>
      </c>
      <c r="D161" t="s">
        <v>11</v>
      </c>
      <c r="E161" t="s">
        <v>17</v>
      </c>
      <c r="F161" s="8">
        <v>86233.83</v>
      </c>
      <c r="G161" t="s">
        <v>321</v>
      </c>
      <c r="H161" s="1">
        <v>43706</v>
      </c>
      <c r="I161">
        <v>1</v>
      </c>
      <c r="J161" t="s">
        <v>318</v>
      </c>
      <c r="K161" t="s">
        <v>329</v>
      </c>
      <c r="L161" t="s">
        <v>50</v>
      </c>
      <c r="M161" s="5">
        <v>2553</v>
      </c>
      <c r="N161" s="6">
        <v>6.9945205479452053</v>
      </c>
    </row>
    <row r="162" spans="1:14" x14ac:dyDescent="0.3">
      <c r="A162" t="s">
        <v>504</v>
      </c>
      <c r="B162" t="s">
        <v>505</v>
      </c>
      <c r="C162" t="s">
        <v>506</v>
      </c>
      <c r="D162" t="s">
        <v>11</v>
      </c>
      <c r="E162" t="s">
        <v>67</v>
      </c>
      <c r="F162" s="8">
        <v>66865.490000000005</v>
      </c>
      <c r="G162" t="s">
        <v>321</v>
      </c>
      <c r="H162" s="1">
        <v>43514</v>
      </c>
      <c r="I162">
        <v>1</v>
      </c>
      <c r="J162" t="s">
        <v>318</v>
      </c>
      <c r="K162" t="s">
        <v>13</v>
      </c>
      <c r="L162" t="s">
        <v>53</v>
      </c>
      <c r="M162" s="5">
        <v>2745</v>
      </c>
      <c r="N162" s="6">
        <v>7.5205479452054798</v>
      </c>
    </row>
    <row r="163" spans="1:14" x14ac:dyDescent="0.3">
      <c r="A163" t="s">
        <v>119</v>
      </c>
      <c r="B163" t="s">
        <v>748</v>
      </c>
      <c r="C163" t="s">
        <v>749</v>
      </c>
      <c r="D163" t="s">
        <v>24</v>
      </c>
      <c r="E163" t="s">
        <v>37</v>
      </c>
      <c r="F163" s="8">
        <v>119022.49</v>
      </c>
      <c r="G163" t="s">
        <v>317</v>
      </c>
      <c r="H163" s="1">
        <v>44431</v>
      </c>
      <c r="I163">
        <v>1</v>
      </c>
      <c r="J163" t="s">
        <v>318</v>
      </c>
      <c r="K163" t="s">
        <v>13</v>
      </c>
      <c r="L163" t="s">
        <v>56</v>
      </c>
      <c r="M163" s="5">
        <v>1828</v>
      </c>
      <c r="N163" s="6">
        <v>5.0082191780821921</v>
      </c>
    </row>
    <row r="164" spans="1:14" x14ac:dyDescent="0.3">
      <c r="A164" t="s">
        <v>35</v>
      </c>
      <c r="B164" t="s">
        <v>750</v>
      </c>
      <c r="C164" t="s">
        <v>751</v>
      </c>
      <c r="D164" t="s">
        <v>11</v>
      </c>
      <c r="E164" t="s">
        <v>37</v>
      </c>
      <c r="F164" s="8">
        <v>114177.23</v>
      </c>
      <c r="G164" t="s">
        <v>317</v>
      </c>
      <c r="H164" s="1">
        <v>43908</v>
      </c>
      <c r="I164">
        <v>1</v>
      </c>
      <c r="J164" t="s">
        <v>318</v>
      </c>
      <c r="K164" t="s">
        <v>13</v>
      </c>
      <c r="L164" t="s">
        <v>14</v>
      </c>
      <c r="M164" s="5">
        <v>2351</v>
      </c>
      <c r="N164" s="6">
        <v>6.441095890410959</v>
      </c>
    </row>
    <row r="165" spans="1:14" x14ac:dyDescent="0.3">
      <c r="A165" t="s">
        <v>752</v>
      </c>
      <c r="B165" t="s">
        <v>753</v>
      </c>
      <c r="C165" t="s">
        <v>754</v>
      </c>
      <c r="D165" t="s">
        <v>11</v>
      </c>
      <c r="E165" t="s">
        <v>44</v>
      </c>
      <c r="F165" s="8">
        <v>100731.95</v>
      </c>
      <c r="G165" t="s">
        <v>317</v>
      </c>
      <c r="H165" s="1">
        <v>43936</v>
      </c>
      <c r="I165">
        <v>1</v>
      </c>
      <c r="J165" t="s">
        <v>318</v>
      </c>
      <c r="K165" t="s">
        <v>13</v>
      </c>
      <c r="L165" t="s">
        <v>56</v>
      </c>
      <c r="M165" s="5">
        <v>2323</v>
      </c>
      <c r="N165" s="6">
        <v>6.3643835616438356</v>
      </c>
    </row>
    <row r="166" spans="1:14" x14ac:dyDescent="0.3">
      <c r="A166" t="s">
        <v>755</v>
      </c>
      <c r="B166" t="s">
        <v>756</v>
      </c>
      <c r="C166" t="s">
        <v>757</v>
      </c>
      <c r="D166" t="s">
        <v>11</v>
      </c>
      <c r="E166" t="s">
        <v>12</v>
      </c>
      <c r="F166" s="8">
        <v>86010.54</v>
      </c>
      <c r="G166" t="s">
        <v>321</v>
      </c>
      <c r="H166" s="1">
        <v>43164</v>
      </c>
      <c r="I166">
        <v>1</v>
      </c>
      <c r="J166" t="s">
        <v>318</v>
      </c>
      <c r="K166" t="s">
        <v>13</v>
      </c>
      <c r="L166" t="s">
        <v>50</v>
      </c>
      <c r="M166" s="5">
        <v>3095</v>
      </c>
      <c r="N166" s="6">
        <v>8.4794520547945211</v>
      </c>
    </row>
    <row r="167" spans="1:14" x14ac:dyDescent="0.3">
      <c r="A167" t="s">
        <v>758</v>
      </c>
      <c r="B167" t="s">
        <v>759</v>
      </c>
      <c r="C167" t="s">
        <v>760</v>
      </c>
      <c r="D167" t="s">
        <v>24</v>
      </c>
      <c r="E167" t="s">
        <v>37</v>
      </c>
      <c r="F167" s="8">
        <v>52270.22</v>
      </c>
      <c r="G167" t="s">
        <v>321</v>
      </c>
      <c r="H167" s="1">
        <v>43521</v>
      </c>
      <c r="I167">
        <v>0.3</v>
      </c>
      <c r="J167" t="s">
        <v>322</v>
      </c>
      <c r="K167" t="s">
        <v>13</v>
      </c>
      <c r="L167" t="s">
        <v>50</v>
      </c>
      <c r="M167" s="5">
        <v>2738</v>
      </c>
      <c r="N167" s="6">
        <v>7.5013698630136982</v>
      </c>
    </row>
    <row r="168" spans="1:14" x14ac:dyDescent="0.3">
      <c r="A168" t="s">
        <v>761</v>
      </c>
      <c r="B168" t="s">
        <v>762</v>
      </c>
      <c r="C168" t="s">
        <v>763</v>
      </c>
      <c r="D168" t="s">
        <v>24</v>
      </c>
      <c r="E168" t="s">
        <v>59</v>
      </c>
      <c r="F168" s="8">
        <v>61624.77</v>
      </c>
      <c r="G168" t="s">
        <v>321</v>
      </c>
      <c r="H168" s="1">
        <v>43430</v>
      </c>
      <c r="I168">
        <v>0.3</v>
      </c>
      <c r="J168" t="s">
        <v>322</v>
      </c>
      <c r="K168" t="s">
        <v>329</v>
      </c>
      <c r="L168" t="s">
        <v>18</v>
      </c>
      <c r="M168" s="5">
        <v>2829</v>
      </c>
      <c r="N168" s="6">
        <v>7.7506849315068491</v>
      </c>
    </row>
    <row r="169" spans="1:14" x14ac:dyDescent="0.3">
      <c r="A169" t="s">
        <v>764</v>
      </c>
      <c r="B169" t="s">
        <v>765</v>
      </c>
      <c r="C169" t="s">
        <v>766</v>
      </c>
      <c r="D169" t="s">
        <v>11</v>
      </c>
      <c r="E169" t="s">
        <v>29</v>
      </c>
      <c r="F169" s="8">
        <v>104903.79</v>
      </c>
      <c r="G169" t="s">
        <v>317</v>
      </c>
      <c r="H169" s="1">
        <v>43649</v>
      </c>
      <c r="I169">
        <v>1</v>
      </c>
      <c r="J169" t="s">
        <v>318</v>
      </c>
      <c r="K169" t="s">
        <v>13</v>
      </c>
      <c r="L169" t="s">
        <v>50</v>
      </c>
      <c r="M169" s="5">
        <v>2610</v>
      </c>
      <c r="N169" s="6">
        <v>7.1506849315068495</v>
      </c>
    </row>
    <row r="170" spans="1:14" x14ac:dyDescent="0.3">
      <c r="A170" t="s">
        <v>498</v>
      </c>
      <c r="B170" t="s">
        <v>499</v>
      </c>
      <c r="C170" t="s">
        <v>500</v>
      </c>
      <c r="D170" t="s">
        <v>11</v>
      </c>
      <c r="E170" t="s">
        <v>62</v>
      </c>
      <c r="F170" s="8">
        <v>69057.320000000007</v>
      </c>
      <c r="G170" t="s">
        <v>321</v>
      </c>
      <c r="H170" s="1">
        <v>43390</v>
      </c>
      <c r="I170">
        <v>1</v>
      </c>
      <c r="J170" t="s">
        <v>318</v>
      </c>
      <c r="K170" t="s">
        <v>13</v>
      </c>
      <c r="L170" t="s">
        <v>14</v>
      </c>
      <c r="M170" s="5">
        <v>2869</v>
      </c>
      <c r="N170" s="6">
        <v>7.86027397260274</v>
      </c>
    </row>
    <row r="171" spans="1:14" x14ac:dyDescent="0.3">
      <c r="A171" t="s">
        <v>582</v>
      </c>
      <c r="B171" t="s">
        <v>583</v>
      </c>
      <c r="C171" t="s">
        <v>584</v>
      </c>
      <c r="D171" t="s">
        <v>24</v>
      </c>
      <c r="E171" t="s">
        <v>82</v>
      </c>
      <c r="F171" s="8">
        <v>59258.19</v>
      </c>
      <c r="G171" t="s">
        <v>321</v>
      </c>
      <c r="H171" s="1">
        <v>43452</v>
      </c>
      <c r="I171">
        <v>0.8</v>
      </c>
      <c r="J171" t="s">
        <v>322</v>
      </c>
      <c r="K171" t="s">
        <v>13</v>
      </c>
      <c r="L171" t="s">
        <v>53</v>
      </c>
      <c r="M171" s="5">
        <v>2807</v>
      </c>
      <c r="N171" s="6">
        <v>7.6904109589041099</v>
      </c>
    </row>
    <row r="172" spans="1:14" x14ac:dyDescent="0.3">
      <c r="A172" t="s">
        <v>767</v>
      </c>
      <c r="B172" t="s">
        <v>768</v>
      </c>
      <c r="C172" t="s">
        <v>769</v>
      </c>
      <c r="D172" t="s">
        <v>24</v>
      </c>
      <c r="E172" t="s">
        <v>47</v>
      </c>
      <c r="F172" s="8">
        <v>28160.79</v>
      </c>
      <c r="G172" t="s">
        <v>349</v>
      </c>
      <c r="H172" s="1">
        <v>43129</v>
      </c>
      <c r="I172">
        <v>1</v>
      </c>
      <c r="J172" t="s">
        <v>318</v>
      </c>
      <c r="K172" t="s">
        <v>358</v>
      </c>
      <c r="L172" t="s">
        <v>26</v>
      </c>
      <c r="M172" s="5">
        <v>3130</v>
      </c>
      <c r="N172" s="6">
        <v>8.5753424657534243</v>
      </c>
    </row>
    <row r="173" spans="1:14" x14ac:dyDescent="0.3">
      <c r="A173" t="s">
        <v>770</v>
      </c>
      <c r="B173" t="s">
        <v>771</v>
      </c>
      <c r="C173" t="s">
        <v>772</v>
      </c>
      <c r="D173" t="s">
        <v>24</v>
      </c>
      <c r="E173" t="s">
        <v>316</v>
      </c>
      <c r="F173" s="8">
        <v>109143.17</v>
      </c>
      <c r="G173" t="s">
        <v>317</v>
      </c>
      <c r="H173" s="1">
        <v>43945</v>
      </c>
      <c r="I173">
        <v>1</v>
      </c>
      <c r="J173" t="s">
        <v>318</v>
      </c>
      <c r="K173" t="s">
        <v>13</v>
      </c>
      <c r="L173" t="s">
        <v>14</v>
      </c>
      <c r="M173" s="5">
        <v>2314</v>
      </c>
      <c r="N173" s="6">
        <v>6.3397260273972602</v>
      </c>
    </row>
    <row r="174" spans="1:14" x14ac:dyDescent="0.3">
      <c r="A174" t="s">
        <v>773</v>
      </c>
      <c r="B174" t="s">
        <v>774</v>
      </c>
      <c r="C174" t="s">
        <v>775</v>
      </c>
      <c r="D174" t="s">
        <v>11</v>
      </c>
      <c r="E174" t="s">
        <v>29</v>
      </c>
      <c r="F174" s="8">
        <v>70755.5</v>
      </c>
      <c r="G174" t="s">
        <v>321</v>
      </c>
      <c r="H174" s="1">
        <v>44090</v>
      </c>
      <c r="I174">
        <v>0.8</v>
      </c>
      <c r="J174" t="s">
        <v>322</v>
      </c>
      <c r="K174" t="s">
        <v>358</v>
      </c>
      <c r="L174" t="s">
        <v>18</v>
      </c>
      <c r="M174" s="5">
        <v>2169</v>
      </c>
      <c r="N174" s="6">
        <v>5.9424657534246572</v>
      </c>
    </row>
    <row r="175" spans="1:14" x14ac:dyDescent="0.3">
      <c r="A175" t="s">
        <v>407</v>
      </c>
      <c r="B175" t="s">
        <v>408</v>
      </c>
      <c r="C175" t="s">
        <v>409</v>
      </c>
      <c r="D175" t="s">
        <v>24</v>
      </c>
      <c r="E175" t="s">
        <v>17</v>
      </c>
      <c r="F175" s="8">
        <v>73360.38</v>
      </c>
      <c r="G175" t="s">
        <v>321</v>
      </c>
      <c r="H175" s="1">
        <v>43972</v>
      </c>
      <c r="I175">
        <v>1</v>
      </c>
      <c r="J175" t="s">
        <v>318</v>
      </c>
      <c r="K175" t="s">
        <v>358</v>
      </c>
      <c r="L175" t="s">
        <v>26</v>
      </c>
      <c r="M175" s="5">
        <v>2287</v>
      </c>
      <c r="N175" s="6">
        <v>6.2657534246575342</v>
      </c>
    </row>
    <row r="176" spans="1:14" x14ac:dyDescent="0.3">
      <c r="A176" t="s">
        <v>649</v>
      </c>
      <c r="B176" t="s">
        <v>776</v>
      </c>
      <c r="C176" t="s">
        <v>777</v>
      </c>
      <c r="D176" t="s">
        <v>11</v>
      </c>
      <c r="E176" t="s">
        <v>37</v>
      </c>
      <c r="F176" s="8">
        <v>76303.820000000007</v>
      </c>
      <c r="G176" t="s">
        <v>321</v>
      </c>
      <c r="H176" s="1">
        <v>43458</v>
      </c>
      <c r="I176">
        <v>1</v>
      </c>
      <c r="J176" t="s">
        <v>318</v>
      </c>
      <c r="K176" t="s">
        <v>329</v>
      </c>
      <c r="L176" t="s">
        <v>18</v>
      </c>
      <c r="M176" s="5">
        <v>2801</v>
      </c>
      <c r="N176" s="6">
        <v>7.6739726027397257</v>
      </c>
    </row>
    <row r="177" spans="1:14" x14ac:dyDescent="0.3">
      <c r="A177" t="s">
        <v>78</v>
      </c>
      <c r="B177" t="s">
        <v>778</v>
      </c>
      <c r="C177" t="s">
        <v>779</v>
      </c>
      <c r="D177" t="s">
        <v>11</v>
      </c>
      <c r="E177" t="s">
        <v>316</v>
      </c>
      <c r="F177" s="8">
        <v>58861.19</v>
      </c>
      <c r="G177" t="s">
        <v>321</v>
      </c>
      <c r="H177" s="1">
        <v>43654</v>
      </c>
      <c r="I177">
        <v>1</v>
      </c>
      <c r="J177" t="s">
        <v>318</v>
      </c>
      <c r="K177" t="s">
        <v>13</v>
      </c>
      <c r="L177" t="s">
        <v>21</v>
      </c>
      <c r="M177" s="5">
        <v>2605</v>
      </c>
      <c r="N177" s="6">
        <v>7.1369863013698627</v>
      </c>
    </row>
    <row r="178" spans="1:14" x14ac:dyDescent="0.3">
      <c r="A178" t="s">
        <v>780</v>
      </c>
      <c r="B178" t="s">
        <v>781</v>
      </c>
      <c r="C178" t="s">
        <v>782</v>
      </c>
      <c r="D178" t="s">
        <v>11</v>
      </c>
      <c r="E178" t="s">
        <v>12</v>
      </c>
      <c r="F178" s="8">
        <v>58744.17</v>
      </c>
      <c r="G178" t="s">
        <v>321</v>
      </c>
      <c r="H178" s="1">
        <v>43171</v>
      </c>
      <c r="I178">
        <v>1</v>
      </c>
      <c r="J178" t="s">
        <v>318</v>
      </c>
      <c r="K178" t="s">
        <v>358</v>
      </c>
      <c r="L178" t="s">
        <v>21</v>
      </c>
      <c r="M178" s="5">
        <v>3088</v>
      </c>
      <c r="N178" s="6">
        <v>8.4602739726027405</v>
      </c>
    </row>
    <row r="179" spans="1:14" x14ac:dyDescent="0.3">
      <c r="A179" t="s">
        <v>783</v>
      </c>
      <c r="B179" t="s">
        <v>784</v>
      </c>
      <c r="C179" t="s">
        <v>785</v>
      </c>
      <c r="D179" t="s">
        <v>11</v>
      </c>
      <c r="E179" t="s">
        <v>44</v>
      </c>
      <c r="F179" s="8">
        <v>73488.679999999993</v>
      </c>
      <c r="G179" t="s">
        <v>321</v>
      </c>
      <c r="H179" s="1">
        <v>43570</v>
      </c>
      <c r="I179">
        <v>1</v>
      </c>
      <c r="J179" t="s">
        <v>318</v>
      </c>
      <c r="K179" t="s">
        <v>329</v>
      </c>
      <c r="L179" t="s">
        <v>53</v>
      </c>
      <c r="M179" s="5">
        <v>2689</v>
      </c>
      <c r="N179" s="6">
        <v>7.3671232876712329</v>
      </c>
    </row>
    <row r="180" spans="1:14" x14ac:dyDescent="0.3">
      <c r="A180" t="s">
        <v>786</v>
      </c>
      <c r="B180" t="s">
        <v>787</v>
      </c>
      <c r="C180" t="s">
        <v>788</v>
      </c>
      <c r="D180" t="s">
        <v>11</v>
      </c>
      <c r="E180" t="s">
        <v>44</v>
      </c>
      <c r="F180" s="8">
        <v>92704.48</v>
      </c>
      <c r="G180" t="s">
        <v>321</v>
      </c>
      <c r="H180" s="1">
        <v>43430</v>
      </c>
      <c r="I180">
        <v>1</v>
      </c>
      <c r="J180" t="s">
        <v>318</v>
      </c>
      <c r="K180" t="s">
        <v>329</v>
      </c>
      <c r="L180" t="s">
        <v>21</v>
      </c>
      <c r="M180" s="5">
        <v>2829</v>
      </c>
      <c r="N180" s="6">
        <v>7.7506849315068491</v>
      </c>
    </row>
    <row r="181" spans="1:14" x14ac:dyDescent="0.3">
      <c r="A181" t="s">
        <v>789</v>
      </c>
      <c r="B181" t="s">
        <v>790</v>
      </c>
      <c r="C181" t="s">
        <v>791</v>
      </c>
      <c r="D181" t="s">
        <v>24</v>
      </c>
      <c r="E181" t="s">
        <v>59</v>
      </c>
      <c r="F181" s="8">
        <v>78443.78</v>
      </c>
      <c r="G181" t="s">
        <v>321</v>
      </c>
      <c r="H181" s="1">
        <v>43599</v>
      </c>
      <c r="I181">
        <v>1</v>
      </c>
      <c r="J181" t="s">
        <v>318</v>
      </c>
      <c r="K181" t="s">
        <v>329</v>
      </c>
      <c r="L181" t="s">
        <v>18</v>
      </c>
      <c r="M181" s="5">
        <v>2660</v>
      </c>
      <c r="N181" s="6">
        <v>7.2876712328767121</v>
      </c>
    </row>
    <row r="182" spans="1:14" x14ac:dyDescent="0.3">
      <c r="A182" t="s">
        <v>57</v>
      </c>
      <c r="B182" t="s">
        <v>792</v>
      </c>
      <c r="C182" t="s">
        <v>793</v>
      </c>
      <c r="D182" t="s">
        <v>11</v>
      </c>
      <c r="E182" t="s">
        <v>59</v>
      </c>
      <c r="F182" s="8">
        <v>97105.19</v>
      </c>
      <c r="G182" t="s">
        <v>321</v>
      </c>
      <c r="H182" s="1">
        <v>44425</v>
      </c>
      <c r="I182">
        <v>1</v>
      </c>
      <c r="J182" t="s">
        <v>318</v>
      </c>
      <c r="K182" t="s">
        <v>13</v>
      </c>
      <c r="L182" t="s">
        <v>21</v>
      </c>
      <c r="M182" s="5">
        <v>1834</v>
      </c>
      <c r="N182" s="6">
        <v>5.0246575342465754</v>
      </c>
    </row>
    <row r="183" spans="1:14" x14ac:dyDescent="0.3">
      <c r="A183" t="s">
        <v>794</v>
      </c>
      <c r="B183" t="s">
        <v>795</v>
      </c>
      <c r="C183" t="s">
        <v>796</v>
      </c>
      <c r="D183" t="s">
        <v>11</v>
      </c>
      <c r="E183" t="s">
        <v>62</v>
      </c>
      <c r="F183" s="8">
        <v>109163.39</v>
      </c>
      <c r="G183" t="s">
        <v>317</v>
      </c>
      <c r="H183" s="1">
        <v>44019</v>
      </c>
      <c r="I183">
        <v>0.8</v>
      </c>
      <c r="J183" t="s">
        <v>322</v>
      </c>
      <c r="K183" t="s">
        <v>13</v>
      </c>
      <c r="L183" t="s">
        <v>53</v>
      </c>
      <c r="M183" s="5">
        <v>2240</v>
      </c>
      <c r="N183" s="6">
        <v>6.1369863013698627</v>
      </c>
    </row>
    <row r="184" spans="1:14" x14ac:dyDescent="0.3">
      <c r="A184" t="s">
        <v>797</v>
      </c>
      <c r="B184" t="s">
        <v>798</v>
      </c>
      <c r="C184" t="s">
        <v>799</v>
      </c>
      <c r="D184" t="s">
        <v>24</v>
      </c>
      <c r="E184" t="s">
        <v>29</v>
      </c>
      <c r="F184" s="8">
        <v>31816.57</v>
      </c>
      <c r="G184" t="s">
        <v>349</v>
      </c>
      <c r="H184" s="1">
        <v>43497</v>
      </c>
      <c r="I184">
        <v>0.3</v>
      </c>
      <c r="J184" t="s">
        <v>322</v>
      </c>
      <c r="K184" t="s">
        <v>329</v>
      </c>
      <c r="L184" t="s">
        <v>26</v>
      </c>
      <c r="M184" s="5">
        <v>2762</v>
      </c>
      <c r="N184" s="6">
        <v>7.5671232876712331</v>
      </c>
    </row>
    <row r="185" spans="1:14" x14ac:dyDescent="0.3">
      <c r="A185" t="s">
        <v>800</v>
      </c>
      <c r="B185" t="s">
        <v>801</v>
      </c>
      <c r="C185" t="s">
        <v>802</v>
      </c>
      <c r="D185" t="s">
        <v>11</v>
      </c>
      <c r="E185" t="s">
        <v>316</v>
      </c>
      <c r="F185" s="8">
        <v>118442.54</v>
      </c>
      <c r="G185" t="s">
        <v>317</v>
      </c>
      <c r="H185" s="1">
        <v>44193</v>
      </c>
      <c r="I185">
        <v>1</v>
      </c>
      <c r="J185" t="s">
        <v>318</v>
      </c>
      <c r="K185" t="s">
        <v>13</v>
      </c>
      <c r="L185" t="s">
        <v>56</v>
      </c>
      <c r="M185" s="5">
        <v>2066</v>
      </c>
      <c r="N185" s="6">
        <v>5.6602739726027398</v>
      </c>
    </row>
    <row r="186" spans="1:14" x14ac:dyDescent="0.3">
      <c r="A186" t="s">
        <v>100</v>
      </c>
      <c r="B186" t="s">
        <v>803</v>
      </c>
      <c r="C186" t="s">
        <v>804</v>
      </c>
      <c r="D186" t="s">
        <v>11</v>
      </c>
      <c r="E186" t="s">
        <v>12</v>
      </c>
      <c r="F186" s="8">
        <v>84745.93</v>
      </c>
      <c r="G186" t="s">
        <v>321</v>
      </c>
      <c r="H186" s="1">
        <v>43707</v>
      </c>
      <c r="I186">
        <v>1</v>
      </c>
      <c r="J186" t="s">
        <v>318</v>
      </c>
      <c r="K186" t="s">
        <v>13</v>
      </c>
      <c r="L186" t="s">
        <v>14</v>
      </c>
      <c r="M186" s="5">
        <v>2552</v>
      </c>
      <c r="N186" s="6">
        <v>6.9917808219178079</v>
      </c>
    </row>
    <row r="187" spans="1:14" x14ac:dyDescent="0.3">
      <c r="A187" t="s">
        <v>424</v>
      </c>
      <c r="B187" t="s">
        <v>425</v>
      </c>
      <c r="C187" t="s">
        <v>426</v>
      </c>
      <c r="D187" t="s">
        <v>11</v>
      </c>
      <c r="E187" t="s">
        <v>37</v>
      </c>
      <c r="F187" s="8">
        <v>69163.39</v>
      </c>
      <c r="G187" t="s">
        <v>321</v>
      </c>
      <c r="H187" s="1">
        <v>43397</v>
      </c>
      <c r="I187">
        <v>1</v>
      </c>
      <c r="J187" t="s">
        <v>318</v>
      </c>
      <c r="K187" t="s">
        <v>13</v>
      </c>
      <c r="L187" t="s">
        <v>26</v>
      </c>
      <c r="M187" s="5">
        <v>2862</v>
      </c>
      <c r="N187" s="6">
        <v>7.8410958904109593</v>
      </c>
    </row>
    <row r="188" spans="1:14" x14ac:dyDescent="0.3">
      <c r="A188" t="s">
        <v>725</v>
      </c>
      <c r="B188" t="s">
        <v>726</v>
      </c>
      <c r="C188" t="s">
        <v>727</v>
      </c>
      <c r="D188" t="s">
        <v>11</v>
      </c>
      <c r="E188" t="s">
        <v>89</v>
      </c>
      <c r="F188" s="8">
        <v>84598.88</v>
      </c>
      <c r="G188" t="s">
        <v>321</v>
      </c>
      <c r="H188" s="1">
        <v>44116</v>
      </c>
      <c r="I188">
        <v>1</v>
      </c>
      <c r="J188" t="s">
        <v>318</v>
      </c>
      <c r="K188" t="s">
        <v>329</v>
      </c>
      <c r="L188" t="s">
        <v>53</v>
      </c>
      <c r="M188" s="5">
        <v>2143</v>
      </c>
      <c r="N188" s="6">
        <v>5.8712328767123285</v>
      </c>
    </row>
    <row r="189" spans="1:14" x14ac:dyDescent="0.3">
      <c r="A189" t="s">
        <v>805</v>
      </c>
      <c r="B189" t="s">
        <v>806</v>
      </c>
      <c r="C189" t="s">
        <v>807</v>
      </c>
      <c r="D189" t="s">
        <v>11</v>
      </c>
      <c r="E189" t="s">
        <v>67</v>
      </c>
      <c r="F189" s="8">
        <v>68795.48</v>
      </c>
      <c r="G189" t="s">
        <v>321</v>
      </c>
      <c r="H189" s="1">
        <v>44277</v>
      </c>
      <c r="I189">
        <v>0.2</v>
      </c>
      <c r="J189" t="s">
        <v>322</v>
      </c>
      <c r="K189" t="s">
        <v>13</v>
      </c>
      <c r="L189" t="s">
        <v>26</v>
      </c>
      <c r="M189" s="5">
        <v>1982</v>
      </c>
      <c r="N189" s="6">
        <v>5.4301369863013695</v>
      </c>
    </row>
    <row r="190" spans="1:14" x14ac:dyDescent="0.3">
      <c r="A190" t="s">
        <v>808</v>
      </c>
      <c r="B190" t="s">
        <v>809</v>
      </c>
      <c r="C190" t="s">
        <v>810</v>
      </c>
      <c r="D190" t="s">
        <v>11</v>
      </c>
      <c r="E190" t="s">
        <v>62</v>
      </c>
      <c r="F190" s="8">
        <v>32269.91</v>
      </c>
      <c r="G190" t="s">
        <v>349</v>
      </c>
      <c r="H190" s="1">
        <v>43346</v>
      </c>
      <c r="I190">
        <v>1</v>
      </c>
      <c r="J190" t="s">
        <v>318</v>
      </c>
      <c r="K190" t="s">
        <v>13</v>
      </c>
      <c r="L190" t="s">
        <v>26</v>
      </c>
      <c r="M190" s="5">
        <v>2913</v>
      </c>
      <c r="N190" s="6">
        <v>7.9808219178082194</v>
      </c>
    </row>
    <row r="191" spans="1:14" x14ac:dyDescent="0.3">
      <c r="A191" t="s">
        <v>811</v>
      </c>
      <c r="B191" t="s">
        <v>812</v>
      </c>
      <c r="C191" t="s">
        <v>813</v>
      </c>
      <c r="D191" t="s">
        <v>24</v>
      </c>
      <c r="E191" t="s">
        <v>47</v>
      </c>
      <c r="F191" s="8">
        <v>78705.929999999993</v>
      </c>
      <c r="G191" t="s">
        <v>321</v>
      </c>
      <c r="H191" s="1">
        <v>43409</v>
      </c>
      <c r="I191">
        <v>1</v>
      </c>
      <c r="J191" t="s">
        <v>318</v>
      </c>
      <c r="K191" t="s">
        <v>329</v>
      </c>
      <c r="L191" t="s">
        <v>53</v>
      </c>
      <c r="M191" s="5">
        <v>2850</v>
      </c>
      <c r="N191" s="6">
        <v>7.8082191780821919</v>
      </c>
    </row>
    <row r="192" spans="1:14" x14ac:dyDescent="0.3">
      <c r="A192" t="s">
        <v>814</v>
      </c>
      <c r="B192" t="s">
        <v>815</v>
      </c>
      <c r="C192" t="s">
        <v>816</v>
      </c>
      <c r="D192" t="s">
        <v>24</v>
      </c>
      <c r="E192" t="s">
        <v>29</v>
      </c>
      <c r="F192" s="8">
        <v>53535.62</v>
      </c>
      <c r="G192" t="s">
        <v>321</v>
      </c>
      <c r="H192" s="1">
        <v>44110</v>
      </c>
      <c r="I192">
        <v>0.5</v>
      </c>
      <c r="J192" t="s">
        <v>322</v>
      </c>
      <c r="K192" t="s">
        <v>329</v>
      </c>
      <c r="L192" t="s">
        <v>53</v>
      </c>
      <c r="M192" s="5">
        <v>2149</v>
      </c>
      <c r="N192" s="6">
        <v>5.8876712328767127</v>
      </c>
    </row>
    <row r="193" spans="1:14" x14ac:dyDescent="0.3">
      <c r="A193" t="s">
        <v>87</v>
      </c>
      <c r="B193" t="s">
        <v>575</v>
      </c>
      <c r="C193" t="s">
        <v>576</v>
      </c>
      <c r="D193" t="s">
        <v>11</v>
      </c>
      <c r="E193" t="s">
        <v>89</v>
      </c>
      <c r="F193" s="8">
        <v>41934.71</v>
      </c>
      <c r="G193" t="s">
        <v>349</v>
      </c>
      <c r="H193" s="1">
        <v>43780</v>
      </c>
      <c r="I193">
        <v>1</v>
      </c>
      <c r="J193" t="s">
        <v>318</v>
      </c>
      <c r="K193" t="s">
        <v>13</v>
      </c>
      <c r="L193" t="s">
        <v>26</v>
      </c>
      <c r="M193" s="5">
        <v>2479</v>
      </c>
      <c r="N193" s="6">
        <v>6.7917808219178086</v>
      </c>
    </row>
    <row r="194" spans="1:14" x14ac:dyDescent="0.3">
      <c r="A194" t="s">
        <v>817</v>
      </c>
      <c r="B194" t="s">
        <v>502</v>
      </c>
      <c r="C194" t="s">
        <v>818</v>
      </c>
      <c r="D194" t="s">
        <v>11</v>
      </c>
      <c r="E194" t="s">
        <v>67</v>
      </c>
      <c r="F194" s="8">
        <v>91929.69</v>
      </c>
      <c r="G194" t="s">
        <v>321</v>
      </c>
      <c r="H194" s="1">
        <v>44085</v>
      </c>
      <c r="I194">
        <v>1</v>
      </c>
      <c r="J194" t="s">
        <v>318</v>
      </c>
      <c r="K194" t="s">
        <v>329</v>
      </c>
      <c r="L194" t="s">
        <v>26</v>
      </c>
      <c r="M194" s="5">
        <v>2174</v>
      </c>
      <c r="N194" s="6">
        <v>5.956164383561644</v>
      </c>
    </row>
    <row r="195" spans="1:14" x14ac:dyDescent="0.3">
      <c r="A195" t="s">
        <v>138</v>
      </c>
      <c r="B195" t="s">
        <v>819</v>
      </c>
      <c r="C195" t="s">
        <v>820</v>
      </c>
      <c r="D195" t="s">
        <v>24</v>
      </c>
      <c r="E195" t="s">
        <v>47</v>
      </c>
      <c r="F195" s="8">
        <v>62281.24</v>
      </c>
      <c r="G195" t="s">
        <v>321</v>
      </c>
      <c r="H195" s="1">
        <v>43272</v>
      </c>
      <c r="I195">
        <v>1</v>
      </c>
      <c r="J195" t="s">
        <v>318</v>
      </c>
      <c r="K195" t="s">
        <v>13</v>
      </c>
      <c r="L195" t="s">
        <v>26</v>
      </c>
      <c r="M195" s="5">
        <v>2987</v>
      </c>
      <c r="N195" s="6">
        <v>8.1835616438356169</v>
      </c>
    </row>
    <row r="196" spans="1:14" x14ac:dyDescent="0.3">
      <c r="A196" t="s">
        <v>821</v>
      </c>
      <c r="B196" t="s">
        <v>822</v>
      </c>
      <c r="C196" t="s">
        <v>823</v>
      </c>
      <c r="D196" t="s">
        <v>24</v>
      </c>
      <c r="E196" t="s">
        <v>37</v>
      </c>
      <c r="F196" s="8">
        <v>57925.91</v>
      </c>
      <c r="G196" t="s">
        <v>321</v>
      </c>
      <c r="H196" s="1">
        <v>43572</v>
      </c>
      <c r="I196">
        <v>0.5</v>
      </c>
      <c r="J196" t="s">
        <v>322</v>
      </c>
      <c r="K196" t="s">
        <v>13</v>
      </c>
      <c r="L196" t="s">
        <v>14</v>
      </c>
      <c r="M196" s="5">
        <v>2687</v>
      </c>
      <c r="N196" s="6">
        <v>7.3616438356164382</v>
      </c>
    </row>
    <row r="197" spans="1:14" x14ac:dyDescent="0.3">
      <c r="A197" t="s">
        <v>824</v>
      </c>
      <c r="B197" t="s">
        <v>825</v>
      </c>
      <c r="C197" t="s">
        <v>826</v>
      </c>
      <c r="D197" t="s">
        <v>24</v>
      </c>
      <c r="E197" t="s">
        <v>59</v>
      </c>
      <c r="F197" s="8">
        <v>82239.53</v>
      </c>
      <c r="G197" t="s">
        <v>321</v>
      </c>
      <c r="H197" s="1">
        <v>43846</v>
      </c>
      <c r="I197">
        <v>1</v>
      </c>
      <c r="J197" t="s">
        <v>318</v>
      </c>
      <c r="K197" t="s">
        <v>358</v>
      </c>
      <c r="L197" t="s">
        <v>21</v>
      </c>
      <c r="M197" s="5">
        <v>2413</v>
      </c>
      <c r="N197" s="6">
        <v>6.6109589041095891</v>
      </c>
    </row>
    <row r="198" spans="1:14" x14ac:dyDescent="0.3">
      <c r="A198" t="s">
        <v>827</v>
      </c>
      <c r="B198" t="s">
        <v>828</v>
      </c>
      <c r="C198" t="s">
        <v>829</v>
      </c>
      <c r="D198" t="s">
        <v>24</v>
      </c>
      <c r="E198" t="s">
        <v>59</v>
      </c>
      <c r="F198" s="8">
        <v>53184.02</v>
      </c>
      <c r="G198" t="s">
        <v>321</v>
      </c>
      <c r="H198" s="1">
        <v>43180</v>
      </c>
      <c r="I198">
        <v>1</v>
      </c>
      <c r="J198" t="s">
        <v>318</v>
      </c>
      <c r="K198" t="s">
        <v>329</v>
      </c>
      <c r="L198" t="s">
        <v>26</v>
      </c>
      <c r="M198" s="5">
        <v>3079</v>
      </c>
      <c r="N198" s="6">
        <v>8.4356164383561651</v>
      </c>
    </row>
    <row r="199" spans="1:14" x14ac:dyDescent="0.3">
      <c r="A199" t="s">
        <v>48</v>
      </c>
      <c r="B199" t="s">
        <v>830</v>
      </c>
      <c r="C199" t="s">
        <v>831</v>
      </c>
      <c r="D199" t="s">
        <v>24</v>
      </c>
      <c r="E199" t="s">
        <v>37</v>
      </c>
      <c r="F199" s="8">
        <v>35936.31</v>
      </c>
      <c r="G199" t="s">
        <v>349</v>
      </c>
      <c r="H199" s="1">
        <v>43241</v>
      </c>
      <c r="I199">
        <v>1</v>
      </c>
      <c r="J199" t="s">
        <v>318</v>
      </c>
      <c r="K199" t="s">
        <v>13</v>
      </c>
      <c r="L199" t="s">
        <v>50</v>
      </c>
      <c r="M199" s="5">
        <v>3018</v>
      </c>
      <c r="N199" s="6">
        <v>8.2684931506849306</v>
      </c>
    </row>
    <row r="200" spans="1:14" x14ac:dyDescent="0.3">
      <c r="A200" t="s">
        <v>832</v>
      </c>
      <c r="B200" t="s">
        <v>833</v>
      </c>
      <c r="C200" t="s">
        <v>834</v>
      </c>
      <c r="D200" t="s">
        <v>11</v>
      </c>
      <c r="E200" t="s">
        <v>62</v>
      </c>
      <c r="F200" s="8">
        <v>28305.08</v>
      </c>
      <c r="G200" t="s">
        <v>349</v>
      </c>
      <c r="H200" s="1">
        <v>43754</v>
      </c>
      <c r="I200">
        <v>1</v>
      </c>
      <c r="J200" t="s">
        <v>318</v>
      </c>
      <c r="K200" t="s">
        <v>13</v>
      </c>
      <c r="L200" t="s">
        <v>26</v>
      </c>
      <c r="M200" s="5">
        <v>2505</v>
      </c>
      <c r="N200" s="6">
        <v>6.8630136986301373</v>
      </c>
    </row>
    <row r="201" spans="1:14" x14ac:dyDescent="0.3">
      <c r="A201" t="s">
        <v>38</v>
      </c>
      <c r="B201" t="s">
        <v>835</v>
      </c>
      <c r="C201" t="s">
        <v>836</v>
      </c>
      <c r="D201" t="s">
        <v>24</v>
      </c>
      <c r="E201" t="s">
        <v>34</v>
      </c>
      <c r="F201" s="8">
        <v>29774.76</v>
      </c>
      <c r="G201" t="s">
        <v>349</v>
      </c>
      <c r="H201" s="1">
        <v>44105</v>
      </c>
      <c r="I201">
        <v>1</v>
      </c>
      <c r="J201" t="s">
        <v>318</v>
      </c>
      <c r="K201" t="s">
        <v>13</v>
      </c>
      <c r="L201" t="s">
        <v>14</v>
      </c>
      <c r="M201" s="5">
        <v>2154</v>
      </c>
      <c r="N201" s="6">
        <v>5.9013698630136986</v>
      </c>
    </row>
    <row r="202" spans="1:14" x14ac:dyDescent="0.3">
      <c r="A202" t="s">
        <v>837</v>
      </c>
      <c r="B202" t="s">
        <v>838</v>
      </c>
      <c r="C202" t="s">
        <v>839</v>
      </c>
      <c r="D202" t="s">
        <v>24</v>
      </c>
      <c r="E202" t="s">
        <v>37</v>
      </c>
      <c r="F202" s="8">
        <v>102515.81</v>
      </c>
      <c r="G202" t="s">
        <v>317</v>
      </c>
      <c r="H202" s="1">
        <v>43902</v>
      </c>
      <c r="I202">
        <v>1</v>
      </c>
      <c r="J202" t="s">
        <v>318</v>
      </c>
      <c r="K202" t="s">
        <v>329</v>
      </c>
      <c r="L202" t="s">
        <v>50</v>
      </c>
      <c r="M202" s="5">
        <v>2357</v>
      </c>
      <c r="N202" s="6">
        <v>6.4575342465753423</v>
      </c>
    </row>
    <row r="203" spans="1:14" x14ac:dyDescent="0.3">
      <c r="A203" t="s">
        <v>501</v>
      </c>
      <c r="B203" t="s">
        <v>502</v>
      </c>
      <c r="C203" t="s">
        <v>503</v>
      </c>
      <c r="D203" t="s">
        <v>2134</v>
      </c>
      <c r="E203" t="s">
        <v>44</v>
      </c>
      <c r="F203" s="8">
        <v>99448.78</v>
      </c>
      <c r="G203" t="s">
        <v>321</v>
      </c>
      <c r="H203" s="1">
        <v>43473</v>
      </c>
      <c r="I203">
        <v>1</v>
      </c>
      <c r="J203" t="s">
        <v>318</v>
      </c>
      <c r="K203" t="s">
        <v>329</v>
      </c>
      <c r="L203" t="s">
        <v>14</v>
      </c>
      <c r="M203" s="5">
        <v>2786</v>
      </c>
      <c r="N203" s="6">
        <v>7.6328767123287671</v>
      </c>
    </row>
    <row r="204" spans="1:14" x14ac:dyDescent="0.3">
      <c r="A204" t="s">
        <v>805</v>
      </c>
      <c r="B204" t="s">
        <v>806</v>
      </c>
      <c r="C204" t="s">
        <v>807</v>
      </c>
      <c r="D204" t="s">
        <v>11</v>
      </c>
      <c r="E204" t="s">
        <v>67</v>
      </c>
      <c r="F204" s="8">
        <v>68795.48</v>
      </c>
      <c r="G204" t="s">
        <v>321</v>
      </c>
      <c r="H204" s="1">
        <v>44277</v>
      </c>
      <c r="I204">
        <v>0.2</v>
      </c>
      <c r="J204" t="s">
        <v>322</v>
      </c>
      <c r="K204" t="s">
        <v>13</v>
      </c>
      <c r="L204" t="s">
        <v>26</v>
      </c>
      <c r="M204" s="5">
        <v>1982</v>
      </c>
      <c r="N204" s="6">
        <v>5.4301369863013695</v>
      </c>
    </row>
    <row r="205" spans="1:14" x14ac:dyDescent="0.3">
      <c r="A205" t="s">
        <v>560</v>
      </c>
      <c r="B205" t="s">
        <v>561</v>
      </c>
      <c r="C205" t="s">
        <v>562</v>
      </c>
      <c r="D205" t="s">
        <v>11</v>
      </c>
      <c r="E205" t="s">
        <v>47</v>
      </c>
      <c r="F205" s="8">
        <v>99683.67</v>
      </c>
      <c r="G205" t="s">
        <v>321</v>
      </c>
      <c r="H205" s="1">
        <v>43500</v>
      </c>
      <c r="I205">
        <v>1</v>
      </c>
      <c r="J205" t="s">
        <v>318</v>
      </c>
      <c r="K205" t="s">
        <v>329</v>
      </c>
      <c r="L205" t="s">
        <v>53</v>
      </c>
      <c r="M205" s="5">
        <v>2759</v>
      </c>
      <c r="N205" s="6">
        <v>7.558904109589041</v>
      </c>
    </row>
    <row r="206" spans="1:14" x14ac:dyDescent="0.3">
      <c r="A206" t="s">
        <v>840</v>
      </c>
      <c r="B206" t="s">
        <v>841</v>
      </c>
      <c r="C206" t="s">
        <v>842</v>
      </c>
      <c r="D206" t="s">
        <v>24</v>
      </c>
      <c r="E206" t="s">
        <v>37</v>
      </c>
      <c r="F206" s="8">
        <v>38825.18</v>
      </c>
      <c r="G206" t="s">
        <v>349</v>
      </c>
      <c r="H206" s="1">
        <v>43696</v>
      </c>
      <c r="I206">
        <v>1</v>
      </c>
      <c r="J206" t="s">
        <v>318</v>
      </c>
      <c r="K206" t="s">
        <v>358</v>
      </c>
      <c r="L206" t="s">
        <v>26</v>
      </c>
      <c r="M206" s="5">
        <v>2563</v>
      </c>
      <c r="N206" s="6">
        <v>7.021917808219178</v>
      </c>
    </row>
    <row r="207" spans="1:14" x14ac:dyDescent="0.3">
      <c r="A207" t="s">
        <v>843</v>
      </c>
      <c r="B207" t="s">
        <v>844</v>
      </c>
      <c r="C207" t="s">
        <v>845</v>
      </c>
      <c r="D207" t="s">
        <v>11</v>
      </c>
      <c r="E207" t="s">
        <v>62</v>
      </c>
      <c r="F207" s="8">
        <v>71229.42</v>
      </c>
      <c r="G207" t="s">
        <v>321</v>
      </c>
      <c r="H207" s="1">
        <v>44166</v>
      </c>
      <c r="I207">
        <v>1</v>
      </c>
      <c r="J207" t="s">
        <v>318</v>
      </c>
      <c r="K207" t="s">
        <v>13</v>
      </c>
      <c r="L207" t="s">
        <v>18</v>
      </c>
      <c r="M207" s="5">
        <v>2093</v>
      </c>
      <c r="N207" s="6">
        <v>5.7342465753424658</v>
      </c>
    </row>
    <row r="208" spans="1:14" x14ac:dyDescent="0.3">
      <c r="A208" t="s">
        <v>19</v>
      </c>
      <c r="B208" t="s">
        <v>542</v>
      </c>
      <c r="C208" t="s">
        <v>543</v>
      </c>
      <c r="D208" t="s">
        <v>11</v>
      </c>
      <c r="E208" t="s">
        <v>17</v>
      </c>
      <c r="F208" s="8">
        <v>80695.740000000005</v>
      </c>
      <c r="G208" t="s">
        <v>321</v>
      </c>
      <c r="H208" s="1">
        <v>43360</v>
      </c>
      <c r="I208">
        <v>1</v>
      </c>
      <c r="J208" t="s">
        <v>318</v>
      </c>
      <c r="K208" t="s">
        <v>13</v>
      </c>
      <c r="L208" t="s">
        <v>21</v>
      </c>
      <c r="M208" s="5">
        <v>2899</v>
      </c>
      <c r="N208" s="6">
        <v>7.9424657534246572</v>
      </c>
    </row>
    <row r="209" spans="1:14" x14ac:dyDescent="0.3">
      <c r="A209" t="s">
        <v>65</v>
      </c>
      <c r="B209" t="s">
        <v>846</v>
      </c>
      <c r="C209" t="s">
        <v>847</v>
      </c>
      <c r="D209" t="s">
        <v>11</v>
      </c>
      <c r="E209" t="s">
        <v>67</v>
      </c>
      <c r="F209" s="8">
        <v>72502.61</v>
      </c>
      <c r="G209" t="s">
        <v>321</v>
      </c>
      <c r="H209" s="1">
        <v>44235</v>
      </c>
      <c r="I209">
        <v>1</v>
      </c>
      <c r="J209" t="s">
        <v>318</v>
      </c>
      <c r="K209" t="s">
        <v>13</v>
      </c>
      <c r="L209" t="s">
        <v>14</v>
      </c>
      <c r="M209" s="5">
        <v>2024</v>
      </c>
      <c r="N209" s="6">
        <v>5.5452054794520551</v>
      </c>
    </row>
    <row r="210" spans="1:14" x14ac:dyDescent="0.3">
      <c r="A210" t="s">
        <v>848</v>
      </c>
      <c r="B210" t="s">
        <v>849</v>
      </c>
      <c r="C210" t="s">
        <v>850</v>
      </c>
      <c r="D210" t="s">
        <v>11</v>
      </c>
      <c r="E210" t="s">
        <v>67</v>
      </c>
      <c r="F210" s="8">
        <v>68197.899999999994</v>
      </c>
      <c r="G210" t="s">
        <v>321</v>
      </c>
      <c r="H210" s="1">
        <v>44119</v>
      </c>
      <c r="I210">
        <v>1</v>
      </c>
      <c r="J210" t="s">
        <v>318</v>
      </c>
      <c r="K210" t="s">
        <v>13</v>
      </c>
      <c r="L210" t="s">
        <v>56</v>
      </c>
      <c r="M210" s="5">
        <v>2140</v>
      </c>
      <c r="N210" s="6">
        <v>5.8630136986301373</v>
      </c>
    </row>
    <row r="211" spans="1:14" x14ac:dyDescent="0.3">
      <c r="A211" t="s">
        <v>851</v>
      </c>
      <c r="B211" t="s">
        <v>510</v>
      </c>
      <c r="C211" t="s">
        <v>852</v>
      </c>
      <c r="D211" t="s">
        <v>24</v>
      </c>
      <c r="E211" t="s">
        <v>67</v>
      </c>
      <c r="F211" s="8">
        <v>89960.6</v>
      </c>
      <c r="G211" t="s">
        <v>321</v>
      </c>
      <c r="H211" s="1">
        <v>43515</v>
      </c>
      <c r="I211">
        <v>1</v>
      </c>
      <c r="J211" t="s">
        <v>318</v>
      </c>
      <c r="K211" t="s">
        <v>329</v>
      </c>
      <c r="L211" t="s">
        <v>56</v>
      </c>
      <c r="M211" s="5">
        <v>2744</v>
      </c>
      <c r="N211" s="6">
        <v>7.5178082191780824</v>
      </c>
    </row>
    <row r="212" spans="1:14" x14ac:dyDescent="0.3">
      <c r="A212" t="s">
        <v>714</v>
      </c>
      <c r="B212" t="s">
        <v>853</v>
      </c>
      <c r="C212" t="s">
        <v>854</v>
      </c>
      <c r="D212" t="s">
        <v>24</v>
      </c>
      <c r="E212" t="s">
        <v>34</v>
      </c>
      <c r="F212" s="8">
        <v>28481.16</v>
      </c>
      <c r="G212" t="s">
        <v>349</v>
      </c>
      <c r="H212" s="1">
        <v>43916</v>
      </c>
      <c r="I212">
        <v>1</v>
      </c>
      <c r="J212" t="s">
        <v>318</v>
      </c>
      <c r="K212" t="s">
        <v>13</v>
      </c>
      <c r="L212" t="s">
        <v>18</v>
      </c>
      <c r="M212" s="5">
        <v>2343</v>
      </c>
      <c r="N212" s="6">
        <v>6.419178082191781</v>
      </c>
    </row>
    <row r="213" spans="1:14" x14ac:dyDescent="0.3">
      <c r="A213" t="s">
        <v>467</v>
      </c>
      <c r="B213" t="s">
        <v>855</v>
      </c>
      <c r="C213" t="s">
        <v>856</v>
      </c>
      <c r="D213" t="s">
        <v>11</v>
      </c>
      <c r="E213" t="s">
        <v>12</v>
      </c>
      <c r="F213" s="8">
        <v>116767.63</v>
      </c>
      <c r="G213" t="s">
        <v>317</v>
      </c>
      <c r="H213" s="1">
        <v>43949</v>
      </c>
      <c r="I213">
        <v>0.4</v>
      </c>
      <c r="J213" t="s">
        <v>322</v>
      </c>
      <c r="K213" t="s">
        <v>358</v>
      </c>
      <c r="L213" t="s">
        <v>50</v>
      </c>
      <c r="M213" s="5">
        <v>2310</v>
      </c>
      <c r="N213" s="6">
        <v>6.3287671232876717</v>
      </c>
    </row>
    <row r="214" spans="1:14" x14ac:dyDescent="0.3">
      <c r="A214" t="s">
        <v>857</v>
      </c>
      <c r="B214" t="s">
        <v>858</v>
      </c>
      <c r="C214" t="s">
        <v>859</v>
      </c>
      <c r="D214" t="s">
        <v>24</v>
      </c>
      <c r="E214" t="s">
        <v>67</v>
      </c>
      <c r="F214" s="8">
        <v>80360.41</v>
      </c>
      <c r="G214" t="s">
        <v>321</v>
      </c>
      <c r="H214" s="1">
        <v>44167</v>
      </c>
      <c r="I214">
        <v>1</v>
      </c>
      <c r="J214" t="s">
        <v>318</v>
      </c>
      <c r="K214" t="s">
        <v>13</v>
      </c>
      <c r="L214" t="s">
        <v>26</v>
      </c>
      <c r="M214" s="5">
        <v>2092</v>
      </c>
      <c r="N214" s="6">
        <v>5.7315068493150685</v>
      </c>
    </row>
    <row r="215" spans="1:14" x14ac:dyDescent="0.3">
      <c r="A215" t="s">
        <v>134</v>
      </c>
      <c r="B215" t="s">
        <v>860</v>
      </c>
      <c r="C215" t="s">
        <v>861</v>
      </c>
      <c r="D215" t="s">
        <v>11</v>
      </c>
      <c r="E215" t="s">
        <v>89</v>
      </c>
      <c r="F215" s="8">
        <v>77045.440000000002</v>
      </c>
      <c r="G215" t="s">
        <v>321</v>
      </c>
      <c r="H215" s="1">
        <v>43636</v>
      </c>
      <c r="I215">
        <v>1</v>
      </c>
      <c r="J215" t="s">
        <v>318</v>
      </c>
      <c r="K215" t="s">
        <v>13</v>
      </c>
      <c r="L215" t="s">
        <v>26</v>
      </c>
      <c r="M215" s="5">
        <v>2623</v>
      </c>
      <c r="N215" s="6">
        <v>7.1863013698630134</v>
      </c>
    </row>
    <row r="216" spans="1:14" x14ac:dyDescent="0.3">
      <c r="A216" t="s">
        <v>9</v>
      </c>
      <c r="B216" t="s">
        <v>862</v>
      </c>
      <c r="C216" t="s">
        <v>863</v>
      </c>
      <c r="D216" t="s">
        <v>11</v>
      </c>
      <c r="E216" t="s">
        <v>12</v>
      </c>
      <c r="F216" s="8">
        <v>96135.75</v>
      </c>
      <c r="G216" t="s">
        <v>321</v>
      </c>
      <c r="H216" s="1">
        <v>44025</v>
      </c>
      <c r="I216">
        <v>0.3</v>
      </c>
      <c r="J216" t="s">
        <v>322</v>
      </c>
      <c r="K216" t="s">
        <v>13</v>
      </c>
      <c r="L216" t="s">
        <v>14</v>
      </c>
      <c r="M216" s="5">
        <v>2234</v>
      </c>
      <c r="N216" s="6">
        <v>6.1205479452054794</v>
      </c>
    </row>
    <row r="217" spans="1:14" x14ac:dyDescent="0.3">
      <c r="A217" t="s">
        <v>864</v>
      </c>
      <c r="B217" t="s">
        <v>865</v>
      </c>
      <c r="C217" t="s">
        <v>866</v>
      </c>
      <c r="D217" t="s">
        <v>11</v>
      </c>
      <c r="E217" t="s">
        <v>89</v>
      </c>
      <c r="F217" s="8">
        <v>102129.37</v>
      </c>
      <c r="G217" t="s">
        <v>317</v>
      </c>
      <c r="H217" s="1">
        <v>44396</v>
      </c>
      <c r="I217">
        <v>1</v>
      </c>
      <c r="J217" t="s">
        <v>318</v>
      </c>
      <c r="K217" t="s">
        <v>13</v>
      </c>
      <c r="L217" t="s">
        <v>21</v>
      </c>
      <c r="M217" s="5">
        <v>1863</v>
      </c>
      <c r="N217" s="6">
        <v>5.1041095890410961</v>
      </c>
    </row>
    <row r="218" spans="1:14" x14ac:dyDescent="0.3">
      <c r="A218" t="s">
        <v>867</v>
      </c>
      <c r="B218" t="s">
        <v>868</v>
      </c>
      <c r="C218" t="s">
        <v>869</v>
      </c>
      <c r="D218" t="s">
        <v>11</v>
      </c>
      <c r="E218" t="s">
        <v>12</v>
      </c>
      <c r="F218" s="8">
        <v>99965.97</v>
      </c>
      <c r="G218" t="s">
        <v>321</v>
      </c>
      <c r="H218" s="1">
        <v>43133</v>
      </c>
      <c r="I218">
        <v>1</v>
      </c>
      <c r="J218" t="s">
        <v>318</v>
      </c>
      <c r="K218" t="s">
        <v>13</v>
      </c>
      <c r="L218" t="s">
        <v>26</v>
      </c>
      <c r="M218" s="5">
        <v>3126</v>
      </c>
      <c r="N218" s="6">
        <v>8.5643835616438349</v>
      </c>
    </row>
    <row r="219" spans="1:14" x14ac:dyDescent="0.3">
      <c r="A219" t="s">
        <v>870</v>
      </c>
      <c r="B219" t="s">
        <v>871</v>
      </c>
      <c r="C219" t="s">
        <v>872</v>
      </c>
      <c r="D219" t="s">
        <v>11</v>
      </c>
      <c r="E219" t="s">
        <v>67</v>
      </c>
      <c r="F219" s="8">
        <v>49625.64</v>
      </c>
      <c r="G219" t="s">
        <v>349</v>
      </c>
      <c r="H219" s="1">
        <v>44384</v>
      </c>
      <c r="I219">
        <v>0.5</v>
      </c>
      <c r="J219" t="s">
        <v>322</v>
      </c>
      <c r="K219" t="s">
        <v>329</v>
      </c>
      <c r="L219" t="s">
        <v>26</v>
      </c>
      <c r="M219" s="5">
        <v>1875</v>
      </c>
      <c r="N219" s="6">
        <v>5.1369863013698627</v>
      </c>
    </row>
    <row r="220" spans="1:14" x14ac:dyDescent="0.3">
      <c r="A220" t="s">
        <v>873</v>
      </c>
      <c r="B220" t="s">
        <v>874</v>
      </c>
      <c r="C220" t="s">
        <v>875</v>
      </c>
      <c r="D220" t="s">
        <v>11</v>
      </c>
      <c r="E220" t="s">
        <v>59</v>
      </c>
      <c r="F220" s="8">
        <v>94815.28</v>
      </c>
      <c r="G220" t="s">
        <v>321</v>
      </c>
      <c r="H220" s="1">
        <v>43440</v>
      </c>
      <c r="I220">
        <v>1</v>
      </c>
      <c r="J220" t="s">
        <v>318</v>
      </c>
      <c r="K220" t="s">
        <v>13</v>
      </c>
      <c r="L220" t="s">
        <v>53</v>
      </c>
      <c r="M220" s="5">
        <v>2819</v>
      </c>
      <c r="N220" s="6">
        <v>7.7232876712328764</v>
      </c>
    </row>
    <row r="221" spans="1:14" x14ac:dyDescent="0.3">
      <c r="A221" t="s">
        <v>104</v>
      </c>
      <c r="B221" t="s">
        <v>876</v>
      </c>
      <c r="C221" t="s">
        <v>877</v>
      </c>
      <c r="D221" t="s">
        <v>24</v>
      </c>
      <c r="E221" t="s">
        <v>82</v>
      </c>
      <c r="F221" s="8">
        <v>36714.379999999997</v>
      </c>
      <c r="G221" t="s">
        <v>349</v>
      </c>
      <c r="H221" s="1">
        <v>44175</v>
      </c>
      <c r="I221">
        <v>1</v>
      </c>
      <c r="J221" t="s">
        <v>318</v>
      </c>
      <c r="K221" t="s">
        <v>13</v>
      </c>
      <c r="L221" t="s">
        <v>50</v>
      </c>
      <c r="M221" s="5">
        <v>2084</v>
      </c>
      <c r="N221" s="6">
        <v>5.7095890410958905</v>
      </c>
    </row>
    <row r="222" spans="1:14" x14ac:dyDescent="0.3">
      <c r="A222" t="s">
        <v>27</v>
      </c>
      <c r="B222" t="s">
        <v>878</v>
      </c>
      <c r="C222" t="s">
        <v>879</v>
      </c>
      <c r="D222" t="s">
        <v>11</v>
      </c>
      <c r="E222" t="s">
        <v>29</v>
      </c>
      <c r="F222" s="8">
        <v>67905.8</v>
      </c>
      <c r="G222" t="s">
        <v>321</v>
      </c>
      <c r="H222" s="1">
        <v>44194</v>
      </c>
      <c r="I222">
        <v>1</v>
      </c>
      <c r="J222" t="s">
        <v>318</v>
      </c>
      <c r="K222" t="s">
        <v>13</v>
      </c>
      <c r="L222" t="s">
        <v>26</v>
      </c>
      <c r="M222" s="5">
        <v>2065</v>
      </c>
      <c r="N222" s="6">
        <v>5.6575342465753424</v>
      </c>
    </row>
    <row r="223" spans="1:14" x14ac:dyDescent="0.3">
      <c r="A223" t="s">
        <v>880</v>
      </c>
      <c r="B223" t="s">
        <v>881</v>
      </c>
      <c r="C223" t="s">
        <v>882</v>
      </c>
      <c r="D223" t="s">
        <v>24</v>
      </c>
      <c r="E223" t="s">
        <v>44</v>
      </c>
      <c r="F223" s="8">
        <v>69862.38</v>
      </c>
      <c r="G223" t="s">
        <v>321</v>
      </c>
      <c r="H223" s="1">
        <v>43458</v>
      </c>
      <c r="I223">
        <v>1</v>
      </c>
      <c r="J223" t="s">
        <v>318</v>
      </c>
      <c r="K223" t="s">
        <v>13</v>
      </c>
      <c r="L223" t="s">
        <v>14</v>
      </c>
      <c r="M223" s="5">
        <v>2801</v>
      </c>
      <c r="N223" s="6">
        <v>7.6739726027397257</v>
      </c>
    </row>
    <row r="224" spans="1:14" x14ac:dyDescent="0.3">
      <c r="A224" t="s">
        <v>74</v>
      </c>
      <c r="B224" t="s">
        <v>642</v>
      </c>
      <c r="C224" t="s">
        <v>643</v>
      </c>
      <c r="D224" t="s">
        <v>24</v>
      </c>
      <c r="E224" t="s">
        <v>37</v>
      </c>
      <c r="F224" s="8">
        <v>36547.58</v>
      </c>
      <c r="G224" t="s">
        <v>349</v>
      </c>
      <c r="H224" s="1">
        <v>43416</v>
      </c>
      <c r="I224">
        <v>1</v>
      </c>
      <c r="J224" t="s">
        <v>318</v>
      </c>
      <c r="K224" t="s">
        <v>13</v>
      </c>
      <c r="L224" t="s">
        <v>26</v>
      </c>
      <c r="M224" s="5">
        <v>2843</v>
      </c>
      <c r="N224" s="6">
        <v>7.7890410958904113</v>
      </c>
    </row>
    <row r="225" spans="1:14" x14ac:dyDescent="0.3">
      <c r="A225" t="s">
        <v>883</v>
      </c>
      <c r="B225" t="s">
        <v>884</v>
      </c>
      <c r="C225" t="s">
        <v>885</v>
      </c>
      <c r="D225" t="s">
        <v>24</v>
      </c>
      <c r="E225" t="s">
        <v>17</v>
      </c>
      <c r="F225" s="8">
        <v>106400.02</v>
      </c>
      <c r="G225" t="s">
        <v>317</v>
      </c>
      <c r="H225" s="1">
        <v>44021</v>
      </c>
      <c r="I225">
        <v>1</v>
      </c>
      <c r="J225" t="s">
        <v>318</v>
      </c>
      <c r="K225" t="s">
        <v>358</v>
      </c>
      <c r="L225" t="s">
        <v>50</v>
      </c>
      <c r="M225" s="5">
        <v>2238</v>
      </c>
      <c r="N225" s="6">
        <v>6.1315068493150688</v>
      </c>
    </row>
    <row r="226" spans="1:14" x14ac:dyDescent="0.3">
      <c r="A226" t="s">
        <v>886</v>
      </c>
      <c r="B226" t="s">
        <v>887</v>
      </c>
      <c r="C226" t="s">
        <v>888</v>
      </c>
      <c r="D226" t="s">
        <v>24</v>
      </c>
      <c r="E226" t="s">
        <v>44</v>
      </c>
      <c r="F226" s="8">
        <v>103494.94</v>
      </c>
      <c r="G226" t="s">
        <v>317</v>
      </c>
      <c r="H226" s="1">
        <v>43256</v>
      </c>
      <c r="I226">
        <v>1</v>
      </c>
      <c r="J226" t="s">
        <v>318</v>
      </c>
      <c r="K226" t="s">
        <v>13</v>
      </c>
      <c r="L226" t="s">
        <v>26</v>
      </c>
      <c r="M226" s="5">
        <v>3003</v>
      </c>
      <c r="N226" s="6">
        <v>8.2273972602739729</v>
      </c>
    </row>
    <row r="227" spans="1:14" x14ac:dyDescent="0.3">
      <c r="A227" t="s">
        <v>739</v>
      </c>
      <c r="B227" t="s">
        <v>740</v>
      </c>
      <c r="C227" t="s">
        <v>741</v>
      </c>
      <c r="D227" t="s">
        <v>24</v>
      </c>
      <c r="E227" t="s">
        <v>89</v>
      </c>
      <c r="F227" s="8">
        <v>96753.78</v>
      </c>
      <c r="G227" t="s">
        <v>321</v>
      </c>
      <c r="H227" s="1">
        <v>44494</v>
      </c>
      <c r="I227">
        <v>1</v>
      </c>
      <c r="J227" t="s">
        <v>318</v>
      </c>
      <c r="K227" t="s">
        <v>13</v>
      </c>
      <c r="L227" t="s">
        <v>56</v>
      </c>
      <c r="M227" s="5">
        <v>1765</v>
      </c>
      <c r="N227" s="6">
        <v>4.8356164383561646</v>
      </c>
    </row>
    <row r="228" spans="1:14" x14ac:dyDescent="0.3">
      <c r="A228" t="s">
        <v>19</v>
      </c>
      <c r="B228" t="s">
        <v>542</v>
      </c>
      <c r="C228" t="s">
        <v>543</v>
      </c>
      <c r="D228" t="s">
        <v>11</v>
      </c>
      <c r="E228" t="s">
        <v>17</v>
      </c>
      <c r="F228" s="8">
        <v>80695.740000000005</v>
      </c>
      <c r="G228" t="s">
        <v>321</v>
      </c>
      <c r="H228" s="1">
        <v>43360</v>
      </c>
      <c r="I228">
        <v>1</v>
      </c>
      <c r="J228" t="s">
        <v>318</v>
      </c>
      <c r="K228" t="s">
        <v>13</v>
      </c>
      <c r="L228" t="s">
        <v>21</v>
      </c>
      <c r="M228" s="5">
        <v>2899</v>
      </c>
      <c r="N228" s="6">
        <v>7.9424657534246572</v>
      </c>
    </row>
    <row r="229" spans="1:14" x14ac:dyDescent="0.3">
      <c r="A229" t="s">
        <v>889</v>
      </c>
      <c r="B229" t="s">
        <v>890</v>
      </c>
      <c r="C229" t="s">
        <v>891</v>
      </c>
      <c r="D229" t="s">
        <v>11</v>
      </c>
      <c r="E229" t="s">
        <v>34</v>
      </c>
      <c r="F229" s="8">
        <v>61213.01</v>
      </c>
      <c r="G229" t="s">
        <v>321</v>
      </c>
      <c r="H229" s="1">
        <v>44365</v>
      </c>
      <c r="I229">
        <v>1</v>
      </c>
      <c r="J229" t="s">
        <v>318</v>
      </c>
      <c r="K229" t="s">
        <v>13</v>
      </c>
      <c r="L229" t="s">
        <v>50</v>
      </c>
      <c r="M229" s="5">
        <v>1894</v>
      </c>
      <c r="N229" s="6">
        <v>5.1890410958904107</v>
      </c>
    </row>
    <row r="230" spans="1:14" x14ac:dyDescent="0.3">
      <c r="A230" t="s">
        <v>892</v>
      </c>
      <c r="B230" t="s">
        <v>893</v>
      </c>
      <c r="C230" t="s">
        <v>894</v>
      </c>
      <c r="D230" t="s">
        <v>24</v>
      </c>
      <c r="E230" t="s">
        <v>47</v>
      </c>
      <c r="F230" s="8">
        <v>69709.509999999995</v>
      </c>
      <c r="G230" t="s">
        <v>321</v>
      </c>
      <c r="H230" s="1">
        <v>43472</v>
      </c>
      <c r="I230">
        <v>1</v>
      </c>
      <c r="J230" t="s">
        <v>318</v>
      </c>
      <c r="K230" t="s">
        <v>13</v>
      </c>
      <c r="L230" t="s">
        <v>18</v>
      </c>
      <c r="M230" s="5">
        <v>2787</v>
      </c>
      <c r="N230" s="6">
        <v>7.6356164383561644</v>
      </c>
    </row>
    <row r="231" spans="1:14" x14ac:dyDescent="0.3">
      <c r="A231" t="s">
        <v>895</v>
      </c>
      <c r="B231" t="s">
        <v>896</v>
      </c>
      <c r="C231" t="s">
        <v>897</v>
      </c>
      <c r="D231" t="s">
        <v>11</v>
      </c>
      <c r="E231" t="s">
        <v>47</v>
      </c>
      <c r="F231" s="8">
        <v>46751.7</v>
      </c>
      <c r="G231" t="s">
        <v>349</v>
      </c>
      <c r="H231" s="1">
        <v>43843</v>
      </c>
      <c r="I231">
        <v>1</v>
      </c>
      <c r="J231" t="s">
        <v>318</v>
      </c>
      <c r="K231" t="s">
        <v>329</v>
      </c>
      <c r="L231" t="s">
        <v>18</v>
      </c>
      <c r="M231" s="5">
        <v>2416</v>
      </c>
      <c r="N231" s="6">
        <v>6.6191780821917812</v>
      </c>
    </row>
    <row r="232" spans="1:14" x14ac:dyDescent="0.3">
      <c r="A232" t="s">
        <v>68</v>
      </c>
      <c r="B232" t="s">
        <v>898</v>
      </c>
      <c r="C232" t="s">
        <v>899</v>
      </c>
      <c r="D232" t="s">
        <v>24</v>
      </c>
      <c r="E232" t="s">
        <v>62</v>
      </c>
      <c r="F232" s="8">
        <v>77096.05</v>
      </c>
      <c r="G232" t="s">
        <v>321</v>
      </c>
      <c r="H232" s="1">
        <v>43217</v>
      </c>
      <c r="I232">
        <v>1</v>
      </c>
      <c r="J232" t="s">
        <v>318</v>
      </c>
      <c r="K232" t="s">
        <v>13</v>
      </c>
      <c r="L232" t="s">
        <v>50</v>
      </c>
      <c r="M232" s="5">
        <v>3042</v>
      </c>
      <c r="N232" s="6">
        <v>8.3342465753424655</v>
      </c>
    </row>
    <row r="233" spans="1:14" x14ac:dyDescent="0.3">
      <c r="A233" t="s">
        <v>448</v>
      </c>
      <c r="B233" t="s">
        <v>449</v>
      </c>
      <c r="C233" t="s">
        <v>450</v>
      </c>
      <c r="D233" t="s">
        <v>11</v>
      </c>
      <c r="E233" t="s">
        <v>67</v>
      </c>
      <c r="F233" s="8">
        <v>67818.14</v>
      </c>
      <c r="G233" t="s">
        <v>321</v>
      </c>
      <c r="H233" s="1">
        <v>43406</v>
      </c>
      <c r="I233">
        <v>0.6</v>
      </c>
      <c r="J233" t="s">
        <v>322</v>
      </c>
      <c r="K233" t="s">
        <v>329</v>
      </c>
      <c r="L233" t="s">
        <v>26</v>
      </c>
      <c r="M233" s="5">
        <v>2853</v>
      </c>
      <c r="N233" s="6">
        <v>7.816438356164384</v>
      </c>
    </row>
    <row r="234" spans="1:14" x14ac:dyDescent="0.3">
      <c r="A234" t="s">
        <v>900</v>
      </c>
      <c r="B234" t="s">
        <v>901</v>
      </c>
      <c r="C234" t="s">
        <v>902</v>
      </c>
      <c r="D234" t="s">
        <v>24</v>
      </c>
      <c r="E234" t="s">
        <v>67</v>
      </c>
      <c r="F234" s="8">
        <v>77743.149999999994</v>
      </c>
      <c r="G234" t="s">
        <v>321</v>
      </c>
      <c r="H234" s="1">
        <v>43920</v>
      </c>
      <c r="I234">
        <v>1</v>
      </c>
      <c r="J234" t="s">
        <v>318</v>
      </c>
      <c r="K234" t="s">
        <v>13</v>
      </c>
      <c r="L234" t="s">
        <v>50</v>
      </c>
      <c r="M234" s="5">
        <v>2339</v>
      </c>
      <c r="N234" s="6">
        <v>6.4082191780821915</v>
      </c>
    </row>
    <row r="235" spans="1:14" x14ac:dyDescent="0.3">
      <c r="A235" t="s">
        <v>72</v>
      </c>
      <c r="B235" t="s">
        <v>903</v>
      </c>
      <c r="C235" t="s">
        <v>904</v>
      </c>
      <c r="D235" t="s">
        <v>24</v>
      </c>
      <c r="E235" t="s">
        <v>44</v>
      </c>
      <c r="F235" s="8">
        <v>48525.71</v>
      </c>
      <c r="G235" t="s">
        <v>349</v>
      </c>
      <c r="H235" s="1">
        <v>43264</v>
      </c>
      <c r="I235">
        <v>1</v>
      </c>
      <c r="J235" t="s">
        <v>318</v>
      </c>
      <c r="K235" t="s">
        <v>13</v>
      </c>
      <c r="L235" t="s">
        <v>18</v>
      </c>
      <c r="M235" s="5">
        <v>2995</v>
      </c>
      <c r="N235" s="6">
        <v>8.205479452054794</v>
      </c>
    </row>
    <row r="236" spans="1:14" x14ac:dyDescent="0.3">
      <c r="A236" t="s">
        <v>886</v>
      </c>
      <c r="B236" t="s">
        <v>887</v>
      </c>
      <c r="C236" t="s">
        <v>888</v>
      </c>
      <c r="D236" t="s">
        <v>24</v>
      </c>
      <c r="E236" t="s">
        <v>44</v>
      </c>
      <c r="F236" s="8">
        <v>103494.94</v>
      </c>
      <c r="G236" t="s">
        <v>317</v>
      </c>
      <c r="H236" s="1">
        <v>43256</v>
      </c>
      <c r="I236">
        <v>1</v>
      </c>
      <c r="J236" t="s">
        <v>318</v>
      </c>
      <c r="K236" t="s">
        <v>13</v>
      </c>
      <c r="L236" t="s">
        <v>26</v>
      </c>
      <c r="M236" s="5">
        <v>3003</v>
      </c>
      <c r="N236" s="6">
        <v>8.2273972602739729</v>
      </c>
    </row>
    <row r="237" spans="1:14" x14ac:dyDescent="0.3">
      <c r="A237" t="s">
        <v>883</v>
      </c>
      <c r="B237" t="s">
        <v>905</v>
      </c>
      <c r="C237" t="s">
        <v>906</v>
      </c>
      <c r="D237" t="s">
        <v>24</v>
      </c>
      <c r="E237" t="s">
        <v>17</v>
      </c>
      <c r="F237" s="8">
        <v>106400.02</v>
      </c>
      <c r="G237" t="s">
        <v>317</v>
      </c>
      <c r="H237" s="1">
        <v>44021</v>
      </c>
      <c r="I237">
        <v>1</v>
      </c>
      <c r="J237" t="s">
        <v>318</v>
      </c>
      <c r="K237" t="s">
        <v>358</v>
      </c>
      <c r="L237" t="s">
        <v>50</v>
      </c>
      <c r="M237" s="5">
        <v>2238</v>
      </c>
      <c r="N237" s="6">
        <v>6.1315068493150688</v>
      </c>
    </row>
    <row r="238" spans="1:14" x14ac:dyDescent="0.3">
      <c r="A238" t="s">
        <v>907</v>
      </c>
      <c r="B238" t="s">
        <v>908</v>
      </c>
      <c r="C238" t="s">
        <v>909</v>
      </c>
      <c r="D238" t="s">
        <v>24</v>
      </c>
      <c r="E238" t="s">
        <v>44</v>
      </c>
      <c r="F238" s="8">
        <v>65569.36</v>
      </c>
      <c r="G238" t="s">
        <v>321</v>
      </c>
      <c r="H238" s="1">
        <v>43293</v>
      </c>
      <c r="I238">
        <v>1</v>
      </c>
      <c r="J238" t="s">
        <v>318</v>
      </c>
      <c r="K238" t="s">
        <v>329</v>
      </c>
      <c r="L238" t="s">
        <v>56</v>
      </c>
      <c r="M238" s="5">
        <v>2966</v>
      </c>
      <c r="N238" s="6">
        <v>8.1260273972602732</v>
      </c>
    </row>
    <row r="239" spans="1:14" x14ac:dyDescent="0.3">
      <c r="A239" t="s">
        <v>661</v>
      </c>
      <c r="B239" t="s">
        <v>910</v>
      </c>
      <c r="C239" t="s">
        <v>911</v>
      </c>
      <c r="D239" t="s">
        <v>24</v>
      </c>
      <c r="E239" t="s">
        <v>67</v>
      </c>
      <c r="F239" s="8">
        <v>40445.29</v>
      </c>
      <c r="G239" t="s">
        <v>349</v>
      </c>
      <c r="H239" s="1">
        <v>44393</v>
      </c>
      <c r="I239">
        <v>1</v>
      </c>
      <c r="J239" t="s">
        <v>318</v>
      </c>
      <c r="K239" t="s">
        <v>13</v>
      </c>
      <c r="L239" t="s">
        <v>50</v>
      </c>
      <c r="M239" s="5">
        <v>1866</v>
      </c>
      <c r="N239" s="6">
        <v>5.1123287671232873</v>
      </c>
    </row>
    <row r="240" spans="1:14" x14ac:dyDescent="0.3">
      <c r="A240" t="s">
        <v>912</v>
      </c>
      <c r="B240" t="s">
        <v>913</v>
      </c>
      <c r="C240" t="s">
        <v>914</v>
      </c>
      <c r="D240" t="s">
        <v>11</v>
      </c>
      <c r="E240" t="s">
        <v>316</v>
      </c>
      <c r="F240" s="8">
        <v>114772.32</v>
      </c>
      <c r="G240" t="s">
        <v>317</v>
      </c>
      <c r="H240" s="1">
        <v>44251</v>
      </c>
      <c r="I240">
        <v>1</v>
      </c>
      <c r="J240" t="s">
        <v>318</v>
      </c>
      <c r="K240" t="s">
        <v>13</v>
      </c>
      <c r="L240" t="s">
        <v>21</v>
      </c>
      <c r="M240" s="5">
        <v>2008</v>
      </c>
      <c r="N240" s="6">
        <v>5.5013698630136982</v>
      </c>
    </row>
    <row r="241" spans="1:14" x14ac:dyDescent="0.3">
      <c r="A241" t="s">
        <v>915</v>
      </c>
      <c r="B241" t="s">
        <v>916</v>
      </c>
      <c r="C241" t="s">
        <v>917</v>
      </c>
      <c r="D241" t="s">
        <v>11</v>
      </c>
      <c r="E241" t="s">
        <v>12</v>
      </c>
      <c r="F241" s="8">
        <v>56253.81</v>
      </c>
      <c r="G241" t="s">
        <v>321</v>
      </c>
      <c r="H241" s="1">
        <v>44421</v>
      </c>
      <c r="I241">
        <v>1</v>
      </c>
      <c r="J241" t="s">
        <v>318</v>
      </c>
      <c r="K241" t="s">
        <v>13</v>
      </c>
      <c r="L241" t="s">
        <v>56</v>
      </c>
      <c r="M241" s="5">
        <v>1838</v>
      </c>
      <c r="N241" s="6">
        <v>5.0356164383561648</v>
      </c>
    </row>
    <row r="242" spans="1:14" x14ac:dyDescent="0.3">
      <c r="A242" t="s">
        <v>918</v>
      </c>
      <c r="B242" t="s">
        <v>919</v>
      </c>
      <c r="C242" t="s">
        <v>920</v>
      </c>
      <c r="D242" t="s">
        <v>11</v>
      </c>
      <c r="E242" t="s">
        <v>67</v>
      </c>
      <c r="F242" s="8">
        <v>51798.25</v>
      </c>
      <c r="G242" t="s">
        <v>321</v>
      </c>
      <c r="H242" s="1">
        <v>43665</v>
      </c>
      <c r="I242">
        <v>1</v>
      </c>
      <c r="J242" t="s">
        <v>318</v>
      </c>
      <c r="K242" t="s">
        <v>13</v>
      </c>
      <c r="L242" t="s">
        <v>18</v>
      </c>
      <c r="M242" s="5">
        <v>2594</v>
      </c>
      <c r="N242" s="6">
        <v>7.1068493150684935</v>
      </c>
    </row>
    <row r="243" spans="1:14" x14ac:dyDescent="0.3">
      <c r="A243" t="s">
        <v>921</v>
      </c>
      <c r="B243" t="s">
        <v>922</v>
      </c>
      <c r="C243" t="s">
        <v>923</v>
      </c>
      <c r="D243" t="s">
        <v>24</v>
      </c>
      <c r="E243" t="s">
        <v>44</v>
      </c>
      <c r="F243" s="8">
        <v>28329.77</v>
      </c>
      <c r="G243" t="s">
        <v>349</v>
      </c>
      <c r="H243" s="1">
        <v>43402</v>
      </c>
      <c r="I243">
        <v>1</v>
      </c>
      <c r="J243" t="s">
        <v>318</v>
      </c>
      <c r="K243" t="s">
        <v>13</v>
      </c>
      <c r="L243" t="s">
        <v>53</v>
      </c>
      <c r="M243" s="5">
        <v>2857</v>
      </c>
      <c r="N243" s="6">
        <v>7.8273972602739725</v>
      </c>
    </row>
    <row r="244" spans="1:14" x14ac:dyDescent="0.3">
      <c r="A244" t="s">
        <v>924</v>
      </c>
      <c r="B244" t="s">
        <v>925</v>
      </c>
      <c r="C244" t="s">
        <v>926</v>
      </c>
      <c r="D244" t="s">
        <v>11</v>
      </c>
      <c r="E244" t="s">
        <v>12</v>
      </c>
      <c r="F244" s="8">
        <v>93964.3</v>
      </c>
      <c r="G244" t="s">
        <v>321</v>
      </c>
      <c r="H244" s="1">
        <v>44454</v>
      </c>
      <c r="I244">
        <v>0.4</v>
      </c>
      <c r="J244" t="s">
        <v>322</v>
      </c>
      <c r="K244" t="s">
        <v>329</v>
      </c>
      <c r="L244" t="s">
        <v>18</v>
      </c>
      <c r="M244" s="5">
        <v>1805</v>
      </c>
      <c r="N244" s="6">
        <v>4.9452054794520546</v>
      </c>
    </row>
    <row r="245" spans="1:14" x14ac:dyDescent="0.3">
      <c r="A245" t="s">
        <v>927</v>
      </c>
      <c r="B245" t="s">
        <v>402</v>
      </c>
      <c r="C245" t="s">
        <v>403</v>
      </c>
      <c r="D245" t="s">
        <v>24</v>
      </c>
      <c r="E245" t="s">
        <v>17</v>
      </c>
      <c r="F245" s="8">
        <v>90884.32</v>
      </c>
      <c r="G245" t="s">
        <v>321</v>
      </c>
      <c r="H245" s="1">
        <v>44039</v>
      </c>
      <c r="I245">
        <v>0.5</v>
      </c>
      <c r="J245" t="s">
        <v>322</v>
      </c>
      <c r="K245" t="s">
        <v>13</v>
      </c>
      <c r="L245" t="s">
        <v>21</v>
      </c>
      <c r="M245" s="5">
        <v>2220</v>
      </c>
      <c r="N245" s="6">
        <v>6.0821917808219181</v>
      </c>
    </row>
    <row r="246" spans="1:14" x14ac:dyDescent="0.3">
      <c r="A246" t="s">
        <v>60</v>
      </c>
      <c r="B246" t="s">
        <v>928</v>
      </c>
      <c r="C246" t="s">
        <v>929</v>
      </c>
      <c r="D246" t="s">
        <v>24</v>
      </c>
      <c r="E246" t="s">
        <v>62</v>
      </c>
      <c r="F246" s="8">
        <v>84742.86</v>
      </c>
      <c r="G246" t="s">
        <v>321</v>
      </c>
      <c r="H246" s="1">
        <v>44098</v>
      </c>
      <c r="I246">
        <v>1</v>
      </c>
      <c r="J246" t="s">
        <v>318</v>
      </c>
      <c r="K246" t="s">
        <v>13</v>
      </c>
      <c r="L246" t="s">
        <v>56</v>
      </c>
      <c r="M246" s="5">
        <v>2161</v>
      </c>
      <c r="N246" s="6">
        <v>5.9205479452054792</v>
      </c>
    </row>
    <row r="247" spans="1:14" x14ac:dyDescent="0.3">
      <c r="A247" t="s">
        <v>930</v>
      </c>
      <c r="B247" t="s">
        <v>931</v>
      </c>
      <c r="C247" t="s">
        <v>932</v>
      </c>
      <c r="D247" t="s">
        <v>24</v>
      </c>
      <c r="E247" t="s">
        <v>89</v>
      </c>
      <c r="F247" s="8">
        <v>80772.92</v>
      </c>
      <c r="G247" t="s">
        <v>321</v>
      </c>
      <c r="H247" s="1">
        <v>44137</v>
      </c>
      <c r="I247">
        <v>1</v>
      </c>
      <c r="J247" t="s">
        <v>318</v>
      </c>
      <c r="K247" t="s">
        <v>358</v>
      </c>
      <c r="L247" t="s">
        <v>26</v>
      </c>
      <c r="M247" s="5">
        <v>2122</v>
      </c>
      <c r="N247" s="6">
        <v>5.8136986301369866</v>
      </c>
    </row>
    <row r="248" spans="1:14" x14ac:dyDescent="0.3">
      <c r="A248" t="s">
        <v>933</v>
      </c>
      <c r="B248" t="s">
        <v>934</v>
      </c>
      <c r="C248" t="s">
        <v>935</v>
      </c>
      <c r="D248" t="s">
        <v>11</v>
      </c>
      <c r="E248" t="s">
        <v>44</v>
      </c>
      <c r="F248" s="8">
        <v>85264.38</v>
      </c>
      <c r="G248" t="s">
        <v>321</v>
      </c>
      <c r="H248" s="1">
        <v>43220</v>
      </c>
      <c r="I248">
        <v>1</v>
      </c>
      <c r="J248" t="s">
        <v>318</v>
      </c>
      <c r="K248" t="s">
        <v>13</v>
      </c>
      <c r="L248" t="s">
        <v>50</v>
      </c>
      <c r="M248" s="5">
        <v>3039</v>
      </c>
      <c r="N248" s="6">
        <v>8.3260273972602743</v>
      </c>
    </row>
    <row r="249" spans="1:14" x14ac:dyDescent="0.3">
      <c r="A249" t="s">
        <v>507</v>
      </c>
      <c r="B249" t="s">
        <v>508</v>
      </c>
      <c r="C249" t="s">
        <v>509</v>
      </c>
      <c r="D249" t="s">
        <v>24</v>
      </c>
      <c r="E249" t="s">
        <v>34</v>
      </c>
      <c r="F249" s="8">
        <v>113747.56</v>
      </c>
      <c r="G249" t="s">
        <v>317</v>
      </c>
      <c r="H249" s="1">
        <v>44270</v>
      </c>
      <c r="I249">
        <v>0.7</v>
      </c>
      <c r="J249" t="s">
        <v>322</v>
      </c>
      <c r="K249" t="s">
        <v>358</v>
      </c>
      <c r="L249" t="s">
        <v>21</v>
      </c>
      <c r="M249" s="5">
        <v>1989</v>
      </c>
      <c r="N249" s="6">
        <v>5.4493150684931511</v>
      </c>
    </row>
    <row r="250" spans="1:14" x14ac:dyDescent="0.3">
      <c r="A250" t="s">
        <v>94</v>
      </c>
      <c r="B250" t="s">
        <v>936</v>
      </c>
      <c r="C250" t="s">
        <v>937</v>
      </c>
      <c r="D250" t="s">
        <v>11</v>
      </c>
      <c r="E250" t="s">
        <v>59</v>
      </c>
      <c r="F250" s="8">
        <v>78378.2</v>
      </c>
      <c r="G250" t="s">
        <v>321</v>
      </c>
      <c r="H250" s="1">
        <v>43465</v>
      </c>
      <c r="I250">
        <v>0.4</v>
      </c>
      <c r="J250" t="s">
        <v>322</v>
      </c>
      <c r="K250" t="s">
        <v>13</v>
      </c>
      <c r="L250" t="s">
        <v>26</v>
      </c>
      <c r="M250" s="5">
        <v>2794</v>
      </c>
      <c r="N250" s="6">
        <v>7.6547945205479451</v>
      </c>
    </row>
    <row r="251" spans="1:14" x14ac:dyDescent="0.3">
      <c r="A251" t="s">
        <v>938</v>
      </c>
      <c r="B251" t="s">
        <v>939</v>
      </c>
      <c r="C251" t="s">
        <v>940</v>
      </c>
      <c r="D251" t="s">
        <v>24</v>
      </c>
      <c r="E251" t="s">
        <v>89</v>
      </c>
      <c r="F251" s="8">
        <v>91314.75</v>
      </c>
      <c r="G251" t="s">
        <v>321</v>
      </c>
      <c r="H251" s="1">
        <v>43931</v>
      </c>
      <c r="I251">
        <v>1</v>
      </c>
      <c r="J251" t="s">
        <v>318</v>
      </c>
      <c r="K251" t="s">
        <v>329</v>
      </c>
      <c r="L251" t="s">
        <v>53</v>
      </c>
      <c r="M251" s="5">
        <v>2328</v>
      </c>
      <c r="N251" s="6">
        <v>6.3780821917808215</v>
      </c>
    </row>
    <row r="252" spans="1:14" x14ac:dyDescent="0.3">
      <c r="A252" t="s">
        <v>114</v>
      </c>
      <c r="B252" t="s">
        <v>941</v>
      </c>
      <c r="C252" t="s">
        <v>942</v>
      </c>
      <c r="D252" t="s">
        <v>24</v>
      </c>
      <c r="E252" t="s">
        <v>34</v>
      </c>
      <c r="F252" s="8">
        <v>66572.58</v>
      </c>
      <c r="G252" t="s">
        <v>321</v>
      </c>
      <c r="H252" s="1">
        <v>44193</v>
      </c>
      <c r="I252">
        <v>1</v>
      </c>
      <c r="J252" t="s">
        <v>318</v>
      </c>
      <c r="K252" t="s">
        <v>13</v>
      </c>
      <c r="L252" t="s">
        <v>50</v>
      </c>
      <c r="M252" s="5">
        <v>2066</v>
      </c>
      <c r="N252" s="6">
        <v>5.6602739726027398</v>
      </c>
    </row>
    <row r="253" spans="1:14" x14ac:dyDescent="0.3">
      <c r="A253" t="s">
        <v>943</v>
      </c>
      <c r="B253" t="s">
        <v>944</v>
      </c>
      <c r="C253" t="s">
        <v>945</v>
      </c>
      <c r="D253" t="s">
        <v>24</v>
      </c>
      <c r="E253" t="s">
        <v>82</v>
      </c>
      <c r="F253" s="8">
        <v>30077.45</v>
      </c>
      <c r="G253" t="s">
        <v>349</v>
      </c>
      <c r="H253" s="1">
        <v>43474</v>
      </c>
      <c r="I253">
        <v>1</v>
      </c>
      <c r="J253" t="s">
        <v>318</v>
      </c>
      <c r="K253" t="s">
        <v>13</v>
      </c>
      <c r="L253" t="s">
        <v>14</v>
      </c>
      <c r="M253" s="5">
        <v>2785</v>
      </c>
      <c r="N253" s="6">
        <v>7.6301369863013697</v>
      </c>
    </row>
    <row r="254" spans="1:14" x14ac:dyDescent="0.3">
      <c r="A254" t="s">
        <v>946</v>
      </c>
      <c r="B254" t="s">
        <v>947</v>
      </c>
      <c r="C254" t="s">
        <v>948</v>
      </c>
      <c r="D254" t="s">
        <v>2134</v>
      </c>
      <c r="E254" t="s">
        <v>37</v>
      </c>
      <c r="F254" s="8">
        <v>98012.63</v>
      </c>
      <c r="G254" t="s">
        <v>321</v>
      </c>
      <c r="H254" s="1">
        <v>43780</v>
      </c>
      <c r="I254">
        <v>1</v>
      </c>
      <c r="J254" t="s">
        <v>318</v>
      </c>
      <c r="K254" t="s">
        <v>13</v>
      </c>
      <c r="L254" t="s">
        <v>26</v>
      </c>
      <c r="M254" s="5">
        <v>2479</v>
      </c>
      <c r="N254" s="6">
        <v>6.7917808219178086</v>
      </c>
    </row>
    <row r="255" spans="1:14" x14ac:dyDescent="0.3">
      <c r="A255" t="s">
        <v>112</v>
      </c>
      <c r="B255" t="s">
        <v>485</v>
      </c>
      <c r="C255" t="s">
        <v>486</v>
      </c>
      <c r="D255" t="s">
        <v>24</v>
      </c>
      <c r="E255" t="s">
        <v>44</v>
      </c>
      <c r="F255" s="8">
        <v>72876.91</v>
      </c>
      <c r="G255" t="s">
        <v>321</v>
      </c>
      <c r="H255" s="1">
        <v>43837</v>
      </c>
      <c r="I255">
        <v>1</v>
      </c>
      <c r="J255" t="s">
        <v>318</v>
      </c>
      <c r="K255" t="s">
        <v>13</v>
      </c>
      <c r="L255" t="s">
        <v>26</v>
      </c>
      <c r="M255" s="5">
        <v>2422</v>
      </c>
      <c r="N255" s="6">
        <v>6.6356164383561644</v>
      </c>
    </row>
    <row r="256" spans="1:14" x14ac:dyDescent="0.3">
      <c r="A256" t="s">
        <v>949</v>
      </c>
      <c r="B256" t="s">
        <v>950</v>
      </c>
      <c r="C256" t="s">
        <v>951</v>
      </c>
      <c r="D256" t="s">
        <v>24</v>
      </c>
      <c r="E256" t="s">
        <v>59</v>
      </c>
      <c r="F256" s="8">
        <v>92943.89</v>
      </c>
      <c r="G256" t="s">
        <v>321</v>
      </c>
      <c r="H256" s="1">
        <v>44510</v>
      </c>
      <c r="I256">
        <v>1</v>
      </c>
      <c r="J256" t="s">
        <v>318</v>
      </c>
      <c r="K256" t="s">
        <v>13</v>
      </c>
      <c r="L256" t="s">
        <v>18</v>
      </c>
      <c r="M256" s="5">
        <v>1749</v>
      </c>
      <c r="N256" s="6">
        <v>4.7917808219178086</v>
      </c>
    </row>
    <row r="257" spans="1:14" x14ac:dyDescent="0.3">
      <c r="A257" t="s">
        <v>952</v>
      </c>
      <c r="B257" t="s">
        <v>953</v>
      </c>
      <c r="C257" t="s">
        <v>954</v>
      </c>
      <c r="D257" t="s">
        <v>11</v>
      </c>
      <c r="E257" t="s">
        <v>44</v>
      </c>
      <c r="F257" s="8">
        <v>29808.07</v>
      </c>
      <c r="G257" t="s">
        <v>349</v>
      </c>
      <c r="H257" s="1">
        <v>43291</v>
      </c>
      <c r="I257">
        <v>0.3</v>
      </c>
      <c r="J257" t="s">
        <v>322</v>
      </c>
      <c r="K257" t="s">
        <v>358</v>
      </c>
      <c r="L257" t="s">
        <v>18</v>
      </c>
      <c r="M257" s="5">
        <v>2968</v>
      </c>
      <c r="N257" s="6">
        <v>8.131506849315068</v>
      </c>
    </row>
    <row r="258" spans="1:14" x14ac:dyDescent="0.3">
      <c r="A258" t="s">
        <v>123</v>
      </c>
      <c r="B258" t="s">
        <v>955</v>
      </c>
      <c r="C258" t="s">
        <v>956</v>
      </c>
      <c r="D258" t="s">
        <v>11</v>
      </c>
      <c r="E258" t="s">
        <v>89</v>
      </c>
      <c r="F258" s="8">
        <v>47551.89</v>
      </c>
      <c r="G258" t="s">
        <v>349</v>
      </c>
      <c r="H258" s="1">
        <v>43468</v>
      </c>
      <c r="I258">
        <v>1</v>
      </c>
      <c r="J258" t="s">
        <v>318</v>
      </c>
      <c r="K258" t="s">
        <v>13</v>
      </c>
      <c r="L258" t="s">
        <v>56</v>
      </c>
      <c r="M258" s="5">
        <v>2791</v>
      </c>
      <c r="N258" s="6">
        <v>7.646575342465753</v>
      </c>
    </row>
    <row r="259" spans="1:14" x14ac:dyDescent="0.3">
      <c r="A259" t="s">
        <v>473</v>
      </c>
      <c r="B259" t="s">
        <v>957</v>
      </c>
      <c r="C259" t="s">
        <v>958</v>
      </c>
      <c r="D259" t="s">
        <v>11</v>
      </c>
      <c r="E259" t="s">
        <v>47</v>
      </c>
      <c r="F259" s="8">
        <v>39700.82</v>
      </c>
      <c r="G259" t="s">
        <v>349</v>
      </c>
      <c r="H259" s="1">
        <v>44203</v>
      </c>
      <c r="I259">
        <v>0.8</v>
      </c>
      <c r="J259" t="s">
        <v>322</v>
      </c>
      <c r="K259" t="s">
        <v>13</v>
      </c>
      <c r="L259" t="s">
        <v>50</v>
      </c>
      <c r="M259" s="5">
        <v>2056</v>
      </c>
      <c r="N259" s="6">
        <v>5.6328767123287671</v>
      </c>
    </row>
    <row r="260" spans="1:14" x14ac:dyDescent="0.3">
      <c r="A260" t="s">
        <v>959</v>
      </c>
      <c r="B260" t="s">
        <v>960</v>
      </c>
      <c r="C260" t="s">
        <v>961</v>
      </c>
      <c r="D260" t="s">
        <v>11</v>
      </c>
      <c r="E260" t="s">
        <v>34</v>
      </c>
      <c r="F260" s="8">
        <v>31089.22</v>
      </c>
      <c r="G260" t="s">
        <v>349</v>
      </c>
      <c r="H260" s="1">
        <v>43776</v>
      </c>
      <c r="I260">
        <v>1</v>
      </c>
      <c r="J260" t="s">
        <v>318</v>
      </c>
      <c r="K260" t="s">
        <v>329</v>
      </c>
      <c r="L260" t="s">
        <v>50</v>
      </c>
      <c r="M260" s="5">
        <v>2483</v>
      </c>
      <c r="N260" s="6">
        <v>6.8027397260273972</v>
      </c>
    </row>
    <row r="261" spans="1:14" x14ac:dyDescent="0.3">
      <c r="A261" t="s">
        <v>962</v>
      </c>
      <c r="B261" t="s">
        <v>963</v>
      </c>
      <c r="C261" t="s">
        <v>964</v>
      </c>
      <c r="D261" t="s">
        <v>11</v>
      </c>
      <c r="E261" t="s">
        <v>89</v>
      </c>
      <c r="F261" s="8">
        <v>78020.39</v>
      </c>
      <c r="G261" t="s">
        <v>321</v>
      </c>
      <c r="H261" s="1">
        <v>43899</v>
      </c>
      <c r="I261">
        <v>1</v>
      </c>
      <c r="J261" t="s">
        <v>318</v>
      </c>
      <c r="K261" t="s">
        <v>13</v>
      </c>
      <c r="L261" t="s">
        <v>26</v>
      </c>
      <c r="M261" s="5">
        <v>2360</v>
      </c>
      <c r="N261" s="6">
        <v>6.4657534246575343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4C87-025C-41B8-BD23-CC8B41537081}">
  <dimension ref="C4:J81"/>
  <sheetViews>
    <sheetView topLeftCell="A45" workbookViewId="0">
      <selection activeCell="G28" sqref="G28"/>
    </sheetView>
  </sheetViews>
  <sheetFormatPr defaultRowHeight="14.4" x14ac:dyDescent="0.3"/>
  <cols>
    <col min="3" max="3" width="20.6640625" customWidth="1"/>
    <col min="4" max="4" width="19.88671875" customWidth="1"/>
    <col min="5" max="5" width="21.6640625" customWidth="1"/>
    <col min="6" max="6" width="17.44140625" customWidth="1"/>
    <col min="8" max="8" width="20.44140625" customWidth="1"/>
    <col min="9" max="9" width="21.21875" customWidth="1"/>
    <col min="10" max="10" width="20.6640625" customWidth="1"/>
  </cols>
  <sheetData>
    <row r="4" spans="3:10" x14ac:dyDescent="0.3">
      <c r="C4" s="9" t="s">
        <v>3</v>
      </c>
      <c r="D4" s="9" t="s">
        <v>965</v>
      </c>
      <c r="E4" s="9" t="s">
        <v>966</v>
      </c>
      <c r="F4" s="9" t="s">
        <v>967</v>
      </c>
      <c r="H4" s="11" t="s">
        <v>13</v>
      </c>
      <c r="I4" s="11" t="s">
        <v>329</v>
      </c>
      <c r="J4" s="11" t="s">
        <v>358</v>
      </c>
    </row>
    <row r="5" spans="3:10" x14ac:dyDescent="0.3">
      <c r="C5" t="str" cm="1">
        <f t="array" ref="C5:C17">_xlfn.UNIQUE(Staff[Department])</f>
        <v>Doctor</v>
      </c>
      <c r="D5" cm="1">
        <f t="array" ref="D5:D16">COUNTIFS(Staff[Department],C5:C16)</f>
        <v>8</v>
      </c>
      <c r="E5" s="10" cm="1">
        <f t="array" ref="E5:E17">SUMIFS(Staff[Salary],Staff[Department],_xlfn.ANCHORARRAY(C5))</f>
        <v>729434.35000000009</v>
      </c>
      <c r="F5" s="7" cm="1">
        <f t="array" ref="F5:F17">AVERAGEIFS(Staff[Salary],Staff[Department],_xlfn.ANCHORARRAY(C5))</f>
        <v>91179.293750000012</v>
      </c>
      <c r="H5" cm="1">
        <f t="array" ref="H5:H17">COUNTIFS(Staff[Employee type],"Permanent",Staff[Department],_xlfn.ANCHORARRAY(C5))</f>
        <v>7</v>
      </c>
      <c r="I5" cm="1">
        <f t="array" ref="I5:I17">COUNTIFS(Staff[Employee type],"Fixed Term",Staff[Department],_xlfn.ANCHORARRAY(C5))</f>
        <v>1</v>
      </c>
      <c r="J5" cm="1">
        <f t="array" ref="J5:J17">COUNTIFS(Staff[Employee type],"Temporary",Staff[Department],_xlfn.ANCHORARRAY(C5))</f>
        <v>0</v>
      </c>
    </row>
    <row r="6" spans="3:10" x14ac:dyDescent="0.3">
      <c r="C6" t="str">
        <v>Business Development</v>
      </c>
      <c r="D6">
        <v>26</v>
      </c>
      <c r="E6" s="10">
        <v>2074326.9500000004</v>
      </c>
      <c r="F6" s="7">
        <v>79781.805769230792</v>
      </c>
      <c r="H6">
        <v>18</v>
      </c>
      <c r="I6">
        <v>4</v>
      </c>
      <c r="J6">
        <v>4</v>
      </c>
    </row>
    <row r="7" spans="3:10" x14ac:dyDescent="0.3">
      <c r="C7" t="str">
        <v>Services</v>
      </c>
      <c r="D7">
        <v>21</v>
      </c>
      <c r="E7" s="10">
        <v>1568153.4700000002</v>
      </c>
      <c r="F7" s="7">
        <v>74673.97476190477</v>
      </c>
      <c r="H7">
        <v>16</v>
      </c>
      <c r="I7">
        <v>3</v>
      </c>
      <c r="J7">
        <v>2</v>
      </c>
    </row>
    <row r="8" spans="3:10" x14ac:dyDescent="0.3">
      <c r="C8" t="str">
        <v>Training</v>
      </c>
      <c r="D8">
        <v>24</v>
      </c>
      <c r="E8" s="10">
        <v>2013215.1600000001</v>
      </c>
      <c r="F8" s="7">
        <v>83883.965000000011</v>
      </c>
      <c r="H8">
        <v>11</v>
      </c>
      <c r="I8">
        <v>6</v>
      </c>
      <c r="J8">
        <v>7</v>
      </c>
    </row>
    <row r="9" spans="3:10" x14ac:dyDescent="0.3">
      <c r="C9" t="str">
        <v>Engineering</v>
      </c>
      <c r="D9">
        <v>18</v>
      </c>
      <c r="E9" s="10">
        <v>1401953.1400000001</v>
      </c>
      <c r="F9" s="7">
        <v>77886.285555555558</v>
      </c>
      <c r="H9">
        <v>9</v>
      </c>
      <c r="I9">
        <v>4</v>
      </c>
      <c r="J9">
        <v>5</v>
      </c>
    </row>
    <row r="10" spans="3:10" x14ac:dyDescent="0.3">
      <c r="C10" t="str">
        <v>Support</v>
      </c>
      <c r="D10">
        <v>17</v>
      </c>
      <c r="E10" s="10">
        <v>1129351.7499999998</v>
      </c>
      <c r="F10" s="7">
        <v>66432.455882352922</v>
      </c>
      <c r="H10">
        <v>11</v>
      </c>
      <c r="I10">
        <v>3</v>
      </c>
      <c r="J10">
        <v>3</v>
      </c>
    </row>
    <row r="11" spans="3:10" x14ac:dyDescent="0.3">
      <c r="C11" t="str">
        <v>Marketing</v>
      </c>
      <c r="D11">
        <v>12</v>
      </c>
      <c r="E11" s="10">
        <v>773295.6</v>
      </c>
      <c r="F11" s="7">
        <v>64441.299999999996</v>
      </c>
      <c r="H11">
        <v>9</v>
      </c>
      <c r="I11">
        <v>2</v>
      </c>
      <c r="J11">
        <v>1</v>
      </c>
    </row>
    <row r="12" spans="3:10" x14ac:dyDescent="0.3">
      <c r="C12" t="str">
        <v>Research and Development</v>
      </c>
      <c r="D12">
        <v>18</v>
      </c>
      <c r="E12" s="10">
        <v>1204393.78</v>
      </c>
      <c r="F12" s="7">
        <v>66910.765555555554</v>
      </c>
      <c r="H12">
        <v>11</v>
      </c>
      <c r="I12">
        <v>4</v>
      </c>
      <c r="J12">
        <v>3</v>
      </c>
    </row>
    <row r="13" spans="3:10" x14ac:dyDescent="0.3">
      <c r="C13" t="str">
        <v>Human Resources</v>
      </c>
      <c r="D13">
        <v>22</v>
      </c>
      <c r="E13" s="10">
        <v>1608406.31</v>
      </c>
      <c r="F13" s="7">
        <v>73109.377727272731</v>
      </c>
      <c r="H13">
        <v>13</v>
      </c>
      <c r="I13">
        <v>6</v>
      </c>
      <c r="J13">
        <v>3</v>
      </c>
    </row>
    <row r="14" spans="3:10" x14ac:dyDescent="0.3">
      <c r="C14" t="str">
        <v>Accounting</v>
      </c>
      <c r="D14">
        <v>26</v>
      </c>
      <c r="E14" s="10">
        <v>1814980.5899999999</v>
      </c>
      <c r="F14" s="7">
        <v>69806.945769230762</v>
      </c>
      <c r="H14">
        <v>18</v>
      </c>
      <c r="I14">
        <v>4</v>
      </c>
      <c r="J14">
        <v>4</v>
      </c>
    </row>
    <row r="15" spans="3:10" x14ac:dyDescent="0.3">
      <c r="C15" t="str">
        <v>Sales</v>
      </c>
      <c r="D15">
        <v>18</v>
      </c>
      <c r="E15" s="10">
        <v>1294147.72</v>
      </c>
      <c r="F15" s="7">
        <v>71897.095555555556</v>
      </c>
      <c r="H15">
        <v>13</v>
      </c>
      <c r="I15">
        <v>3</v>
      </c>
      <c r="J15">
        <v>2</v>
      </c>
    </row>
    <row r="16" spans="3:10" x14ac:dyDescent="0.3">
      <c r="C16" t="str">
        <v>Product Management</v>
      </c>
      <c r="D16">
        <v>29</v>
      </c>
      <c r="E16" s="10">
        <v>2180192.8699999996</v>
      </c>
      <c r="F16" s="7">
        <v>75179.064482758607</v>
      </c>
      <c r="H16">
        <v>19</v>
      </c>
      <c r="I16">
        <v>7</v>
      </c>
      <c r="J16">
        <v>3</v>
      </c>
    </row>
    <row r="17" spans="3:10" x14ac:dyDescent="0.3">
      <c r="C17" t="str">
        <v>Legal</v>
      </c>
      <c r="E17" s="10">
        <v>1412092.8699999999</v>
      </c>
      <c r="F17" s="7">
        <v>67242.51761904762</v>
      </c>
      <c r="H17">
        <v>13</v>
      </c>
      <c r="I17">
        <v>3</v>
      </c>
      <c r="J17">
        <v>5</v>
      </c>
    </row>
    <row r="20" spans="3:10" ht="21" x14ac:dyDescent="0.4">
      <c r="C20" s="13" t="s">
        <v>968</v>
      </c>
      <c r="D20" s="14"/>
      <c r="E20" s="14"/>
    </row>
    <row r="21" spans="3:10" x14ac:dyDescent="0.3">
      <c r="C21" t="str" cm="1">
        <f t="array" ref="C21:H38">_xlfn._xlws.FILTER(Staff[[First Name]:[Salary Bucket]],(Staff[Salary]&gt;100000)*(Staff[Gender]="Female"))</f>
        <v>Mick</v>
      </c>
      <c r="D21" t="str">
        <v>Spraberry</v>
      </c>
      <c r="E21" t="str">
        <v>Female</v>
      </c>
      <c r="F21" t="str">
        <v>Services</v>
      </c>
      <c r="G21">
        <v>120000</v>
      </c>
      <c r="H21" t="str">
        <v>good</v>
      </c>
    </row>
    <row r="22" spans="3:10" x14ac:dyDescent="0.3">
      <c r="C22" t="str">
        <v>Cletus</v>
      </c>
      <c r="D22" t="str">
        <v>McGarahan</v>
      </c>
      <c r="E22" t="str">
        <v>Female</v>
      </c>
      <c r="F22" t="str">
        <v>Engineering</v>
      </c>
      <c r="G22">
        <v>114425.19</v>
      </c>
      <c r="H22" t="str">
        <v>good</v>
      </c>
    </row>
    <row r="23" spans="3:10" x14ac:dyDescent="0.3">
      <c r="C23" t="str">
        <v>Nickolai</v>
      </c>
      <c r="D23" t="str">
        <v>Artin</v>
      </c>
      <c r="E23" t="str">
        <v>Female</v>
      </c>
      <c r="F23" t="str">
        <v>Product Management</v>
      </c>
      <c r="G23">
        <v>110906.35</v>
      </c>
      <c r="H23" t="str">
        <v>good</v>
      </c>
    </row>
    <row r="24" spans="3:10" x14ac:dyDescent="0.3">
      <c r="C24" t="str">
        <v>Shaylyn</v>
      </c>
      <c r="D24" t="str">
        <v>Ransbury</v>
      </c>
      <c r="E24" t="str">
        <v>Female</v>
      </c>
      <c r="F24" t="str">
        <v>Support</v>
      </c>
      <c r="G24">
        <v>100371.31</v>
      </c>
      <c r="H24" t="str">
        <v>good</v>
      </c>
    </row>
    <row r="25" spans="3:10" x14ac:dyDescent="0.3">
      <c r="C25" t="str">
        <v>Gowri</v>
      </c>
      <c r="D25" t="str">
        <v>Sankar Chakrala</v>
      </c>
      <c r="E25" t="str">
        <v>Female</v>
      </c>
      <c r="F25" t="str">
        <v>Training</v>
      </c>
      <c r="G25">
        <v>102934.09</v>
      </c>
      <c r="H25" t="str">
        <v>good</v>
      </c>
    </row>
    <row r="26" spans="3:10" x14ac:dyDescent="0.3">
      <c r="C26" t="str">
        <v>Prasanna</v>
      </c>
      <c r="D26" t="str">
        <v>Lakshmi Payasam</v>
      </c>
      <c r="E26" t="str">
        <v>Female</v>
      </c>
      <c r="F26" t="str">
        <v>Training</v>
      </c>
      <c r="G26">
        <v>116767.63</v>
      </c>
      <c r="H26" t="str">
        <v>good</v>
      </c>
    </row>
    <row r="27" spans="3:10" x14ac:dyDescent="0.3">
      <c r="C27" t="str">
        <v>Audry</v>
      </c>
      <c r="D27" t="str">
        <v>Yu</v>
      </c>
      <c r="E27" t="str">
        <v>Female</v>
      </c>
      <c r="F27" t="str">
        <v>Training</v>
      </c>
      <c r="G27">
        <v>101187.36</v>
      </c>
      <c r="H27" t="str">
        <v>good</v>
      </c>
    </row>
    <row r="28" spans="3:10" x14ac:dyDescent="0.3">
      <c r="C28" t="str">
        <v>Tristam</v>
      </c>
      <c r="D28" t="str">
        <v>Cuming</v>
      </c>
      <c r="E28" t="str">
        <v>Female</v>
      </c>
      <c r="F28" t="str">
        <v>Support</v>
      </c>
      <c r="G28">
        <v>104038.9</v>
      </c>
      <c r="H28" t="str">
        <v>good</v>
      </c>
    </row>
    <row r="29" spans="3:10" x14ac:dyDescent="0.3">
      <c r="C29" t="str">
        <v>Amery</v>
      </c>
      <c r="D29" t="str">
        <v>Ofer</v>
      </c>
      <c r="E29" t="str">
        <v>Female</v>
      </c>
      <c r="F29" t="str">
        <v>Legal</v>
      </c>
      <c r="G29">
        <v>111049.84</v>
      </c>
      <c r="H29" t="str">
        <v>good</v>
      </c>
    </row>
    <row r="30" spans="3:10" x14ac:dyDescent="0.3">
      <c r="C30" t="str">
        <v>Theresita</v>
      </c>
      <c r="D30" t="str">
        <v>Chasmer</v>
      </c>
      <c r="E30" t="str">
        <v>Female</v>
      </c>
      <c r="F30" t="str">
        <v>Product Management</v>
      </c>
      <c r="G30">
        <v>106665.67</v>
      </c>
      <c r="H30" t="str">
        <v>good</v>
      </c>
    </row>
    <row r="31" spans="3:10" x14ac:dyDescent="0.3">
      <c r="C31" t="str">
        <v>Hogan</v>
      </c>
      <c r="D31" t="str">
        <v>Iles</v>
      </c>
      <c r="E31" t="str">
        <v>Female</v>
      </c>
      <c r="F31" t="str">
        <v>Accounting</v>
      </c>
      <c r="G31">
        <v>114177.23</v>
      </c>
      <c r="H31" t="str">
        <v>good</v>
      </c>
    </row>
    <row r="32" spans="3:10" x14ac:dyDescent="0.3">
      <c r="C32" t="str">
        <v>Robinia</v>
      </c>
      <c r="D32" t="str">
        <v>Scholling</v>
      </c>
      <c r="E32" t="str">
        <v>Female</v>
      </c>
      <c r="F32" t="str">
        <v>Human Resources</v>
      </c>
      <c r="G32">
        <v>100731.95</v>
      </c>
      <c r="H32" t="str">
        <v>good</v>
      </c>
    </row>
    <row r="33" spans="3:8" x14ac:dyDescent="0.3">
      <c r="C33" t="str">
        <v>Deepit</v>
      </c>
      <c r="D33" t="str">
        <v>Ranjana</v>
      </c>
      <c r="E33" t="str">
        <v>Female</v>
      </c>
      <c r="F33" t="str">
        <v>Marketing</v>
      </c>
      <c r="G33">
        <v>104903.79</v>
      </c>
      <c r="H33" t="str">
        <v>good</v>
      </c>
    </row>
    <row r="34" spans="3:8" x14ac:dyDescent="0.3">
      <c r="C34" t="str">
        <v>Rafaelita</v>
      </c>
      <c r="D34" t="str">
        <v>Blaksland</v>
      </c>
      <c r="E34" t="str">
        <v>Female</v>
      </c>
      <c r="F34" t="str">
        <v>Services</v>
      </c>
      <c r="G34">
        <v>109163.39</v>
      </c>
      <c r="H34" t="str">
        <v>good</v>
      </c>
    </row>
    <row r="35" spans="3:8" x14ac:dyDescent="0.3">
      <c r="C35" t="str">
        <v>Sidoney</v>
      </c>
      <c r="D35" t="str">
        <v>Yitzhok</v>
      </c>
      <c r="E35" t="str">
        <v>Female</v>
      </c>
      <c r="F35" t="str">
        <v>Doctor</v>
      </c>
      <c r="G35">
        <v>118442.54</v>
      </c>
      <c r="H35" t="str">
        <v>good</v>
      </c>
    </row>
    <row r="36" spans="3:8" x14ac:dyDescent="0.3">
      <c r="C36" t="str">
        <v>Baruna</v>
      </c>
      <c r="D36" t="str">
        <v>Ogale</v>
      </c>
      <c r="E36" t="str">
        <v>Female</v>
      </c>
      <c r="F36" t="str">
        <v>Training</v>
      </c>
      <c r="G36">
        <v>116767.63</v>
      </c>
      <c r="H36" t="str">
        <v>good</v>
      </c>
    </row>
    <row r="37" spans="3:8" x14ac:dyDescent="0.3">
      <c r="C37" t="str">
        <v>Freda</v>
      </c>
      <c r="D37" t="str">
        <v>Legan</v>
      </c>
      <c r="E37" t="str">
        <v>Female</v>
      </c>
      <c r="F37" t="str">
        <v>Sales</v>
      </c>
      <c r="G37">
        <v>102129.37</v>
      </c>
      <c r="H37" t="str">
        <v>good</v>
      </c>
    </row>
    <row r="38" spans="3:8" x14ac:dyDescent="0.3">
      <c r="C38" t="str">
        <v>Gwenneth</v>
      </c>
      <c r="D38" t="str">
        <v>Fealey</v>
      </c>
      <c r="E38" t="str">
        <v>Female</v>
      </c>
      <c r="F38" t="str">
        <v>Doctor</v>
      </c>
      <c r="G38">
        <v>114772.32</v>
      </c>
      <c r="H38" t="str">
        <v>good</v>
      </c>
    </row>
    <row r="41" spans="3:8" ht="25.8" x14ac:dyDescent="0.5">
      <c r="C41" s="18" t="s">
        <v>969</v>
      </c>
      <c r="D41" s="18"/>
      <c r="E41" s="19"/>
    </row>
    <row r="43" spans="3:8" x14ac:dyDescent="0.3">
      <c r="D43" s="21" t="s">
        <v>973</v>
      </c>
      <c r="E43" s="21" t="s">
        <v>974</v>
      </c>
      <c r="F43" s="21" t="s">
        <v>975</v>
      </c>
    </row>
    <row r="45" spans="3:8" ht="18" x14ac:dyDescent="0.35">
      <c r="C45" s="20" t="s">
        <v>970</v>
      </c>
      <c r="D45">
        <f>MIN(Staff[Salary])</f>
        <v>28160.79</v>
      </c>
      <c r="E45">
        <f>_xlfn.MINIFS(Staff[Salary],Staff[Gender],"Female")</f>
        <v>28305.08</v>
      </c>
      <c r="F45">
        <f>_xlfn.MINIFS(Staff[Salary],Staff[Gender],"Male")</f>
        <v>28160.79</v>
      </c>
    </row>
    <row r="46" spans="3:8" ht="18" x14ac:dyDescent="0.35">
      <c r="C46" s="20" t="s">
        <v>971</v>
      </c>
      <c r="D46">
        <f>MIN(Staff[Salary])</f>
        <v>28160.79</v>
      </c>
      <c r="E46" cm="1">
        <f t="array" ref="E46">MAX(_xlfn._xlws.FILTER(Staff[Salary],Staff[Gender]="Female"))</f>
        <v>120000</v>
      </c>
      <c r="F46">
        <f>_xlfn.MAXIFS(Staff[Salary],Staff[Gender],"Male")</f>
        <v>120000</v>
      </c>
    </row>
    <row r="47" spans="3:8" ht="18" x14ac:dyDescent="0.35">
      <c r="C47" s="20" t="s">
        <v>972</v>
      </c>
      <c r="D47">
        <f>LARGE(Staff[Salary],G47)</f>
        <v>120000</v>
      </c>
      <c r="E47" cm="1">
        <f t="array" ref="E47">LARGE(_xlfn._xlws.FILTER(Staff[Salary],Staff[Gender]="Female"),G47)</f>
        <v>120000</v>
      </c>
      <c r="F47" cm="1">
        <f t="array" ref="F47">LARGE(_xlfn._xlws.FILTER(Staff[Salary],Staff[Gender]="male"),G47)</f>
        <v>120000</v>
      </c>
      <c r="G47">
        <v>1</v>
      </c>
    </row>
    <row r="48" spans="3:8" x14ac:dyDescent="0.3">
      <c r="D48">
        <f>LARGE(Staff[Salary],G48)</f>
        <v>120000</v>
      </c>
      <c r="E48" cm="1">
        <f t="array" ref="E48">LARGE(_xlfn._xlws.FILTER(Staff[Salary],Staff[Gender]="Female"),G48)</f>
        <v>118442.54</v>
      </c>
      <c r="F48" cm="1">
        <f t="array" ref="F48">LARGE(_xlfn._xlws.FILTER(Staff[Salary],Staff[Gender]="male"),G48)</f>
        <v>119022.49</v>
      </c>
      <c r="G48">
        <v>2</v>
      </c>
    </row>
    <row r="49" spans="3:7" x14ac:dyDescent="0.3">
      <c r="D49">
        <f>LARGE(Staff[Salary],G49)</f>
        <v>119022.49</v>
      </c>
      <c r="E49" cm="1">
        <f t="array" ref="E49">LARGE(_xlfn._xlws.FILTER(Staff[Salary],Staff[Gender]="Female"),G49)</f>
        <v>116767.63</v>
      </c>
      <c r="F49" cm="1">
        <f t="array" ref="F49">LARGE(_xlfn._xlws.FILTER(Staff[Salary],Staff[Gender]="male"),G49)</f>
        <v>118976.16</v>
      </c>
      <c r="G49">
        <v>3</v>
      </c>
    </row>
    <row r="50" spans="3:7" x14ac:dyDescent="0.3">
      <c r="D50">
        <f>LARGE(Staff[Salary],G50)</f>
        <v>118976.16</v>
      </c>
      <c r="E50" cm="1">
        <f t="array" ref="E50">LARGE(_xlfn._xlws.FILTER(Staff[Salary],Staff[Gender]="Female"),G50)</f>
        <v>116767.63</v>
      </c>
      <c r="F50" cm="1">
        <f t="array" ref="F50">LARGE(_xlfn._xlws.FILTER(Staff[Salary],Staff[Gender]="male"),G50)</f>
        <v>115191.38</v>
      </c>
      <c r="G50">
        <v>4</v>
      </c>
    </row>
    <row r="51" spans="3:7" x14ac:dyDescent="0.3">
      <c r="D51">
        <f>LARGE(Staff[Salary],G51)</f>
        <v>118442.54</v>
      </c>
      <c r="E51" cm="1">
        <f t="array" ref="E51">LARGE(_xlfn._xlws.FILTER(Staff[Salary],Staff[Gender]="Female"),G51)</f>
        <v>114772.32</v>
      </c>
      <c r="F51" cm="1">
        <f t="array" ref="F51">LARGE(_xlfn._xlws.FILTER(Staff[Salary],Staff[Gender]="male"),G51)</f>
        <v>114691.03</v>
      </c>
      <c r="G51">
        <v>5</v>
      </c>
    </row>
    <row r="55" spans="3:7" ht="28.8" x14ac:dyDescent="0.55000000000000004">
      <c r="C55" s="22" t="s">
        <v>977</v>
      </c>
    </row>
    <row r="56" spans="3:7" ht="25.8" x14ac:dyDescent="0.5">
      <c r="C56" s="23" t="s">
        <v>976</v>
      </c>
    </row>
    <row r="58" spans="3:7" x14ac:dyDescent="0.3">
      <c r="D58" cm="1">
        <f t="array" ref="D58:D62">_xlfn.TAKE(_xlfn._xlws.SORT(Staff[Salary],,-1),5)</f>
        <v>120000</v>
      </c>
      <c r="E58" cm="1">
        <f t="array" ref="E58:E62">_xlfn.TAKE(_xlfn._xlws.SORT(_xlfn._xlws.FILTER(Staff[Salary],Staff[Gender]="Female"),,-1),5)</f>
        <v>120000</v>
      </c>
      <c r="F58" cm="1">
        <f t="array" ref="F58:F62">_xlfn.TAKE(_xlfn._xlws.SORT(_xlfn._xlws.FILTER(Staff[Salary],Staff[Gender]="Male"),,-1),5)</f>
        <v>120000</v>
      </c>
    </row>
    <row r="59" spans="3:7" x14ac:dyDescent="0.3">
      <c r="D59">
        <v>120000</v>
      </c>
      <c r="E59">
        <v>118442.54</v>
      </c>
      <c r="F59">
        <v>119022.49</v>
      </c>
    </row>
    <row r="60" spans="3:7" x14ac:dyDescent="0.3">
      <c r="D60">
        <v>119022.49</v>
      </c>
      <c r="E60">
        <v>116767.63</v>
      </c>
      <c r="F60">
        <v>118976.16</v>
      </c>
    </row>
    <row r="61" spans="3:7" x14ac:dyDescent="0.3">
      <c r="D61">
        <v>118976.16</v>
      </c>
      <c r="E61">
        <v>116767.63</v>
      </c>
      <c r="F61">
        <v>115191.38</v>
      </c>
    </row>
    <row r="62" spans="3:7" x14ac:dyDescent="0.3">
      <c r="D62">
        <v>118442.54</v>
      </c>
      <c r="E62">
        <v>114772.32</v>
      </c>
      <c r="F62">
        <v>114691.03</v>
      </c>
    </row>
    <row r="64" spans="3:7" ht="25.8" x14ac:dyDescent="0.5">
      <c r="C64" s="25" t="s">
        <v>978</v>
      </c>
      <c r="D64" s="26"/>
      <c r="E64" s="26"/>
    </row>
    <row r="67" spans="3:5" ht="25.8" x14ac:dyDescent="0.5">
      <c r="C67" s="16" t="s">
        <v>979</v>
      </c>
      <c r="E67" s="24" t="s">
        <v>980</v>
      </c>
    </row>
    <row r="69" spans="3:5" x14ac:dyDescent="0.3">
      <c r="C69" t="str" cm="1">
        <f t="array" ref="C69:C81">_xlfn._xlws.SORT(_xlfn.UNIQUE(Staff[Department]))</f>
        <v>Accounting</v>
      </c>
      <c r="E69">
        <f>COUNTA(_xlfn.ANCHORARRAY(C69))</f>
        <v>13</v>
      </c>
    </row>
    <row r="70" spans="3:5" x14ac:dyDescent="0.3">
      <c r="C70" t="str">
        <v>Business Development</v>
      </c>
    </row>
    <row r="71" spans="3:5" x14ac:dyDescent="0.3">
      <c r="C71" t="str">
        <v>Doctor</v>
      </c>
    </row>
    <row r="72" spans="3:5" x14ac:dyDescent="0.3">
      <c r="C72" t="str">
        <v>Engineering</v>
      </c>
    </row>
    <row r="73" spans="3:5" x14ac:dyDescent="0.3">
      <c r="C73" t="str">
        <v>Human Resources</v>
      </c>
    </row>
    <row r="74" spans="3:5" x14ac:dyDescent="0.3">
      <c r="C74" t="str">
        <v>Legal</v>
      </c>
    </row>
    <row r="75" spans="3:5" x14ac:dyDescent="0.3">
      <c r="C75" t="str">
        <v>Marketing</v>
      </c>
    </row>
    <row r="76" spans="3:5" x14ac:dyDescent="0.3">
      <c r="C76" t="str">
        <v>Product Management</v>
      </c>
    </row>
    <row r="77" spans="3:5" x14ac:dyDescent="0.3">
      <c r="C77" t="str">
        <v>Research and Development</v>
      </c>
    </row>
    <row r="78" spans="3:5" x14ac:dyDescent="0.3">
      <c r="C78" t="str">
        <v>Sales</v>
      </c>
    </row>
    <row r="79" spans="3:5" x14ac:dyDescent="0.3">
      <c r="C79" t="str">
        <v>Services</v>
      </c>
    </row>
    <row r="80" spans="3:5" x14ac:dyDescent="0.3">
      <c r="C80" t="str">
        <v>Support</v>
      </c>
    </row>
    <row r="81" spans="3:3" x14ac:dyDescent="0.3">
      <c r="C81" t="str">
        <v>Training</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FE2C-B0A5-493B-894B-032D4DA3C263}">
  <dimension ref="A3:W121"/>
  <sheetViews>
    <sheetView topLeftCell="A21" workbookViewId="0">
      <selection activeCell="G28" sqref="G28"/>
    </sheetView>
  </sheetViews>
  <sheetFormatPr defaultRowHeight="14.4" x14ac:dyDescent="0.3"/>
  <cols>
    <col min="1" max="1" width="5.109375" customWidth="1"/>
    <col min="2" max="2" width="23.77734375" customWidth="1"/>
    <col min="3" max="3" width="17.33203125" customWidth="1"/>
    <col min="4" max="4" width="21.33203125" customWidth="1"/>
    <col min="5" max="6" width="20.5546875" customWidth="1"/>
    <col min="7" max="7" width="23.21875" customWidth="1"/>
    <col min="8" max="8" width="24.109375" customWidth="1"/>
    <col min="9" max="9" width="18.88671875" customWidth="1"/>
    <col min="10" max="10" width="17.88671875" style="35" customWidth="1"/>
    <col min="11" max="11" width="17.88671875" customWidth="1"/>
  </cols>
  <sheetData>
    <row r="3" spans="1:9" ht="25.8" x14ac:dyDescent="0.5">
      <c r="B3" s="27" t="s">
        <v>981</v>
      </c>
      <c r="C3" s="28"/>
      <c r="D3" s="28"/>
      <c r="E3" s="28"/>
      <c r="F3" s="28"/>
      <c r="I3" s="17" t="s">
        <v>989</v>
      </c>
    </row>
    <row r="6" spans="1:9" x14ac:dyDescent="0.3">
      <c r="B6" t="s">
        <v>982</v>
      </c>
      <c r="C6" t="s">
        <v>110</v>
      </c>
    </row>
    <row r="8" spans="1:9" x14ac:dyDescent="0.3">
      <c r="A8">
        <v>10</v>
      </c>
      <c r="B8" s="21" t="s">
        <v>983</v>
      </c>
      <c r="C8" t="str">
        <f>VLOOKUP(C6,Staff[],2,FALSE)</f>
        <v>Myrle</v>
      </c>
      <c r="I8" t="str">
        <f>_xlfn.XLOOKUP(C6,Staff[Emp ID],Staff[First Name])</f>
        <v>Myrle</v>
      </c>
    </row>
    <row r="9" spans="1:9" x14ac:dyDescent="0.3">
      <c r="A9">
        <v>9</v>
      </c>
      <c r="B9" s="21" t="s">
        <v>984</v>
      </c>
      <c r="C9" t="str">
        <f>VLOOKUP(C6,Staff[],3,FALSE)</f>
        <v>Prandoni</v>
      </c>
      <c r="I9" t="str">
        <f>_xlfn.XLOOKUP(C6,Staff[Emp ID],Staff[Sencond Name])</f>
        <v>Prandoni</v>
      </c>
    </row>
    <row r="10" spans="1:9" x14ac:dyDescent="0.3">
      <c r="A10">
        <v>5</v>
      </c>
      <c r="B10" s="21" t="s">
        <v>985</v>
      </c>
      <c r="C10" t="str">
        <f>VLOOKUP(C6,Staff[],5,FALSE)</f>
        <v>Sales</v>
      </c>
      <c r="I10" t="str">
        <f>_xlfn.XLOOKUP(C6,Staff[Emp ID],Staff[Department])</f>
        <v>Sales</v>
      </c>
    </row>
    <row r="11" spans="1:9" x14ac:dyDescent="0.3">
      <c r="A11">
        <v>6</v>
      </c>
      <c r="B11" s="21" t="s">
        <v>986</v>
      </c>
      <c r="C11">
        <f>VLOOKUP(C6,Staff[],6,FALSE)</f>
        <v>62195.47</v>
      </c>
      <c r="I11">
        <f>_xlfn.XLOOKUP(C6,Staff[Emp ID],Staff[Salary])</f>
        <v>62195.47</v>
      </c>
    </row>
    <row r="12" spans="1:9" x14ac:dyDescent="0.3">
      <c r="B12" s="21"/>
    </row>
    <row r="13" spans="1:9" x14ac:dyDescent="0.3">
      <c r="A13">
        <v>7</v>
      </c>
      <c r="B13" s="21" t="s">
        <v>983</v>
      </c>
      <c r="C13" t="str">
        <f>VLOOKUP(C6,Staff[],7,FALSE)</f>
        <v>Average</v>
      </c>
    </row>
    <row r="14" spans="1:9" x14ac:dyDescent="0.3">
      <c r="A14">
        <v>8</v>
      </c>
      <c r="B14" s="21" t="s">
        <v>984</v>
      </c>
      <c r="C14">
        <f>VLOOKUP(C6,Staff[],8,FALSE)</f>
        <v>44434</v>
      </c>
    </row>
    <row r="15" spans="1:9" x14ac:dyDescent="0.3">
      <c r="A15">
        <v>9</v>
      </c>
      <c r="B15" s="21" t="s">
        <v>985</v>
      </c>
      <c r="C15">
        <f>VLOOKUP(C6,Staff[],9,FALSE)</f>
        <v>1</v>
      </c>
    </row>
    <row r="16" spans="1:9" x14ac:dyDescent="0.3">
      <c r="A16">
        <v>10</v>
      </c>
      <c r="B16" s="21" t="s">
        <v>986</v>
      </c>
      <c r="C16" t="str">
        <f>VLOOKUP(C6,Staff[],10,FALSE)</f>
        <v>Full Time</v>
      </c>
    </row>
    <row r="20" spans="2:23" x14ac:dyDescent="0.3">
      <c r="B20" t="s">
        <v>987</v>
      </c>
      <c r="C20" s="29" t="s">
        <v>988</v>
      </c>
      <c r="E20" t="s">
        <v>447</v>
      </c>
    </row>
    <row r="21" spans="2:23" x14ac:dyDescent="0.3">
      <c r="C21">
        <f>MATCH(C20,Staff[Sencond Name],0)</f>
        <v>45</v>
      </c>
      <c r="I21" t="str" cm="1">
        <f t="array" ref="I21:W21">_xlfn.XLOOKUP(C20,Staff[Sencond Name],Staff[])</f>
        <v>VT03988</v>
      </c>
      <c r="J21" s="35" t="str">
        <v>Venkat</v>
      </c>
      <c r="K21" t="str">
        <v>Kodi</v>
      </c>
      <c r="L21" t="str">
        <v>Female</v>
      </c>
      <c r="M21" t="str">
        <v>Support</v>
      </c>
      <c r="N21">
        <v>58935.92</v>
      </c>
      <c r="O21" t="str">
        <v>Average</v>
      </c>
      <c r="P21">
        <v>43717</v>
      </c>
      <c r="Q21">
        <v>1</v>
      </c>
      <c r="R21" t="str">
        <v>Full Time</v>
      </c>
      <c r="S21" t="str">
        <v>Temporary</v>
      </c>
      <c r="T21" t="str">
        <v>Hyderabad, India</v>
      </c>
      <c r="U21">
        <v>2542</v>
      </c>
      <c r="V21">
        <v>6.9643835616438352</v>
      </c>
      <c r="W21">
        <v>0</v>
      </c>
    </row>
    <row r="22" spans="2:23" x14ac:dyDescent="0.3">
      <c r="I22" t="str" cm="1">
        <f t="array" ref="I22:I36">TRANSPOSE(_xlfn.XLOOKUP(C20,Staff[Sencond Name],Staff[]))</f>
        <v>VT03988</v>
      </c>
    </row>
    <row r="23" spans="2:23" x14ac:dyDescent="0.3">
      <c r="B23" t="s">
        <v>982</v>
      </c>
      <c r="C23" t="str">
        <f>INDEX(Staff[Emp ID],MATCH(C20,Staff[Sencond Name],))</f>
        <v>VT03988</v>
      </c>
      <c r="E23" t="str">
        <f>INDEX(Staff[Emp ID],MATCH(E20,Staff[Sencond Name],0))</f>
        <v>VT01092</v>
      </c>
      <c r="I23" t="str">
        <v>Venkat</v>
      </c>
    </row>
    <row r="24" spans="2:23" x14ac:dyDescent="0.3">
      <c r="B24" t="s">
        <v>985</v>
      </c>
      <c r="C24" t="str">
        <f>INDEX(Staff[Department],MATCH(C20,Staff[Sencond Name],0))</f>
        <v>Support</v>
      </c>
      <c r="E24" t="str">
        <f>INDEX(Staff[Department],MATCH(E20,Staff[Sencond Name],0))</f>
        <v>Accounting</v>
      </c>
      <c r="I24" t="str">
        <v>Kodi</v>
      </c>
    </row>
    <row r="25" spans="2:23" x14ac:dyDescent="0.3">
      <c r="B25" t="s">
        <v>4</v>
      </c>
      <c r="C25">
        <f>INDEX(Staff[Salary],MATCH(C20,Staff[Sencond Name],0))</f>
        <v>58935.92</v>
      </c>
      <c r="E25">
        <f>INDEX(Staff[Salary],MATCH(E20,Staff[Sencond Name],0))</f>
        <v>57419.35</v>
      </c>
      <c r="I25" t="str">
        <v>Female</v>
      </c>
    </row>
    <row r="26" spans="2:23" x14ac:dyDescent="0.3">
      <c r="I26" t="str">
        <v>Support</v>
      </c>
    </row>
    <row r="27" spans="2:23" x14ac:dyDescent="0.3">
      <c r="I27">
        <v>58935.92</v>
      </c>
    </row>
    <row r="28" spans="2:23" x14ac:dyDescent="0.3">
      <c r="I28" t="str">
        <v>Average</v>
      </c>
    </row>
    <row r="29" spans="2:23" x14ac:dyDescent="0.3">
      <c r="I29">
        <v>43717</v>
      </c>
    </row>
    <row r="30" spans="2:23" x14ac:dyDescent="0.3">
      <c r="I30">
        <v>1</v>
      </c>
    </row>
    <row r="31" spans="2:23" x14ac:dyDescent="0.3">
      <c r="I31" t="str">
        <v>Full Time</v>
      </c>
    </row>
    <row r="32" spans="2:23" x14ac:dyDescent="0.3">
      <c r="I32" t="str">
        <v>Temporary</v>
      </c>
    </row>
    <row r="33" spans="2:9" x14ac:dyDescent="0.3">
      <c r="I33" t="str">
        <v>Hyderabad, India</v>
      </c>
    </row>
    <row r="34" spans="2:9" x14ac:dyDescent="0.3">
      <c r="I34">
        <v>2542</v>
      </c>
    </row>
    <row r="35" spans="2:9" x14ac:dyDescent="0.3">
      <c r="I35">
        <v>6.9643835616438352</v>
      </c>
    </row>
    <row r="36" spans="2:9" x14ac:dyDescent="0.3">
      <c r="D36">
        <v>120000</v>
      </c>
      <c r="I36">
        <v>0</v>
      </c>
    </row>
    <row r="37" spans="2:9" x14ac:dyDescent="0.3">
      <c r="B37" t="s">
        <v>990</v>
      </c>
    </row>
    <row r="40" spans="2:9" x14ac:dyDescent="0.3">
      <c r="B40" t="e" cm="1" vm="1">
        <f t="array" ref="B40">_xlfn._xlws.FILTER(Staff[[First Name]:[Salary Bucket]],Staff[Salary]&gt;D36)</f>
        <v>#VALUE!</v>
      </c>
    </row>
    <row r="44" spans="2:9" ht="23.4" x14ac:dyDescent="0.45">
      <c r="B44" s="30" t="s">
        <v>991</v>
      </c>
      <c r="C44" s="30"/>
      <c r="D44" s="31"/>
      <c r="E44" s="31"/>
      <c r="F44" s="31"/>
    </row>
    <row r="47" spans="2:9" ht="21" x14ac:dyDescent="0.4">
      <c r="B47" s="32" t="s">
        <v>992</v>
      </c>
      <c r="C47" t="str">
        <f>_xlfn.XLOOKUP(MAX(Staff[Salary]),Staff[Salary],Staff[First Name])</f>
        <v>Minerva</v>
      </c>
    </row>
    <row r="52" spans="2:16" ht="21" x14ac:dyDescent="0.4">
      <c r="B52" s="12" t="s">
        <v>993</v>
      </c>
      <c r="C52" t="str" cm="1">
        <f t="array" ref="C52:C53">_xlfn._xlws.FILTER(Staff[First Name],Staff[Salary]=MAX(Staff[Salary]))</f>
        <v>Minerva</v>
      </c>
    </row>
    <row r="53" spans="2:16" x14ac:dyDescent="0.3">
      <c r="C53" t="str">
        <v>Mick</v>
      </c>
    </row>
    <row r="56" spans="2:16" ht="25.8" x14ac:dyDescent="0.5">
      <c r="B56" s="33" t="s">
        <v>994</v>
      </c>
      <c r="C56" s="34"/>
      <c r="D56" s="34"/>
    </row>
    <row r="60" spans="2:16" x14ac:dyDescent="0.3">
      <c r="B60" t="str" cm="1">
        <f t="array" ref="B60:P66">_xlfn._xlws.FILTER(Staff[],LEFT(Staff[First Name],1)="h")</f>
        <v>TN00214</v>
      </c>
      <c r="C60" t="str">
        <v>Hemavati</v>
      </c>
      <c r="D60" t="str">
        <v>Muthiah</v>
      </c>
      <c r="E60" t="str">
        <v>Female</v>
      </c>
      <c r="F60" t="str">
        <v>Training</v>
      </c>
      <c r="G60">
        <v>37902.35</v>
      </c>
      <c r="H60" t="str">
        <v>Under</v>
      </c>
      <c r="I60">
        <v>43823</v>
      </c>
      <c r="J60" s="35">
        <v>1</v>
      </c>
      <c r="K60" t="str">
        <v>Full Time</v>
      </c>
      <c r="L60" t="str">
        <v>Permanent</v>
      </c>
      <c r="M60" t="str">
        <v>Chennai, India</v>
      </c>
      <c r="N60">
        <v>2436</v>
      </c>
      <c r="O60">
        <v>6.6739726027397257</v>
      </c>
      <c r="P60">
        <v>0</v>
      </c>
    </row>
    <row r="61" spans="2:16" x14ac:dyDescent="0.3">
      <c r="B61" t="str">
        <v>PR00746</v>
      </c>
      <c r="C61" t="str">
        <v>Hogan</v>
      </c>
      <c r="D61" t="str">
        <v>Iles</v>
      </c>
      <c r="E61" t="str">
        <v>Female</v>
      </c>
      <c r="F61" t="str">
        <v>Accounting</v>
      </c>
      <c r="G61">
        <v>114177.23</v>
      </c>
      <c r="H61" t="str">
        <v>good</v>
      </c>
      <c r="I61">
        <v>43908</v>
      </c>
      <c r="J61" s="35">
        <v>1</v>
      </c>
      <c r="K61" t="str">
        <v>Full Time</v>
      </c>
      <c r="L61" t="str">
        <v>Permanent</v>
      </c>
      <c r="M61" t="str">
        <v>Wellington, New Zealand</v>
      </c>
      <c r="N61">
        <v>2351</v>
      </c>
      <c r="O61">
        <v>6.441095890410959</v>
      </c>
      <c r="P61">
        <v>0</v>
      </c>
    </row>
    <row r="62" spans="2:16" x14ac:dyDescent="0.3">
      <c r="B62" t="str">
        <v>TN04175</v>
      </c>
      <c r="C62" t="str">
        <v>Hinda</v>
      </c>
      <c r="D62" t="str">
        <v>Label</v>
      </c>
      <c r="E62" t="str">
        <v>Female</v>
      </c>
      <c r="F62" t="str">
        <v>Human Resources</v>
      </c>
      <c r="G62">
        <v>92704.48</v>
      </c>
      <c r="H62" t="str">
        <v>Average</v>
      </c>
      <c r="I62">
        <v>43430</v>
      </c>
      <c r="J62" s="35">
        <v>1</v>
      </c>
      <c r="K62" t="str">
        <v>Full Time</v>
      </c>
      <c r="L62" t="str">
        <v>Fixed Term</v>
      </c>
      <c r="M62" t="str">
        <v>Columbus, USA</v>
      </c>
      <c r="N62">
        <v>2829</v>
      </c>
      <c r="O62">
        <v>7.7506849315068491</v>
      </c>
      <c r="P62">
        <v>0</v>
      </c>
    </row>
    <row r="63" spans="2:16" x14ac:dyDescent="0.3">
      <c r="B63" t="str">
        <v>SQ04437</v>
      </c>
      <c r="C63" t="str">
        <v>Hephzibah</v>
      </c>
      <c r="D63" t="str">
        <v>Summerell</v>
      </c>
      <c r="E63" t="str">
        <v>Female</v>
      </c>
      <c r="F63" t="str">
        <v>Services</v>
      </c>
      <c r="G63">
        <v>28305.08</v>
      </c>
      <c r="H63" t="str">
        <v>Under</v>
      </c>
      <c r="I63">
        <v>43754</v>
      </c>
      <c r="J63" s="35">
        <v>1</v>
      </c>
      <c r="K63" t="str">
        <v>Full Time</v>
      </c>
      <c r="L63" t="str">
        <v>Permanent</v>
      </c>
      <c r="M63" t="str">
        <v>Remote</v>
      </c>
      <c r="N63">
        <v>2505</v>
      </c>
      <c r="O63">
        <v>6.8630136986301373</v>
      </c>
      <c r="P63">
        <v>0</v>
      </c>
    </row>
    <row r="64" spans="2:16" x14ac:dyDescent="0.3">
      <c r="B64" t="str">
        <v>PR00246</v>
      </c>
      <c r="C64" t="str">
        <v>Husein</v>
      </c>
      <c r="D64" t="str">
        <v>Augar</v>
      </c>
      <c r="E64" t="str">
        <v>Female</v>
      </c>
      <c r="F64" t="str">
        <v>Marketing</v>
      </c>
      <c r="G64">
        <v>67905.8</v>
      </c>
      <c r="H64" t="str">
        <v>Average</v>
      </c>
      <c r="I64">
        <v>44194</v>
      </c>
      <c r="J64" s="35">
        <v>1</v>
      </c>
      <c r="K64" t="str">
        <v>Full Time</v>
      </c>
      <c r="L64" t="str">
        <v>Permanent</v>
      </c>
      <c r="M64" t="str">
        <v>Remote</v>
      </c>
      <c r="N64">
        <v>2065</v>
      </c>
      <c r="O64">
        <v>5.6575342465753424</v>
      </c>
      <c r="P64">
        <v>0</v>
      </c>
    </row>
    <row r="65" spans="2:16" x14ac:dyDescent="0.3">
      <c r="B65" t="str">
        <v>VT01996</v>
      </c>
      <c r="C65" t="str">
        <v>Hali</v>
      </c>
      <c r="D65" t="str">
        <v>Behnecke</v>
      </c>
      <c r="E65" t="str">
        <v>Male</v>
      </c>
      <c r="F65" t="str">
        <v>Human Resources</v>
      </c>
      <c r="G65">
        <v>65569.36</v>
      </c>
      <c r="H65" t="str">
        <v>Average</v>
      </c>
      <c r="I65">
        <v>43293</v>
      </c>
      <c r="J65" s="35">
        <v>1</v>
      </c>
      <c r="K65" t="str">
        <v>Full Time</v>
      </c>
      <c r="L65" t="str">
        <v>Fixed Term</v>
      </c>
      <c r="M65" t="str">
        <v>Auckland, New Zealand</v>
      </c>
      <c r="N65">
        <v>2966</v>
      </c>
      <c r="O65">
        <v>8.1260273972602732</v>
      </c>
      <c r="P65">
        <v>0</v>
      </c>
    </row>
    <row r="66" spans="2:16" x14ac:dyDescent="0.3">
      <c r="B66" t="str">
        <v>TN04775</v>
      </c>
      <c r="C66" t="str">
        <v>Hridaynath</v>
      </c>
      <c r="D66" t="str">
        <v>Tendulkar</v>
      </c>
      <c r="E66" t="str">
        <v>Female</v>
      </c>
      <c r="F66" t="str">
        <v>Legal</v>
      </c>
      <c r="G66">
        <v>31089.22</v>
      </c>
      <c r="H66" t="str">
        <v>Under</v>
      </c>
      <c r="I66">
        <v>43776</v>
      </c>
      <c r="J66" s="35">
        <v>1</v>
      </c>
      <c r="K66" t="str">
        <v>Full Time</v>
      </c>
      <c r="L66" t="str">
        <v>Fixed Term</v>
      </c>
      <c r="M66" t="str">
        <v>Chennai, India</v>
      </c>
      <c r="N66">
        <v>2483</v>
      </c>
      <c r="O66">
        <v>6.8027397260273972</v>
      </c>
      <c r="P66">
        <v>0</v>
      </c>
    </row>
    <row r="68" spans="2:16" x14ac:dyDescent="0.3">
      <c r="B68" t="str" cm="1">
        <f t="array" ref="B68:P80">_xlfn._xlws.FILTER(Staff[],LEFT(Staff[First Name],1)="k")</f>
        <v>PR03980</v>
      </c>
      <c r="C68" t="str">
        <v>Kath</v>
      </c>
      <c r="D68" t="str">
        <v>Bletsoe</v>
      </c>
      <c r="E68" t="str">
        <v>Male</v>
      </c>
      <c r="F68" t="str">
        <v>Marketing</v>
      </c>
      <c r="G68">
        <v>65699.02</v>
      </c>
      <c r="H68" t="str">
        <v>Average</v>
      </c>
      <c r="I68">
        <v>43951</v>
      </c>
      <c r="J68" s="35">
        <v>1</v>
      </c>
      <c r="K68" t="str">
        <v>Full Time</v>
      </c>
      <c r="L68" t="str">
        <v>Permanent</v>
      </c>
      <c r="M68" t="str">
        <v>Columbus, USA</v>
      </c>
      <c r="N68">
        <v>2308</v>
      </c>
      <c r="O68">
        <v>6.3232876712328769</v>
      </c>
      <c r="P68">
        <v>0</v>
      </c>
    </row>
    <row r="69" spans="2:16" x14ac:dyDescent="0.3">
      <c r="B69" t="str">
        <v>TN01632</v>
      </c>
      <c r="C69" t="str">
        <v>Katya</v>
      </c>
      <c r="D69" t="str">
        <v>Hundy</v>
      </c>
      <c r="E69" t="str">
        <v>Male</v>
      </c>
      <c r="F69" t="str">
        <v>Business Development</v>
      </c>
      <c r="G69">
        <v>88511.17</v>
      </c>
      <c r="H69" t="str">
        <v>Average</v>
      </c>
      <c r="I69">
        <v>43950</v>
      </c>
      <c r="J69" s="35">
        <v>1</v>
      </c>
      <c r="K69" t="str">
        <v>Full Time</v>
      </c>
      <c r="L69" t="str">
        <v>Permanent</v>
      </c>
      <c r="M69" t="str">
        <v>Columbus, USA</v>
      </c>
      <c r="N69">
        <v>2309</v>
      </c>
      <c r="O69">
        <v>6.3260273972602743</v>
      </c>
      <c r="P69">
        <v>0</v>
      </c>
    </row>
    <row r="70" spans="2:16" x14ac:dyDescent="0.3">
      <c r="B70" t="str">
        <v>SQ03626</v>
      </c>
      <c r="C70" t="str">
        <v>Krishnakanta</v>
      </c>
      <c r="D70" t="str">
        <v>Vellanki</v>
      </c>
      <c r="E70" t="str">
        <v>Female</v>
      </c>
      <c r="F70" t="str">
        <v>Training</v>
      </c>
      <c r="G70">
        <v>95677.9</v>
      </c>
      <c r="H70" t="str">
        <v>Average</v>
      </c>
      <c r="I70">
        <v>44396</v>
      </c>
      <c r="J70" s="35">
        <v>0.3</v>
      </c>
      <c r="K70" t="str">
        <v>Part Time</v>
      </c>
      <c r="L70" t="str">
        <v>Permanent</v>
      </c>
      <c r="M70" t="str">
        <v>Chennai, India</v>
      </c>
      <c r="N70">
        <v>1863</v>
      </c>
      <c r="O70">
        <v>5.1041095890410961</v>
      </c>
      <c r="P70">
        <v>0</v>
      </c>
    </row>
    <row r="71" spans="2:16" x14ac:dyDescent="0.3">
      <c r="B71" t="str">
        <v>TN02798</v>
      </c>
      <c r="C71" t="str">
        <v>Krittika</v>
      </c>
      <c r="D71" t="str">
        <v>Gaekwad</v>
      </c>
      <c r="E71" t="str">
        <v>Female</v>
      </c>
      <c r="F71" t="str">
        <v>Business Development</v>
      </c>
      <c r="G71">
        <v>33031.26</v>
      </c>
      <c r="H71" t="str">
        <v>Under</v>
      </c>
      <c r="I71">
        <v>43468</v>
      </c>
      <c r="J71" s="35">
        <v>0.4</v>
      </c>
      <c r="K71" t="str">
        <v>Part Time</v>
      </c>
      <c r="L71" t="str">
        <v>Permanent</v>
      </c>
      <c r="M71" t="str">
        <v>Hyderabad, India</v>
      </c>
      <c r="N71">
        <v>2791</v>
      </c>
      <c r="O71">
        <v>7.646575342465753</v>
      </c>
      <c r="P71">
        <v>0</v>
      </c>
    </row>
    <row r="72" spans="2:16" x14ac:dyDescent="0.3">
      <c r="B72" t="str">
        <v>VT03552</v>
      </c>
      <c r="C72" t="str">
        <v>Kamalakshi</v>
      </c>
      <c r="D72" t="str">
        <v>Mukundan</v>
      </c>
      <c r="E72" t="str">
        <v>Male</v>
      </c>
      <c r="F72" t="str">
        <v>Engineering</v>
      </c>
      <c r="G72">
        <v>36536.26</v>
      </c>
      <c r="H72" t="str">
        <v>Under</v>
      </c>
      <c r="I72">
        <v>44358</v>
      </c>
      <c r="J72" s="35">
        <v>1</v>
      </c>
      <c r="K72" t="str">
        <v>Full Time</v>
      </c>
      <c r="L72" t="str">
        <v>Temporary</v>
      </c>
      <c r="M72" t="str">
        <v>Hyderabad, India</v>
      </c>
      <c r="N72">
        <v>1901</v>
      </c>
      <c r="O72">
        <v>5.2082191780821914</v>
      </c>
      <c r="P72">
        <v>0</v>
      </c>
    </row>
    <row r="73" spans="2:16" x14ac:dyDescent="0.3">
      <c r="B73" t="str">
        <v>SQ00914</v>
      </c>
      <c r="C73" t="str">
        <v>Karuna</v>
      </c>
      <c r="D73" t="str">
        <v>Pashupathy</v>
      </c>
      <c r="E73" t="str">
        <v>Female</v>
      </c>
      <c r="F73" t="str">
        <v>Product Management</v>
      </c>
      <c r="G73">
        <v>38438.239999999998</v>
      </c>
      <c r="H73" t="str">
        <v>Under</v>
      </c>
      <c r="I73">
        <v>43962</v>
      </c>
      <c r="J73" s="35">
        <v>1</v>
      </c>
      <c r="K73" t="str">
        <v>Full Time</v>
      </c>
      <c r="L73" t="str">
        <v>Permanent</v>
      </c>
      <c r="M73" t="str">
        <v>Chennai, India</v>
      </c>
      <c r="N73">
        <v>2297</v>
      </c>
      <c r="O73">
        <v>6.2931506849315069</v>
      </c>
      <c r="P73">
        <v>0</v>
      </c>
    </row>
    <row r="74" spans="2:16" x14ac:dyDescent="0.3">
      <c r="B74" t="str">
        <v>SQ02424</v>
      </c>
      <c r="C74" t="str">
        <v>Kevalkumar</v>
      </c>
      <c r="D74" t="str">
        <v>Solanki</v>
      </c>
      <c r="E74" t="str">
        <v>Male</v>
      </c>
      <c r="F74" t="str">
        <v>Accounting</v>
      </c>
      <c r="G74">
        <v>52270.22</v>
      </c>
      <c r="H74" t="str">
        <v>Average</v>
      </c>
      <c r="I74">
        <v>43521</v>
      </c>
      <c r="J74" s="35">
        <v>0.3</v>
      </c>
      <c r="K74" t="str">
        <v>Part Time</v>
      </c>
      <c r="L74" t="str">
        <v>Permanent</v>
      </c>
      <c r="M74" t="str">
        <v>Chennai, India</v>
      </c>
      <c r="N74">
        <v>2738</v>
      </c>
      <c r="O74">
        <v>7.5013698630136982</v>
      </c>
      <c r="P74">
        <v>0</v>
      </c>
    </row>
    <row r="75" spans="2:16" x14ac:dyDescent="0.3">
      <c r="B75" t="str">
        <v>VT01610</v>
      </c>
      <c r="C75" t="str">
        <v>Kunja</v>
      </c>
      <c r="D75" t="str">
        <v>Prashanta Vibha</v>
      </c>
      <c r="E75" t="str">
        <v>Female</v>
      </c>
      <c r="F75" t="str">
        <v>Accounting</v>
      </c>
      <c r="G75">
        <v>76303.820000000007</v>
      </c>
      <c r="H75" t="str">
        <v>Average</v>
      </c>
      <c r="I75">
        <v>43458</v>
      </c>
      <c r="J75" s="35">
        <v>1</v>
      </c>
      <c r="K75" t="str">
        <v>Full Time</v>
      </c>
      <c r="L75" t="str">
        <v>Fixed Term</v>
      </c>
      <c r="M75" t="str">
        <v>Hyderabad, India</v>
      </c>
      <c r="N75">
        <v>2801</v>
      </c>
      <c r="O75">
        <v>7.6739726027397257</v>
      </c>
      <c r="P75">
        <v>0</v>
      </c>
    </row>
    <row r="76" spans="2:16" x14ac:dyDescent="0.3">
      <c r="B76" t="str">
        <v>VT04350</v>
      </c>
      <c r="C76" t="str">
        <v>Kulbhushan</v>
      </c>
      <c r="D76" t="str">
        <v>Moorthy</v>
      </c>
      <c r="E76" t="str">
        <v>Male</v>
      </c>
      <c r="F76" t="str">
        <v>Business Development</v>
      </c>
      <c r="G76">
        <v>106400.02</v>
      </c>
      <c r="H76" t="str">
        <v>good</v>
      </c>
      <c r="I76">
        <v>44021</v>
      </c>
      <c r="J76" s="35">
        <v>1</v>
      </c>
      <c r="K76" t="str">
        <v>Full Time</v>
      </c>
      <c r="L76" t="str">
        <v>Temporary</v>
      </c>
      <c r="M76" t="str">
        <v>Chennai, India</v>
      </c>
      <c r="N76">
        <v>2238</v>
      </c>
      <c r="O76">
        <v>6.1315068493150688</v>
      </c>
      <c r="P76">
        <v>0</v>
      </c>
    </row>
    <row r="77" spans="2:16" x14ac:dyDescent="0.3">
      <c r="B77" t="str">
        <v>SQ03112</v>
      </c>
      <c r="C77" t="str">
        <v>Kantimoy</v>
      </c>
      <c r="D77" t="str">
        <v>Pritish</v>
      </c>
      <c r="E77" t="str">
        <v>Male</v>
      </c>
      <c r="F77" t="str">
        <v>Product Management</v>
      </c>
      <c r="G77">
        <v>77743.149999999994</v>
      </c>
      <c r="H77" t="str">
        <v>Average</v>
      </c>
      <c r="I77">
        <v>43920</v>
      </c>
      <c r="J77" s="35">
        <v>1</v>
      </c>
      <c r="K77" t="str">
        <v>Full Time</v>
      </c>
      <c r="L77" t="str">
        <v>Permanent</v>
      </c>
      <c r="M77" t="str">
        <v>Chennai, India</v>
      </c>
      <c r="N77">
        <v>2339</v>
      </c>
      <c r="O77">
        <v>6.4082191780821915</v>
      </c>
      <c r="P77">
        <v>0</v>
      </c>
    </row>
    <row r="78" spans="2:16" x14ac:dyDescent="0.3">
      <c r="B78" t="str">
        <v>SQ02565</v>
      </c>
      <c r="C78" t="str">
        <v>Konstantin</v>
      </c>
      <c r="D78" t="str">
        <v>Timblett</v>
      </c>
      <c r="E78" t="str">
        <v>Female</v>
      </c>
      <c r="F78" t="str">
        <v>Training</v>
      </c>
      <c r="G78">
        <v>56253.81</v>
      </c>
      <c r="H78" t="str">
        <v>Average</v>
      </c>
      <c r="I78">
        <v>44421</v>
      </c>
      <c r="J78" s="35">
        <v>1</v>
      </c>
      <c r="K78" t="str">
        <v>Full Time</v>
      </c>
      <c r="L78" t="str">
        <v>Permanent</v>
      </c>
      <c r="M78" t="str">
        <v>Auckland, New Zealand</v>
      </c>
      <c r="N78">
        <v>1838</v>
      </c>
      <c r="O78">
        <v>5.0356164383561648</v>
      </c>
      <c r="P78">
        <v>0</v>
      </c>
    </row>
    <row r="79" spans="2:16" x14ac:dyDescent="0.3">
      <c r="B79" t="str">
        <v>SQ02582</v>
      </c>
      <c r="C79" t="str">
        <v>Kaishori</v>
      </c>
      <c r="D79" t="str">
        <v>Harathi Kateel</v>
      </c>
      <c r="E79" t="str">
        <v>Female</v>
      </c>
      <c r="F79" t="str">
        <v>Product Management</v>
      </c>
      <c r="G79">
        <v>51798.25</v>
      </c>
      <c r="H79" t="str">
        <v>Average</v>
      </c>
      <c r="I79">
        <v>43665</v>
      </c>
      <c r="J79" s="35">
        <v>1</v>
      </c>
      <c r="K79" t="str">
        <v>Full Time</v>
      </c>
      <c r="L79" t="str">
        <v>Permanent</v>
      </c>
      <c r="M79" t="str">
        <v>Hyderabad, India</v>
      </c>
      <c r="N79">
        <v>2594</v>
      </c>
      <c r="O79">
        <v>7.1068493150684935</v>
      </c>
      <c r="P79">
        <v>0</v>
      </c>
    </row>
    <row r="80" spans="2:16" x14ac:dyDescent="0.3">
      <c r="B80" t="str">
        <v>TN01396</v>
      </c>
      <c r="C80" t="str">
        <v>Koral</v>
      </c>
      <c r="D80" t="str">
        <v>Gerriet</v>
      </c>
      <c r="E80" t="str">
        <v>Male</v>
      </c>
      <c r="F80" t="str">
        <v>Support</v>
      </c>
      <c r="G80">
        <v>30077.45</v>
      </c>
      <c r="H80" t="str">
        <v>Under</v>
      </c>
      <c r="I80">
        <v>43474</v>
      </c>
      <c r="J80" s="35">
        <v>1</v>
      </c>
      <c r="K80" t="str">
        <v>Full Time</v>
      </c>
      <c r="L80" t="str">
        <v>Permanent</v>
      </c>
      <c r="M80" t="str">
        <v>Wellington, New Zealand</v>
      </c>
      <c r="N80">
        <v>2785</v>
      </c>
      <c r="O80">
        <v>7.6301369863013697</v>
      </c>
      <c r="P80">
        <v>0</v>
      </c>
    </row>
    <row r="83" spans="2:16" x14ac:dyDescent="0.3">
      <c r="B83" t="str" cm="1">
        <f t="array" ref="B83:P100">_xlfn._xlws.FILTER(Staff[],MONTH(Staff[Start Date])=6)</f>
        <v>SQ01854</v>
      </c>
      <c r="C83" t="str">
        <v>Jessica</v>
      </c>
      <c r="D83" t="str">
        <v>Callcott</v>
      </c>
      <c r="E83" t="str">
        <v>Female</v>
      </c>
      <c r="F83" t="str">
        <v>Marketing</v>
      </c>
      <c r="G83">
        <v>66017.179999999993</v>
      </c>
      <c r="H83" t="str">
        <v>Average</v>
      </c>
      <c r="I83">
        <v>43643</v>
      </c>
      <c r="J83" s="35">
        <v>0.9</v>
      </c>
      <c r="K83" t="str">
        <v>Part Time</v>
      </c>
      <c r="L83" t="str">
        <v>Permanent</v>
      </c>
      <c r="M83" t="str">
        <v>Remote</v>
      </c>
      <c r="N83">
        <v>2616</v>
      </c>
      <c r="O83">
        <v>7.1671232876712327</v>
      </c>
      <c r="P83">
        <v>0</v>
      </c>
    </row>
    <row r="84" spans="2:16" x14ac:dyDescent="0.3">
      <c r="B84" t="str">
        <v>VT04137</v>
      </c>
      <c r="C84" t="str">
        <v>Marissa</v>
      </c>
      <c r="D84" t="str">
        <v>Infante</v>
      </c>
      <c r="E84" t="str">
        <v>Not Specified</v>
      </c>
      <c r="F84" t="str">
        <v>Training</v>
      </c>
      <c r="G84">
        <v>78840.23</v>
      </c>
      <c r="H84" t="str">
        <v>Average</v>
      </c>
      <c r="I84">
        <v>43633</v>
      </c>
      <c r="J84" s="35">
        <v>1</v>
      </c>
      <c r="K84" t="str">
        <v>Full Time</v>
      </c>
      <c r="L84" t="str">
        <v>Temporary</v>
      </c>
      <c r="M84" t="str">
        <v>Remote</v>
      </c>
      <c r="N84">
        <v>2626</v>
      </c>
      <c r="O84">
        <v>7.1945205479452055</v>
      </c>
      <c r="P84">
        <v>0</v>
      </c>
    </row>
    <row r="85" spans="2:16" x14ac:dyDescent="0.3">
      <c r="B85" t="str">
        <v>SQ01620</v>
      </c>
      <c r="C85" t="str">
        <v>Westbrook</v>
      </c>
      <c r="D85" t="str">
        <v>Brandino</v>
      </c>
      <c r="E85" t="str">
        <v>Male</v>
      </c>
      <c r="F85" t="str">
        <v>Legal</v>
      </c>
      <c r="G85">
        <v>113616.23</v>
      </c>
      <c r="H85" t="str">
        <v>good</v>
      </c>
      <c r="I85">
        <v>43255</v>
      </c>
      <c r="J85" s="35">
        <v>1</v>
      </c>
      <c r="K85" t="str">
        <v>Full Time</v>
      </c>
      <c r="L85" t="str">
        <v>Permanent</v>
      </c>
      <c r="M85" t="str">
        <v>Remote</v>
      </c>
      <c r="N85">
        <v>3004</v>
      </c>
      <c r="O85">
        <v>8.2301369863013694</v>
      </c>
      <c r="P85">
        <v>0</v>
      </c>
    </row>
    <row r="86" spans="2:16" x14ac:dyDescent="0.3">
      <c r="B86" t="str">
        <v>TN03210</v>
      </c>
      <c r="C86" t="str">
        <v>Suman</v>
      </c>
      <c r="D86" t="str">
        <v>Katte</v>
      </c>
      <c r="E86" t="str">
        <v>Male</v>
      </c>
      <c r="F86" t="str">
        <v>Training</v>
      </c>
      <c r="G86">
        <v>79567.69</v>
      </c>
      <c r="H86" t="str">
        <v>Average</v>
      </c>
      <c r="I86">
        <v>43272</v>
      </c>
      <c r="J86" s="35">
        <v>1</v>
      </c>
      <c r="K86" t="str">
        <v>Full Time</v>
      </c>
      <c r="L86" t="str">
        <v>Fixed Term</v>
      </c>
      <c r="M86" t="str">
        <v>Chennai, India</v>
      </c>
      <c r="N86">
        <v>2987</v>
      </c>
      <c r="O86">
        <v>8.1835616438356169</v>
      </c>
      <c r="P86">
        <v>0</v>
      </c>
    </row>
    <row r="87" spans="2:16" x14ac:dyDescent="0.3">
      <c r="B87" t="str">
        <v>PR02782</v>
      </c>
      <c r="C87" t="str">
        <v>Isaak</v>
      </c>
      <c r="D87" t="str">
        <v>Rawne</v>
      </c>
      <c r="E87" t="str">
        <v>Male</v>
      </c>
      <c r="F87" t="str">
        <v>Marketing</v>
      </c>
      <c r="G87">
        <v>37362.300000000003</v>
      </c>
      <c r="H87" t="str">
        <v>Under</v>
      </c>
      <c r="I87">
        <v>43642</v>
      </c>
      <c r="J87" s="35">
        <v>1</v>
      </c>
      <c r="K87" t="str">
        <v>Full Time</v>
      </c>
      <c r="L87" t="str">
        <v>Permanent</v>
      </c>
      <c r="M87" t="str">
        <v>Auckland, New Zealand</v>
      </c>
      <c r="N87">
        <v>2617</v>
      </c>
      <c r="O87">
        <v>7.1698630136986301</v>
      </c>
      <c r="P87">
        <v>0</v>
      </c>
    </row>
    <row r="88" spans="2:16" x14ac:dyDescent="0.3">
      <c r="B88" t="str">
        <v>VT01684</v>
      </c>
      <c r="C88" t="str">
        <v>Audry</v>
      </c>
      <c r="D88" t="str">
        <v>Yu</v>
      </c>
      <c r="E88" t="str">
        <v>Female</v>
      </c>
      <c r="F88" t="str">
        <v>Training</v>
      </c>
      <c r="G88">
        <v>101187.36</v>
      </c>
      <c r="H88" t="str">
        <v>good</v>
      </c>
      <c r="I88">
        <v>43258</v>
      </c>
      <c r="J88" s="35">
        <v>1</v>
      </c>
      <c r="K88" t="str">
        <v>Full Time</v>
      </c>
      <c r="L88" t="str">
        <v>Fixed Term</v>
      </c>
      <c r="M88" t="str">
        <v>Columbus, USA</v>
      </c>
      <c r="N88">
        <v>3001</v>
      </c>
      <c r="O88">
        <v>8.2219178082191782</v>
      </c>
      <c r="P88">
        <v>0</v>
      </c>
    </row>
    <row r="89" spans="2:16" x14ac:dyDescent="0.3">
      <c r="B89" t="str">
        <v>SQ02223</v>
      </c>
      <c r="C89" t="str">
        <v>Pippy</v>
      </c>
      <c r="D89" t="str">
        <v>Shepperd</v>
      </c>
      <c r="E89" t="str">
        <v>Female</v>
      </c>
      <c r="F89" t="str">
        <v>Accounting</v>
      </c>
      <c r="G89">
        <v>44845.33</v>
      </c>
      <c r="H89" t="str">
        <v>Under</v>
      </c>
      <c r="I89">
        <v>43277</v>
      </c>
      <c r="J89" s="35">
        <v>1</v>
      </c>
      <c r="K89" t="str">
        <v>Full Time</v>
      </c>
      <c r="L89" t="str">
        <v>Permanent</v>
      </c>
      <c r="M89" t="str">
        <v>Seattle, USA</v>
      </c>
      <c r="N89">
        <v>2982</v>
      </c>
      <c r="O89">
        <v>8.169863013698631</v>
      </c>
      <c r="P89">
        <v>0</v>
      </c>
    </row>
    <row r="90" spans="2:16" x14ac:dyDescent="0.3">
      <c r="B90" t="str">
        <v>PR02010</v>
      </c>
      <c r="C90" t="str">
        <v>Prerana</v>
      </c>
      <c r="D90" t="str">
        <v>Nishita</v>
      </c>
      <c r="E90" t="str">
        <v>Male</v>
      </c>
      <c r="F90" t="str">
        <v>Product Management</v>
      </c>
      <c r="G90">
        <v>115191.38</v>
      </c>
      <c r="H90" t="str">
        <v>good</v>
      </c>
      <c r="I90">
        <v>44004</v>
      </c>
      <c r="J90" s="35">
        <v>1</v>
      </c>
      <c r="K90" t="str">
        <v>Full Time</v>
      </c>
      <c r="L90" t="str">
        <v>Permanent</v>
      </c>
      <c r="M90" t="str">
        <v>Hyderabad, India</v>
      </c>
      <c r="N90">
        <v>2255</v>
      </c>
      <c r="O90">
        <v>6.1780821917808222</v>
      </c>
      <c r="P90">
        <v>0</v>
      </c>
    </row>
    <row r="91" spans="2:16" x14ac:dyDescent="0.3">
      <c r="B91" t="str">
        <v>VT03500</v>
      </c>
      <c r="C91" t="str">
        <v>Shiuli</v>
      </c>
      <c r="D91" t="str">
        <v>Sapna</v>
      </c>
      <c r="E91" t="str">
        <v>Male</v>
      </c>
      <c r="F91" t="str">
        <v>Support</v>
      </c>
      <c r="G91">
        <v>37062.1</v>
      </c>
      <c r="H91" t="str">
        <v>Under</v>
      </c>
      <c r="I91">
        <v>44357</v>
      </c>
      <c r="J91" s="35">
        <v>1</v>
      </c>
      <c r="K91" t="str">
        <v>Full Time</v>
      </c>
      <c r="L91" t="str">
        <v>Temporary</v>
      </c>
      <c r="M91" t="str">
        <v>Chennai, India</v>
      </c>
      <c r="N91">
        <v>1902</v>
      </c>
      <c r="O91">
        <v>5.2109589041095887</v>
      </c>
      <c r="P91">
        <v>0</v>
      </c>
    </row>
    <row r="92" spans="2:16" x14ac:dyDescent="0.3">
      <c r="B92" t="str">
        <v>TN04101</v>
      </c>
      <c r="C92" t="str">
        <v>Marline</v>
      </c>
      <c r="D92" t="str">
        <v>Wahncke</v>
      </c>
      <c r="E92" t="str">
        <v>Male</v>
      </c>
      <c r="F92" t="str">
        <v>Legal</v>
      </c>
      <c r="G92">
        <v>72843.23</v>
      </c>
      <c r="H92" t="str">
        <v>Average</v>
      </c>
      <c r="I92">
        <v>43280</v>
      </c>
      <c r="J92" s="35">
        <v>1</v>
      </c>
      <c r="K92" t="str">
        <v>Full Time</v>
      </c>
      <c r="L92" t="str">
        <v>Fixed Term</v>
      </c>
      <c r="M92" t="str">
        <v>Wellington, New Zealand</v>
      </c>
      <c r="N92">
        <v>2979</v>
      </c>
      <c r="O92">
        <v>8.161643835616438</v>
      </c>
      <c r="P92">
        <v>0</v>
      </c>
    </row>
    <row r="93" spans="2:16" x14ac:dyDescent="0.3">
      <c r="B93" t="str">
        <v>SQ02638</v>
      </c>
      <c r="C93" t="str">
        <v>Cara</v>
      </c>
      <c r="D93" t="str">
        <v>Havers</v>
      </c>
      <c r="E93" t="str">
        <v>Male</v>
      </c>
      <c r="F93" t="str">
        <v>Marketing</v>
      </c>
      <c r="G93">
        <v>89605.13</v>
      </c>
      <c r="H93" t="str">
        <v>Average</v>
      </c>
      <c r="I93">
        <v>43258</v>
      </c>
      <c r="J93" s="35">
        <v>1</v>
      </c>
      <c r="K93" t="str">
        <v>Full Time</v>
      </c>
      <c r="L93" t="str">
        <v>Permanent</v>
      </c>
      <c r="M93" t="str">
        <v>Seattle, USA</v>
      </c>
      <c r="N93">
        <v>3001</v>
      </c>
      <c r="O93">
        <v>8.2219178082191782</v>
      </c>
      <c r="P93">
        <v>0</v>
      </c>
    </row>
    <row r="94" spans="2:16" x14ac:dyDescent="0.3">
      <c r="B94" t="str">
        <v>VT03552</v>
      </c>
      <c r="C94" t="str">
        <v>Kamalakshi</v>
      </c>
      <c r="D94" t="str">
        <v>Mukundan</v>
      </c>
      <c r="E94" t="str">
        <v>Male</v>
      </c>
      <c r="F94" t="str">
        <v>Engineering</v>
      </c>
      <c r="G94">
        <v>36536.26</v>
      </c>
      <c r="H94" t="str">
        <v>Under</v>
      </c>
      <c r="I94">
        <v>44358</v>
      </c>
      <c r="J94" s="35">
        <v>1</v>
      </c>
      <c r="K94" t="str">
        <v>Full Time</v>
      </c>
      <c r="L94" t="str">
        <v>Temporary</v>
      </c>
      <c r="M94" t="str">
        <v>Hyderabad, India</v>
      </c>
      <c r="N94">
        <v>1901</v>
      </c>
      <c r="O94">
        <v>5.2082191780821914</v>
      </c>
      <c r="P94">
        <v>0</v>
      </c>
    </row>
    <row r="95" spans="2:16" x14ac:dyDescent="0.3">
      <c r="B95" t="str">
        <v>SQ00070</v>
      </c>
      <c r="C95" t="str">
        <v>Larissa</v>
      </c>
      <c r="D95" t="str">
        <v>Ingledow</v>
      </c>
      <c r="E95" t="str">
        <v>Male</v>
      </c>
      <c r="F95" t="str">
        <v>Research and Development</v>
      </c>
      <c r="G95">
        <v>62281.24</v>
      </c>
      <c r="H95" t="str">
        <v>Average</v>
      </c>
      <c r="I95">
        <v>43272</v>
      </c>
      <c r="J95" s="35">
        <v>1</v>
      </c>
      <c r="K95" t="str">
        <v>Full Time</v>
      </c>
      <c r="L95" t="str">
        <v>Permanent</v>
      </c>
      <c r="M95" t="str">
        <v>Remote</v>
      </c>
      <c r="N95">
        <v>2987</v>
      </c>
      <c r="O95">
        <v>8.1835616438356169</v>
      </c>
      <c r="P95">
        <v>0</v>
      </c>
    </row>
    <row r="96" spans="2:16" x14ac:dyDescent="0.3">
      <c r="B96" t="str">
        <v>PR04851</v>
      </c>
      <c r="C96" t="str">
        <v>Rodina</v>
      </c>
      <c r="D96" t="str">
        <v>Drinan</v>
      </c>
      <c r="E96" t="str">
        <v>Female</v>
      </c>
      <c r="F96" t="str">
        <v>Sales</v>
      </c>
      <c r="G96">
        <v>77045.440000000002</v>
      </c>
      <c r="H96" t="str">
        <v>Average</v>
      </c>
      <c r="I96">
        <v>43636</v>
      </c>
      <c r="J96" s="35">
        <v>1</v>
      </c>
      <c r="K96" t="str">
        <v>Full Time</v>
      </c>
      <c r="L96" t="str">
        <v>Permanent</v>
      </c>
      <c r="M96" t="str">
        <v>Remote</v>
      </c>
      <c r="N96">
        <v>2623</v>
      </c>
      <c r="O96">
        <v>7.1863013698630134</v>
      </c>
      <c r="P96">
        <v>0</v>
      </c>
    </row>
    <row r="97" spans="2:16" x14ac:dyDescent="0.3">
      <c r="B97" t="str">
        <v>SQ02035</v>
      </c>
      <c r="C97" t="str">
        <v>Anni</v>
      </c>
      <c r="D97" t="str">
        <v>Izzard</v>
      </c>
      <c r="E97" t="str">
        <v>Male</v>
      </c>
      <c r="F97" t="str">
        <v>Human Resources</v>
      </c>
      <c r="G97">
        <v>103494.94</v>
      </c>
      <c r="H97" t="str">
        <v>good</v>
      </c>
      <c r="I97">
        <v>43256</v>
      </c>
      <c r="J97" s="35">
        <v>1</v>
      </c>
      <c r="K97" t="str">
        <v>Full Time</v>
      </c>
      <c r="L97" t="str">
        <v>Permanent</v>
      </c>
      <c r="M97" t="str">
        <v>Remote</v>
      </c>
      <c r="N97">
        <v>3003</v>
      </c>
      <c r="O97">
        <v>8.2273972602739729</v>
      </c>
      <c r="P97">
        <v>0</v>
      </c>
    </row>
    <row r="98" spans="2:16" x14ac:dyDescent="0.3">
      <c r="B98" t="str">
        <v>SQ00286</v>
      </c>
      <c r="C98" t="str">
        <v>Ilesh</v>
      </c>
      <c r="D98" t="str">
        <v>Dasgupta</v>
      </c>
      <c r="E98" t="str">
        <v>Female</v>
      </c>
      <c r="F98" t="str">
        <v>Legal</v>
      </c>
      <c r="G98">
        <v>61213.01</v>
      </c>
      <c r="H98" t="str">
        <v>Average</v>
      </c>
      <c r="I98">
        <v>44365</v>
      </c>
      <c r="J98" s="35">
        <v>1</v>
      </c>
      <c r="K98" t="str">
        <v>Full Time</v>
      </c>
      <c r="L98" t="str">
        <v>Permanent</v>
      </c>
      <c r="M98" t="str">
        <v>Chennai, India</v>
      </c>
      <c r="N98">
        <v>1894</v>
      </c>
      <c r="O98">
        <v>5.1890410958904107</v>
      </c>
      <c r="P98">
        <v>0</v>
      </c>
    </row>
    <row r="99" spans="2:16" x14ac:dyDescent="0.3">
      <c r="B99" t="str">
        <v>PR01943</v>
      </c>
      <c r="C99" t="str">
        <v>Rameshwari</v>
      </c>
      <c r="D99" t="str">
        <v>Chikodi</v>
      </c>
      <c r="E99" t="str">
        <v>Male</v>
      </c>
      <c r="F99" t="str">
        <v>Human Resources</v>
      </c>
      <c r="G99">
        <v>48525.71</v>
      </c>
      <c r="H99" t="str">
        <v>Under</v>
      </c>
      <c r="I99">
        <v>43264</v>
      </c>
      <c r="J99" s="35">
        <v>1</v>
      </c>
      <c r="K99" t="str">
        <v>Full Time</v>
      </c>
      <c r="L99" t="str">
        <v>Permanent</v>
      </c>
      <c r="M99" t="str">
        <v>Hyderabad, India</v>
      </c>
      <c r="N99">
        <v>2995</v>
      </c>
      <c r="O99">
        <v>8.205479452054794</v>
      </c>
      <c r="P99">
        <v>0</v>
      </c>
    </row>
    <row r="100" spans="2:16" x14ac:dyDescent="0.3">
      <c r="B100" t="str">
        <v>SQ02035</v>
      </c>
      <c r="C100" t="str">
        <v>Anni</v>
      </c>
      <c r="D100" t="str">
        <v>Izzard</v>
      </c>
      <c r="E100" t="str">
        <v>Male</v>
      </c>
      <c r="F100" t="str">
        <v>Human Resources</v>
      </c>
      <c r="G100">
        <v>103494.94</v>
      </c>
      <c r="H100" t="str">
        <v>good</v>
      </c>
      <c r="I100">
        <v>43256</v>
      </c>
      <c r="J100" s="35">
        <v>1</v>
      </c>
      <c r="K100" t="str">
        <v>Full Time</v>
      </c>
      <c r="L100" t="str">
        <v>Permanent</v>
      </c>
      <c r="M100" t="str">
        <v>Remote</v>
      </c>
      <c r="N100">
        <v>3003</v>
      </c>
      <c r="O100">
        <v>8.2273972602739729</v>
      </c>
      <c r="P100">
        <v>0</v>
      </c>
    </row>
    <row r="104" spans="2:16" ht="33.6" x14ac:dyDescent="0.65">
      <c r="B104" s="36"/>
    </row>
    <row r="106" spans="2:16" ht="21" x14ac:dyDescent="0.4">
      <c r="B106" s="38"/>
      <c r="D106" s="39"/>
    </row>
    <row r="108" spans="2:16" x14ac:dyDescent="0.3">
      <c r="B108" s="37"/>
      <c r="C108" s="37"/>
      <c r="D108" s="37"/>
      <c r="E108" s="37"/>
      <c r="F108" s="37"/>
      <c r="G108" s="37"/>
      <c r="H108" s="37"/>
      <c r="I108" s="37"/>
    </row>
    <row r="109" spans="2:16" x14ac:dyDescent="0.3">
      <c r="D109" s="7"/>
      <c r="E109" s="39"/>
      <c r="F109" s="39"/>
      <c r="G109" s="7"/>
    </row>
    <row r="110" spans="2:16" x14ac:dyDescent="0.3">
      <c r="D110" s="7"/>
      <c r="E110" s="39"/>
      <c r="F110" s="39"/>
      <c r="G110" s="7"/>
    </row>
    <row r="111" spans="2:16" x14ac:dyDescent="0.3">
      <c r="D111" s="7"/>
      <c r="E111" s="39"/>
      <c r="F111" s="39"/>
      <c r="G111" s="7"/>
    </row>
    <row r="112" spans="2:16" x14ac:dyDescent="0.3">
      <c r="D112" s="7"/>
      <c r="E112" s="39"/>
      <c r="F112" s="39"/>
      <c r="G112" s="7"/>
    </row>
    <row r="113" spans="4:8" x14ac:dyDescent="0.3">
      <c r="D113" s="7"/>
      <c r="E113" s="39"/>
      <c r="F113" s="39"/>
      <c r="G113" s="7"/>
    </row>
    <row r="114" spans="4:8" x14ac:dyDescent="0.3">
      <c r="D114" s="7"/>
      <c r="E114" s="39"/>
      <c r="F114" s="39"/>
      <c r="G114" s="7"/>
    </row>
    <row r="115" spans="4:8" x14ac:dyDescent="0.3">
      <c r="D115" s="7"/>
      <c r="E115" s="39"/>
      <c r="F115" s="39"/>
      <c r="G115" s="7"/>
    </row>
    <row r="116" spans="4:8" x14ac:dyDescent="0.3">
      <c r="D116" s="7"/>
      <c r="E116" s="39"/>
      <c r="F116" s="39"/>
      <c r="G116" s="7"/>
    </row>
    <row r="117" spans="4:8" x14ac:dyDescent="0.3">
      <c r="D117" s="7"/>
      <c r="E117" s="39"/>
      <c r="F117" s="39"/>
      <c r="G117" s="7"/>
    </row>
    <row r="118" spans="4:8" x14ac:dyDescent="0.3">
      <c r="D118" s="7"/>
      <c r="E118" s="39"/>
      <c r="F118" s="39"/>
      <c r="G118" s="7"/>
    </row>
    <row r="119" spans="4:8" x14ac:dyDescent="0.3">
      <c r="D119" s="7"/>
      <c r="E119" s="39"/>
      <c r="F119" s="39"/>
      <c r="G119" s="7"/>
    </row>
    <row r="120" spans="4:8" x14ac:dyDescent="0.3">
      <c r="D120" s="7"/>
      <c r="E120" s="39"/>
      <c r="F120" s="39"/>
      <c r="G120" s="7"/>
    </row>
    <row r="121" spans="4:8" x14ac:dyDescent="0.3">
      <c r="D121" s="7"/>
      <c r="E121" s="39"/>
      <c r="F121" s="39"/>
      <c r="G121" s="7"/>
      <c r="H121" s="39"/>
    </row>
  </sheetData>
  <conditionalFormatting sqref="E109:E121">
    <cfRule type="dataBar" priority="1">
      <dataBar showValue="0">
        <cfvo type="min"/>
        <cfvo type="max"/>
        <color rgb="FF63C384"/>
      </dataBar>
      <extLst>
        <ext xmlns:x14="http://schemas.microsoft.com/office/spreadsheetml/2009/9/main" uri="{B025F937-C7B1-47D3-B67F-A62EFF666E3E}">
          <x14:id>{4B7F36AD-7567-4CD9-931F-632629CCDB37}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B7F36AD-7567-4CD9-931F-632629CCDB37}">
            <x14:dataBar minLength="0" maxLength="100" gradient="0">
              <x14:cfvo type="autoMin"/>
              <x14:cfvo type="autoMax"/>
              <x14:negativeFillColor rgb="FFFF0000"/>
              <x14:axisColor rgb="FF000000"/>
            </x14:dataBar>
          </x14:cfRule>
          <xm:sqref>E109:E121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B850-01CA-433E-84B9-DCB6DAC72C84}">
  <dimension ref="C3:K22"/>
  <sheetViews>
    <sheetView workbookViewId="0">
      <selection activeCell="G28" sqref="G28"/>
    </sheetView>
  </sheetViews>
  <sheetFormatPr defaultRowHeight="14.4" x14ac:dyDescent="0.3"/>
  <cols>
    <col min="3" max="3" width="19.6640625" customWidth="1"/>
    <col min="4" max="4" width="20.5546875" customWidth="1"/>
    <col min="5" max="5" width="18.5546875" customWidth="1"/>
    <col min="6" max="6" width="19.21875" customWidth="1"/>
    <col min="7" max="7" width="18.88671875" customWidth="1"/>
    <col min="8" max="8" width="15.77734375" customWidth="1"/>
    <col min="9" max="9" width="15" customWidth="1"/>
    <col min="10" max="10" width="19.33203125" customWidth="1"/>
  </cols>
  <sheetData>
    <row r="3" spans="3:11" ht="33.6" x14ac:dyDescent="0.65">
      <c r="C3" s="36" t="s">
        <v>995</v>
      </c>
      <c r="K3" s="35"/>
    </row>
    <row r="4" spans="3:11" x14ac:dyDescent="0.3">
      <c r="K4" s="35"/>
    </row>
    <row r="5" spans="3:11" ht="21" x14ac:dyDescent="0.4">
      <c r="C5" s="38" t="s">
        <v>1001</v>
      </c>
      <c r="D5">
        <f>COUNTA(Staff[Emp ID])</f>
        <v>260</v>
      </c>
      <c r="E5" s="39">
        <f>AVERAGEA(Staff[Salary])</f>
        <v>73861.325230769202</v>
      </c>
      <c r="F5">
        <f>MAX(Staff[Salary])</f>
        <v>120000</v>
      </c>
      <c r="K5" s="35"/>
    </row>
    <row r="6" spans="3:11" x14ac:dyDescent="0.3">
      <c r="K6" s="35"/>
    </row>
    <row r="7" spans="3:11" x14ac:dyDescent="0.3">
      <c r="C7" s="37" t="s">
        <v>996</v>
      </c>
      <c r="D7" s="37" t="s">
        <v>997</v>
      </c>
      <c r="E7" s="37" t="s">
        <v>998</v>
      </c>
      <c r="F7" s="37" t="s">
        <v>999</v>
      </c>
      <c r="G7" s="37"/>
      <c r="H7" s="37" t="s">
        <v>1000</v>
      </c>
      <c r="I7" s="37" t="s">
        <v>1002</v>
      </c>
      <c r="J7" s="37" t="s">
        <v>1003</v>
      </c>
      <c r="K7" s="35"/>
    </row>
    <row r="8" spans="3:11" x14ac:dyDescent="0.3">
      <c r="C8" t="str" cm="1">
        <f t="array" ref="C8:C20">_xlfn._xlws.SORT(_xlfn.UNIQUE(Staff[Department]))</f>
        <v>Accounting</v>
      </c>
      <c r="D8" cm="1">
        <f t="array" ref="D8:D20">COUNTIFS(Staff[Department],_xlfn.ANCHORARRAY(C8))</f>
        <v>26</v>
      </c>
      <c r="E8" s="7" cm="1">
        <f t="array" ref="E8:E20">AVERAGEIFS(Staff[Salary],Staff[Department],_xlfn.ANCHORARRAY(C8))</f>
        <v>69806.945769230762</v>
      </c>
      <c r="F8" s="39" cm="1">
        <f t="array" ref="F8:F20">_xlfn.ANCHORARRAY(E8)-E5</f>
        <v>-4054.3794615384395</v>
      </c>
      <c r="G8" s="39" cm="1">
        <f t="array" ref="G8:G20">_xlfn.ANCHORARRAY(F8)</f>
        <v>-4054.3794615384395</v>
      </c>
      <c r="H8" s="7" cm="1">
        <f t="array" ref="H8:H20">_xlfn.MAXIFS(Staff[Salary],Staff[Department],_xlfn.ANCHORARRAY(C8))</f>
        <v>119022.49</v>
      </c>
      <c r="I8" t="e">
        <f>MEDIAN(_xlfn._xlws.FILTER(Staff[Salary],Staff[Department],_xlfn.ANCHORARRAY(C8)))</f>
        <v>#VALUE!</v>
      </c>
      <c r="K8" s="35"/>
    </row>
    <row r="9" spans="3:11" x14ac:dyDescent="0.3">
      <c r="C9" t="str">
        <v>Business Development</v>
      </c>
      <c r="D9">
        <v>26</v>
      </c>
      <c r="E9" s="7">
        <v>79781.805769230792</v>
      </c>
      <c r="F9" s="39">
        <v>5920.4805384615902</v>
      </c>
      <c r="G9" s="39">
        <v>5920.4805384615902</v>
      </c>
      <c r="H9" s="7">
        <v>110042.37</v>
      </c>
      <c r="K9" s="35"/>
    </row>
    <row r="10" spans="3:11" x14ac:dyDescent="0.3">
      <c r="C10" t="str">
        <v>Doctor</v>
      </c>
      <c r="D10">
        <v>8</v>
      </c>
      <c r="E10" s="7">
        <v>91179.293750000012</v>
      </c>
      <c r="F10" s="39">
        <v>17317.96851923081</v>
      </c>
      <c r="G10" s="39">
        <v>17317.96851923081</v>
      </c>
      <c r="H10" s="7">
        <v>120000</v>
      </c>
      <c r="K10" s="35"/>
    </row>
    <row r="11" spans="3:11" x14ac:dyDescent="0.3">
      <c r="C11" t="str">
        <v>Engineering</v>
      </c>
      <c r="D11">
        <v>18</v>
      </c>
      <c r="E11" s="7">
        <v>77886.285555555558</v>
      </c>
      <c r="F11" s="39">
        <v>4024.9603247863561</v>
      </c>
      <c r="G11" s="39">
        <v>4024.9603247863561</v>
      </c>
      <c r="H11" s="7">
        <v>118976.16</v>
      </c>
      <c r="K11" s="35"/>
    </row>
    <row r="12" spans="3:11" x14ac:dyDescent="0.3">
      <c r="C12" t="str">
        <v>Human Resources</v>
      </c>
      <c r="D12">
        <v>22</v>
      </c>
      <c r="E12" s="7">
        <v>73109.377727272731</v>
      </c>
      <c r="F12" s="39">
        <v>-751.94750349647074</v>
      </c>
      <c r="G12" s="39">
        <v>-751.94750349647074</v>
      </c>
      <c r="H12" s="7">
        <v>103494.94</v>
      </c>
      <c r="K12" s="35"/>
    </row>
    <row r="13" spans="3:11" x14ac:dyDescent="0.3">
      <c r="C13" t="str">
        <v>Legal</v>
      </c>
      <c r="D13">
        <v>21</v>
      </c>
      <c r="E13" s="7">
        <v>67242.51761904762</v>
      </c>
      <c r="F13" s="39">
        <v>-6618.8076117215824</v>
      </c>
      <c r="G13" s="39">
        <v>-6618.8076117215824</v>
      </c>
      <c r="H13" s="7">
        <v>113747.56</v>
      </c>
      <c r="K13" s="35"/>
    </row>
    <row r="14" spans="3:11" x14ac:dyDescent="0.3">
      <c r="C14" t="str">
        <v>Marketing</v>
      </c>
      <c r="D14">
        <v>12</v>
      </c>
      <c r="E14" s="7">
        <v>64441.299999999996</v>
      </c>
      <c r="F14" s="39">
        <v>-9420.0252307692062</v>
      </c>
      <c r="G14" s="39">
        <v>-9420.0252307692062</v>
      </c>
      <c r="H14" s="7">
        <v>104903.79</v>
      </c>
      <c r="K14" s="35"/>
    </row>
    <row r="15" spans="3:11" x14ac:dyDescent="0.3">
      <c r="C15" t="str">
        <v>Product Management</v>
      </c>
      <c r="D15">
        <v>29</v>
      </c>
      <c r="E15" s="7">
        <v>75179.064482758607</v>
      </c>
      <c r="F15" s="39">
        <v>1317.7392519894056</v>
      </c>
      <c r="G15" s="39">
        <v>1317.7392519894056</v>
      </c>
      <c r="H15" s="7">
        <v>115191.38</v>
      </c>
      <c r="K15" s="35"/>
    </row>
    <row r="16" spans="3:11" x14ac:dyDescent="0.3">
      <c r="C16" t="str">
        <v>Research and Development</v>
      </c>
      <c r="D16">
        <v>18</v>
      </c>
      <c r="E16" s="7">
        <v>66910.765555555554</v>
      </c>
      <c r="F16" s="39">
        <v>-6950.559675213648</v>
      </c>
      <c r="G16" s="39">
        <v>-6950.559675213648</v>
      </c>
      <c r="H16" s="7">
        <v>99683.67</v>
      </c>
      <c r="K16" s="35"/>
    </row>
    <row r="17" spans="3:11" x14ac:dyDescent="0.3">
      <c r="C17" t="str">
        <v>Sales</v>
      </c>
      <c r="D17">
        <v>18</v>
      </c>
      <c r="E17" s="7">
        <v>71897.095555555556</v>
      </c>
      <c r="F17" s="39">
        <v>-1964.2296752136463</v>
      </c>
      <c r="G17" s="39">
        <v>-1964.2296752136463</v>
      </c>
      <c r="H17" s="7">
        <v>102129.37</v>
      </c>
      <c r="K17" s="35"/>
    </row>
    <row r="18" spans="3:11" x14ac:dyDescent="0.3">
      <c r="C18" t="str">
        <v>Services</v>
      </c>
      <c r="D18">
        <v>21</v>
      </c>
      <c r="E18" s="7">
        <v>74673.97476190477</v>
      </c>
      <c r="F18" s="39">
        <v>812.6495311355684</v>
      </c>
      <c r="G18" s="39">
        <v>812.6495311355684</v>
      </c>
      <c r="H18" s="7">
        <v>120000</v>
      </c>
      <c r="K18" s="35"/>
    </row>
    <row r="19" spans="3:11" x14ac:dyDescent="0.3">
      <c r="C19" t="str">
        <v>Support</v>
      </c>
      <c r="D19">
        <v>17</v>
      </c>
      <c r="E19" s="7">
        <v>66432.455882352922</v>
      </c>
      <c r="F19" s="39">
        <v>-7428.8693484162795</v>
      </c>
      <c r="G19" s="39">
        <v>-7428.8693484162795</v>
      </c>
      <c r="H19" s="7">
        <v>104802.63</v>
      </c>
      <c r="K19" s="35"/>
    </row>
    <row r="20" spans="3:11" x14ac:dyDescent="0.3">
      <c r="C20" t="str">
        <v>Training</v>
      </c>
      <c r="D20">
        <v>24</v>
      </c>
      <c r="E20" s="7">
        <v>83883.965000000011</v>
      </c>
      <c r="F20" s="39">
        <v>10022.639769230809</v>
      </c>
      <c r="G20" s="39">
        <v>10022.639769230809</v>
      </c>
      <c r="H20" s="7">
        <v>116767.63</v>
      </c>
      <c r="I20" s="39"/>
      <c r="K20" s="35"/>
    </row>
    <row r="21" spans="3:11" x14ac:dyDescent="0.3">
      <c r="K21" s="35"/>
    </row>
    <row r="22" spans="3:11" x14ac:dyDescent="0.3">
      <c r="K22" s="35"/>
    </row>
  </sheetData>
  <conditionalFormatting sqref="F8:F20">
    <cfRule type="dataBar" priority="1">
      <dataBar showValue="0">
        <cfvo type="min"/>
        <cfvo type="max"/>
        <color rgb="FF63C384"/>
      </dataBar>
      <extLst>
        <ext xmlns:x14="http://schemas.microsoft.com/office/spreadsheetml/2009/9/main" uri="{B025F937-C7B1-47D3-B67F-A62EFF666E3E}">
          <x14:id>{BF45C1AF-38C9-4A5E-8312-9BDDCE5F626A}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F45C1AF-38C9-4A5E-8312-9BDDCE5F626A}">
            <x14:dataBar minLength="0" maxLength="100" gradient="0">
              <x14:cfvo type="autoMin"/>
              <x14:cfvo type="autoMax"/>
              <x14:negativeFillColor rgb="FFFF0000"/>
              <x14:axisColor rgb="FF000000"/>
            </x14:dataBar>
          </x14:cfRule>
          <xm:sqref>F8:F20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BAE40-BB48-4D46-91B3-2F0019A68676}">
  <dimension ref="A3:C21"/>
  <sheetViews>
    <sheetView workbookViewId="0">
      <selection activeCell="G28" sqref="G28"/>
    </sheetView>
  </sheetViews>
  <sheetFormatPr defaultRowHeight="14.4" x14ac:dyDescent="0.3"/>
  <cols>
    <col min="1" max="1" width="12.44140625" bestFit="1" customWidth="1"/>
    <col min="2" max="2" width="18.44140625" bestFit="1" customWidth="1"/>
    <col min="3" max="3" width="25.77734375" bestFit="1" customWidth="1"/>
  </cols>
  <sheetData>
    <row r="3" spans="1:3" x14ac:dyDescent="0.3">
      <c r="A3" s="40" t="s">
        <v>2060</v>
      </c>
      <c r="B3" t="s">
        <v>2062</v>
      </c>
      <c r="C3" t="s">
        <v>2063</v>
      </c>
    </row>
    <row r="4" spans="1:3" x14ac:dyDescent="0.3">
      <c r="A4" s="41" t="s">
        <v>1078</v>
      </c>
      <c r="B4">
        <v>65</v>
      </c>
      <c r="C4" s="6">
        <v>3.8307692307692309</v>
      </c>
    </row>
    <row r="5" spans="1:3" x14ac:dyDescent="0.3">
      <c r="A5" s="41" t="s">
        <v>1047</v>
      </c>
      <c r="B5">
        <v>63</v>
      </c>
      <c r="C5" s="6">
        <v>4.0730158730158736</v>
      </c>
    </row>
    <row r="6" spans="1:3" x14ac:dyDescent="0.3">
      <c r="A6" s="41" t="s">
        <v>1016</v>
      </c>
      <c r="B6">
        <v>50</v>
      </c>
      <c r="C6" s="6">
        <v>4.0179999999999998</v>
      </c>
    </row>
    <row r="7" spans="1:3" x14ac:dyDescent="0.3">
      <c r="A7" s="41" t="s">
        <v>1021</v>
      </c>
      <c r="B7">
        <v>82</v>
      </c>
      <c r="C7" s="6">
        <v>3.976829268292684</v>
      </c>
    </row>
    <row r="8" spans="1:3" x14ac:dyDescent="0.3">
      <c r="A8" s="41" t="s">
        <v>1023</v>
      </c>
      <c r="B8">
        <v>79</v>
      </c>
      <c r="C8" s="6">
        <v>3.9797468354430396</v>
      </c>
    </row>
    <row r="9" spans="1:3" x14ac:dyDescent="0.3">
      <c r="A9" s="41" t="s">
        <v>1059</v>
      </c>
      <c r="B9">
        <v>62</v>
      </c>
      <c r="C9" s="6">
        <v>3.7774193548387092</v>
      </c>
    </row>
    <row r="10" spans="1:3" x14ac:dyDescent="0.3">
      <c r="A10" s="41" t="s">
        <v>1036</v>
      </c>
      <c r="B10">
        <v>67</v>
      </c>
      <c r="C10" s="6">
        <v>3.8522388059701487</v>
      </c>
    </row>
    <row r="11" spans="1:3" x14ac:dyDescent="0.3">
      <c r="A11" s="41" t="s">
        <v>1098</v>
      </c>
      <c r="B11">
        <v>59</v>
      </c>
      <c r="C11" s="6">
        <v>3.901694915254236</v>
      </c>
    </row>
    <row r="12" spans="1:3" x14ac:dyDescent="0.3">
      <c r="A12" s="41" t="s">
        <v>1055</v>
      </c>
      <c r="B12">
        <v>69</v>
      </c>
      <c r="C12" s="6">
        <v>3.62608695652174</v>
      </c>
    </row>
    <row r="13" spans="1:3" x14ac:dyDescent="0.3">
      <c r="A13" s="41" t="s">
        <v>1041</v>
      </c>
      <c r="B13">
        <v>72</v>
      </c>
      <c r="C13" s="6">
        <v>3.863888888888888</v>
      </c>
    </row>
    <row r="14" spans="1:3" x14ac:dyDescent="0.3">
      <c r="A14" s="41" t="s">
        <v>1028</v>
      </c>
      <c r="B14">
        <v>74</v>
      </c>
      <c r="C14" s="6">
        <v>3.9837837837837853</v>
      </c>
    </row>
    <row r="15" spans="1:3" x14ac:dyDescent="0.3">
      <c r="A15" s="41" t="s">
        <v>1068</v>
      </c>
      <c r="B15">
        <v>70</v>
      </c>
      <c r="C15" s="6">
        <v>4.1300000000000008</v>
      </c>
    </row>
    <row r="16" spans="1:3" x14ac:dyDescent="0.3">
      <c r="A16" s="41" t="s">
        <v>1045</v>
      </c>
      <c r="B16">
        <v>69</v>
      </c>
      <c r="C16" s="6">
        <v>3.7753623188405814</v>
      </c>
    </row>
    <row r="17" spans="1:3" x14ac:dyDescent="0.3">
      <c r="A17" s="41" t="s">
        <v>1026</v>
      </c>
      <c r="B17">
        <v>60</v>
      </c>
      <c r="C17" s="6">
        <v>3.609999999999999</v>
      </c>
    </row>
    <row r="18" spans="1:3" x14ac:dyDescent="0.3">
      <c r="A18" s="41" t="s">
        <v>1065</v>
      </c>
      <c r="B18">
        <v>59</v>
      </c>
      <c r="C18" s="6">
        <v>3.8389830508474563</v>
      </c>
    </row>
    <row r="19" spans="1:3" x14ac:dyDescent="0.3">
      <c r="A19" s="41" t="s">
        <v>2061</v>
      </c>
      <c r="B19">
        <v>1000</v>
      </c>
      <c r="C19" s="6">
        <v>3.8854000000000029</v>
      </c>
    </row>
    <row r="20" spans="1:3" x14ac:dyDescent="0.3">
      <c r="C20" s="6"/>
    </row>
    <row r="21" spans="1:3" x14ac:dyDescent="0.3">
      <c r="C21"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9173-26CE-4E75-8EE3-3C43E24CADD1}">
  <dimension ref="A3:B14"/>
  <sheetViews>
    <sheetView workbookViewId="0">
      <selection activeCell="G28" sqref="G28"/>
    </sheetView>
  </sheetViews>
  <sheetFormatPr defaultRowHeight="14.4" x14ac:dyDescent="0.3"/>
  <cols>
    <col min="1" max="1" width="12.44140625" bestFit="1" customWidth="1"/>
    <col min="2" max="2" width="21.77734375" bestFit="1" customWidth="1"/>
  </cols>
  <sheetData>
    <row r="3" spans="1:2" x14ac:dyDescent="0.3">
      <c r="A3" s="40" t="s">
        <v>2060</v>
      </c>
      <c r="B3" t="s">
        <v>2064</v>
      </c>
    </row>
    <row r="4" spans="1:2" x14ac:dyDescent="0.3">
      <c r="A4" s="41" t="s">
        <v>1078</v>
      </c>
      <c r="B4">
        <v>1655</v>
      </c>
    </row>
    <row r="5" spans="1:2" x14ac:dyDescent="0.3">
      <c r="A5" s="41" t="s">
        <v>1047</v>
      </c>
      <c r="B5">
        <v>1233</v>
      </c>
    </row>
    <row r="6" spans="1:2" x14ac:dyDescent="0.3">
      <c r="A6" s="41" t="s">
        <v>1021</v>
      </c>
      <c r="B6">
        <v>1991</v>
      </c>
    </row>
    <row r="7" spans="1:2" x14ac:dyDescent="0.3">
      <c r="A7" s="41" t="s">
        <v>1036</v>
      </c>
      <c r="B7">
        <v>1598</v>
      </c>
    </row>
    <row r="8" spans="1:2" x14ac:dyDescent="0.3">
      <c r="A8" s="41" t="s">
        <v>1055</v>
      </c>
      <c r="B8">
        <v>1415</v>
      </c>
    </row>
    <row r="9" spans="1:2" x14ac:dyDescent="0.3">
      <c r="A9" s="41" t="s">
        <v>1028</v>
      </c>
      <c r="B9">
        <v>1163</v>
      </c>
    </row>
    <row r="10" spans="1:2" x14ac:dyDescent="0.3">
      <c r="A10" s="41" t="s">
        <v>1068</v>
      </c>
      <c r="B10">
        <v>1438</v>
      </c>
    </row>
    <row r="11" spans="1:2" x14ac:dyDescent="0.3">
      <c r="A11" s="41" t="s">
        <v>1045</v>
      </c>
      <c r="B11">
        <v>1255</v>
      </c>
    </row>
    <row r="12" spans="1:2" x14ac:dyDescent="0.3">
      <c r="A12" s="41" t="s">
        <v>1026</v>
      </c>
      <c r="B12">
        <v>1362</v>
      </c>
    </row>
    <row r="13" spans="1:2" x14ac:dyDescent="0.3">
      <c r="A13" s="41" t="s">
        <v>1065</v>
      </c>
      <c r="B13">
        <v>1138</v>
      </c>
    </row>
    <row r="14" spans="1:2" x14ac:dyDescent="0.3">
      <c r="A14" s="41" t="s">
        <v>2061</v>
      </c>
      <c r="B14">
        <v>14248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AAF6C-F2BA-4831-9F44-BEB7BC53AF93}">
  <dimension ref="A1:B6"/>
  <sheetViews>
    <sheetView workbookViewId="0">
      <selection activeCell="G28" sqref="G28"/>
    </sheetView>
  </sheetViews>
  <sheetFormatPr defaultRowHeight="14.4" x14ac:dyDescent="0.3"/>
  <cols>
    <col min="1" max="1" width="12.44140625" bestFit="1" customWidth="1"/>
    <col min="2" max="2" width="18.44140625" bestFit="1" customWidth="1"/>
    <col min="3" max="3" width="24.6640625" customWidth="1"/>
  </cols>
  <sheetData>
    <row r="1" spans="1:2" x14ac:dyDescent="0.3">
      <c r="A1" s="40" t="s">
        <v>2060</v>
      </c>
      <c r="B1" t="s">
        <v>2062</v>
      </c>
    </row>
    <row r="2" spans="1:2" x14ac:dyDescent="0.3">
      <c r="A2" s="41" t="s">
        <v>2065</v>
      </c>
      <c r="B2">
        <v>60</v>
      </c>
    </row>
    <row r="3" spans="1:2" x14ac:dyDescent="0.3">
      <c r="A3" s="41" t="s">
        <v>2066</v>
      </c>
      <c r="B3">
        <v>179</v>
      </c>
    </row>
    <row r="4" spans="1:2" x14ac:dyDescent="0.3">
      <c r="A4" s="41" t="s">
        <v>2067</v>
      </c>
      <c r="B4">
        <v>272</v>
      </c>
    </row>
    <row r="5" spans="1:2" x14ac:dyDescent="0.3">
      <c r="A5" s="41" t="s">
        <v>2068</v>
      </c>
      <c r="B5">
        <v>489</v>
      </c>
    </row>
    <row r="6" spans="1:2" x14ac:dyDescent="0.3">
      <c r="A6" s="41" t="s">
        <v>2061</v>
      </c>
      <c r="B6">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CFC32-538D-43E4-AF01-E65245D122E2}">
  <dimension ref="A3:B16"/>
  <sheetViews>
    <sheetView workbookViewId="0">
      <selection activeCell="A3" sqref="A3:B16"/>
    </sheetView>
  </sheetViews>
  <sheetFormatPr defaultRowHeight="14.4" x14ac:dyDescent="0.3"/>
  <cols>
    <col min="1" max="1" width="12.44140625" bestFit="1" customWidth="1"/>
    <col min="2" max="2" width="18.44140625" bestFit="1" customWidth="1"/>
  </cols>
  <sheetData>
    <row r="3" spans="1:2" x14ac:dyDescent="0.3">
      <c r="A3" s="40" t="s">
        <v>2060</v>
      </c>
      <c r="B3" t="s">
        <v>2062</v>
      </c>
    </row>
    <row r="4" spans="1:2" x14ac:dyDescent="0.3">
      <c r="A4" s="41" t="s">
        <v>2069</v>
      </c>
      <c r="B4">
        <v>10</v>
      </c>
    </row>
    <row r="5" spans="1:2" x14ac:dyDescent="0.3">
      <c r="A5" s="41" t="s">
        <v>2070</v>
      </c>
      <c r="B5">
        <v>11</v>
      </c>
    </row>
    <row r="6" spans="1:2" x14ac:dyDescent="0.3">
      <c r="A6" s="41" t="s">
        <v>2071</v>
      </c>
      <c r="B6">
        <v>30</v>
      </c>
    </row>
    <row r="7" spans="1:2" x14ac:dyDescent="0.3">
      <c r="A7" s="41" t="s">
        <v>2072</v>
      </c>
      <c r="B7">
        <v>23</v>
      </c>
    </row>
    <row r="8" spans="1:2" x14ac:dyDescent="0.3">
      <c r="A8" s="41" t="s">
        <v>2073</v>
      </c>
      <c r="B8">
        <v>22</v>
      </c>
    </row>
    <row r="9" spans="1:2" x14ac:dyDescent="0.3">
      <c r="A9" s="41" t="s">
        <v>2074</v>
      </c>
      <c r="B9">
        <v>11</v>
      </c>
    </row>
    <row r="10" spans="1:2" x14ac:dyDescent="0.3">
      <c r="A10" s="41" t="s">
        <v>2075</v>
      </c>
      <c r="B10">
        <v>17</v>
      </c>
    </row>
    <row r="11" spans="1:2" x14ac:dyDescent="0.3">
      <c r="A11" s="41" t="s">
        <v>2076</v>
      </c>
      <c r="B11">
        <v>12</v>
      </c>
    </row>
    <row r="12" spans="1:2" x14ac:dyDescent="0.3">
      <c r="A12" s="41" t="s">
        <v>2077</v>
      </c>
      <c r="B12">
        <v>13</v>
      </c>
    </row>
    <row r="13" spans="1:2" x14ac:dyDescent="0.3">
      <c r="A13" s="41" t="s">
        <v>2078</v>
      </c>
      <c r="B13">
        <v>15</v>
      </c>
    </row>
    <row r="14" spans="1:2" x14ac:dyDescent="0.3">
      <c r="A14" s="41" t="s">
        <v>2079</v>
      </c>
      <c r="B14">
        <v>8</v>
      </c>
    </row>
    <row r="15" spans="1:2" x14ac:dyDescent="0.3">
      <c r="A15" s="41" t="s">
        <v>2080</v>
      </c>
      <c r="B15">
        <v>14</v>
      </c>
    </row>
    <row r="16" spans="1:2" x14ac:dyDescent="0.3">
      <c r="A16" s="41" t="s">
        <v>2061</v>
      </c>
      <c r="B16">
        <v>186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849A-E3E6-4905-96AE-0EC9998F09DE}">
  <dimension ref="A1:S67"/>
  <sheetViews>
    <sheetView topLeftCell="A2" workbookViewId="0">
      <selection activeCell="G28" sqref="G28"/>
    </sheetView>
  </sheetViews>
  <sheetFormatPr defaultRowHeight="14.4" x14ac:dyDescent="0.3"/>
  <cols>
    <col min="1" max="1" width="13.33203125" bestFit="1" customWidth="1"/>
    <col min="2" max="2" width="13.44140625" bestFit="1" customWidth="1"/>
    <col min="3" max="3" width="10.33203125" bestFit="1" customWidth="1"/>
    <col min="4" max="4" width="15.88671875" bestFit="1" customWidth="1"/>
    <col min="5" max="5" width="12.6640625" bestFit="1" customWidth="1"/>
    <col min="6" max="6" width="17.77734375" bestFit="1" customWidth="1"/>
    <col min="7" max="7" width="18.88671875" bestFit="1" customWidth="1"/>
    <col min="8" max="8" width="9" bestFit="1" customWidth="1"/>
    <col min="9" max="9" width="12.88671875" bestFit="1" customWidth="1"/>
    <col min="10" max="10" width="16.5546875" bestFit="1" customWidth="1"/>
    <col min="11" max="11" width="15.77734375" bestFit="1" customWidth="1"/>
    <col min="12" max="12" width="24.77734375" customWidth="1"/>
    <col min="13" max="15" width="11.6640625" bestFit="1" customWidth="1"/>
    <col min="16" max="16" width="14.44140625" bestFit="1" customWidth="1"/>
    <col min="17" max="17" width="9.33203125" bestFit="1" customWidth="1"/>
    <col min="18" max="19" width="9" bestFit="1" customWidth="1"/>
  </cols>
  <sheetData>
    <row r="1" spans="1:19" x14ac:dyDescent="0.3">
      <c r="A1" s="15" t="s">
        <v>2081</v>
      </c>
    </row>
    <row r="3" spans="1:19" x14ac:dyDescent="0.3">
      <c r="A3" t="s">
        <v>1004</v>
      </c>
      <c r="B3" t="s">
        <v>1005</v>
      </c>
      <c r="C3" t="s">
        <v>1006</v>
      </c>
      <c r="D3" t="s">
        <v>1007</v>
      </c>
      <c r="E3" t="s">
        <v>1008</v>
      </c>
      <c r="F3" t="s">
        <v>1009</v>
      </c>
      <c r="G3" t="s">
        <v>1010</v>
      </c>
      <c r="H3" t="s">
        <v>1011</v>
      </c>
      <c r="I3" t="s">
        <v>1012</v>
      </c>
      <c r="J3" t="s">
        <v>1013</v>
      </c>
      <c r="K3" t="s">
        <v>1014</v>
      </c>
      <c r="L3" t="s">
        <v>2083</v>
      </c>
      <c r="M3" t="s">
        <v>2051</v>
      </c>
      <c r="N3" t="s">
        <v>2052</v>
      </c>
      <c r="O3" t="s">
        <v>2053</v>
      </c>
      <c r="P3" t="s">
        <v>2059</v>
      </c>
      <c r="Q3" t="s">
        <v>2054</v>
      </c>
      <c r="R3" t="s">
        <v>312</v>
      </c>
      <c r="S3" t="s">
        <v>2055</v>
      </c>
    </row>
    <row r="4" spans="1:19" x14ac:dyDescent="0.3">
      <c r="A4" t="s">
        <v>1637</v>
      </c>
      <c r="B4" t="s">
        <v>1059</v>
      </c>
      <c r="C4">
        <v>128</v>
      </c>
      <c r="D4" t="s">
        <v>1024</v>
      </c>
      <c r="E4" s="1">
        <v>45108</v>
      </c>
      <c r="F4">
        <v>140</v>
      </c>
      <c r="G4">
        <v>4.3</v>
      </c>
      <c r="H4">
        <v>2024</v>
      </c>
      <c r="I4" t="s">
        <v>1062</v>
      </c>
      <c r="J4" t="s">
        <v>1031</v>
      </c>
      <c r="K4">
        <v>4</v>
      </c>
    </row>
    <row r="5" spans="1:19" x14ac:dyDescent="0.3">
      <c r="A5" t="s">
        <v>1636</v>
      </c>
      <c r="B5" t="s">
        <v>1078</v>
      </c>
      <c r="C5">
        <v>153</v>
      </c>
      <c r="D5" t="s">
        <v>1029</v>
      </c>
      <c r="E5" s="1">
        <v>45108</v>
      </c>
      <c r="F5">
        <v>102</v>
      </c>
      <c r="G5">
        <v>3.1</v>
      </c>
      <c r="H5">
        <v>2024</v>
      </c>
      <c r="I5" t="s">
        <v>1062</v>
      </c>
      <c r="J5" t="s">
        <v>1031</v>
      </c>
      <c r="K5">
        <v>3</v>
      </c>
    </row>
    <row r="6" spans="1:19" x14ac:dyDescent="0.3">
      <c r="A6" t="s">
        <v>1635</v>
      </c>
      <c r="B6" t="s">
        <v>1078</v>
      </c>
      <c r="C6">
        <v>142</v>
      </c>
      <c r="D6" t="s">
        <v>1017</v>
      </c>
      <c r="E6" s="1">
        <v>45108</v>
      </c>
      <c r="F6">
        <v>116</v>
      </c>
      <c r="G6">
        <v>4.2</v>
      </c>
      <c r="H6">
        <v>2024</v>
      </c>
      <c r="I6" t="s">
        <v>1062</v>
      </c>
      <c r="J6" t="s">
        <v>1031</v>
      </c>
      <c r="K6">
        <v>4</v>
      </c>
    </row>
    <row r="7" spans="1:19" x14ac:dyDescent="0.3">
      <c r="A7" t="s">
        <v>1634</v>
      </c>
      <c r="B7" t="s">
        <v>1026</v>
      </c>
      <c r="C7">
        <v>37</v>
      </c>
      <c r="D7" t="s">
        <v>1038</v>
      </c>
      <c r="E7" s="1">
        <v>45108</v>
      </c>
      <c r="F7">
        <v>54</v>
      </c>
      <c r="G7">
        <v>1.8</v>
      </c>
      <c r="H7">
        <v>2024</v>
      </c>
      <c r="I7" t="s">
        <v>1062</v>
      </c>
      <c r="J7" t="s">
        <v>1034</v>
      </c>
      <c r="K7">
        <v>2</v>
      </c>
    </row>
    <row r="8" spans="1:19" x14ac:dyDescent="0.3">
      <c r="A8" t="s">
        <v>1633</v>
      </c>
      <c r="B8" t="s">
        <v>1068</v>
      </c>
      <c r="C8">
        <v>88</v>
      </c>
      <c r="D8" t="s">
        <v>1038</v>
      </c>
      <c r="E8" s="1">
        <v>45108</v>
      </c>
      <c r="F8">
        <v>80</v>
      </c>
      <c r="G8">
        <v>4.2</v>
      </c>
      <c r="H8">
        <v>2024</v>
      </c>
      <c r="I8" t="s">
        <v>1062</v>
      </c>
      <c r="J8" t="s">
        <v>1019</v>
      </c>
      <c r="K8">
        <v>4</v>
      </c>
    </row>
    <row r="9" spans="1:19" x14ac:dyDescent="0.3">
      <c r="A9" t="s">
        <v>1632</v>
      </c>
      <c r="B9" t="s">
        <v>1047</v>
      </c>
      <c r="C9">
        <v>90</v>
      </c>
      <c r="D9" t="s">
        <v>1017</v>
      </c>
      <c r="E9" s="1">
        <v>45108</v>
      </c>
      <c r="F9">
        <v>129</v>
      </c>
      <c r="G9">
        <v>3.9</v>
      </c>
      <c r="H9">
        <v>2024</v>
      </c>
      <c r="I9" t="s">
        <v>1062</v>
      </c>
      <c r="J9" t="s">
        <v>1019</v>
      </c>
      <c r="K9">
        <v>4</v>
      </c>
    </row>
    <row r="10" spans="1:19" x14ac:dyDescent="0.3">
      <c r="A10" t="s">
        <v>1639</v>
      </c>
      <c r="B10" t="s">
        <v>1059</v>
      </c>
      <c r="C10">
        <v>139</v>
      </c>
      <c r="D10" t="s">
        <v>1038</v>
      </c>
      <c r="E10" s="1">
        <v>45109</v>
      </c>
      <c r="F10">
        <v>81</v>
      </c>
      <c r="G10">
        <v>4.4000000000000004</v>
      </c>
      <c r="H10">
        <v>2024</v>
      </c>
      <c r="I10" t="s">
        <v>1018</v>
      </c>
      <c r="J10" t="s">
        <v>1031</v>
      </c>
      <c r="K10">
        <v>4</v>
      </c>
    </row>
    <row r="11" spans="1:19" x14ac:dyDescent="0.3">
      <c r="A11" t="s">
        <v>1638</v>
      </c>
      <c r="B11" t="s">
        <v>1045</v>
      </c>
      <c r="C11">
        <v>110</v>
      </c>
      <c r="D11" t="s">
        <v>1024</v>
      </c>
      <c r="E11" s="1">
        <v>45109</v>
      </c>
      <c r="F11">
        <v>104</v>
      </c>
      <c r="G11">
        <v>4.4000000000000004</v>
      </c>
      <c r="H11">
        <v>2024</v>
      </c>
      <c r="I11" t="s">
        <v>1018</v>
      </c>
      <c r="J11" t="s">
        <v>1019</v>
      </c>
      <c r="K11">
        <v>4</v>
      </c>
    </row>
    <row r="12" spans="1:19" x14ac:dyDescent="0.3">
      <c r="A12" t="s">
        <v>1640</v>
      </c>
      <c r="B12" t="s">
        <v>1041</v>
      </c>
      <c r="C12">
        <v>109</v>
      </c>
      <c r="D12" t="s">
        <v>1042</v>
      </c>
      <c r="E12" s="1">
        <v>45111</v>
      </c>
      <c r="F12">
        <v>140</v>
      </c>
      <c r="G12">
        <v>2.4</v>
      </c>
      <c r="H12">
        <v>2024</v>
      </c>
      <c r="I12" t="s">
        <v>1033</v>
      </c>
      <c r="J12" t="s">
        <v>1019</v>
      </c>
      <c r="K12">
        <v>2</v>
      </c>
    </row>
    <row r="13" spans="1:19" x14ac:dyDescent="0.3">
      <c r="A13" t="s">
        <v>1643</v>
      </c>
      <c r="B13" t="s">
        <v>1028</v>
      </c>
      <c r="C13">
        <v>128</v>
      </c>
      <c r="D13" t="s">
        <v>1038</v>
      </c>
      <c r="E13" s="1">
        <v>45112</v>
      </c>
      <c r="F13">
        <v>116</v>
      </c>
      <c r="G13">
        <v>2.2999999999999998</v>
      </c>
      <c r="H13">
        <v>2024</v>
      </c>
      <c r="I13" t="s">
        <v>1048</v>
      </c>
      <c r="J13" t="s">
        <v>1031</v>
      </c>
      <c r="K13">
        <v>2</v>
      </c>
    </row>
    <row r="14" spans="1:19" x14ac:dyDescent="0.3">
      <c r="A14" t="s">
        <v>1642</v>
      </c>
      <c r="B14" t="s">
        <v>1041</v>
      </c>
      <c r="C14">
        <v>68</v>
      </c>
      <c r="D14" t="s">
        <v>1038</v>
      </c>
      <c r="E14" s="1">
        <v>45112</v>
      </c>
      <c r="F14">
        <v>41</v>
      </c>
      <c r="G14">
        <v>3.1</v>
      </c>
      <c r="H14">
        <v>2024</v>
      </c>
      <c r="I14" t="s">
        <v>1048</v>
      </c>
      <c r="J14" t="s">
        <v>1019</v>
      </c>
      <c r="K14">
        <v>3</v>
      </c>
    </row>
    <row r="15" spans="1:19" x14ac:dyDescent="0.3">
      <c r="A15" t="s">
        <v>1641</v>
      </c>
      <c r="B15" t="s">
        <v>1021</v>
      </c>
      <c r="C15">
        <v>57</v>
      </c>
      <c r="D15" t="s">
        <v>1017</v>
      </c>
      <c r="E15" s="1">
        <v>45112</v>
      </c>
      <c r="F15">
        <v>120</v>
      </c>
      <c r="G15">
        <v>3.5</v>
      </c>
      <c r="H15">
        <v>2024</v>
      </c>
      <c r="I15" t="s">
        <v>1048</v>
      </c>
      <c r="J15" t="s">
        <v>1034</v>
      </c>
      <c r="K15">
        <v>4</v>
      </c>
    </row>
    <row r="16" spans="1:19" x14ac:dyDescent="0.3">
      <c r="A16" t="s">
        <v>1645</v>
      </c>
      <c r="B16" t="s">
        <v>1059</v>
      </c>
      <c r="C16">
        <v>52</v>
      </c>
      <c r="D16" t="s">
        <v>1029</v>
      </c>
      <c r="E16" s="1">
        <v>45113</v>
      </c>
      <c r="F16">
        <v>42</v>
      </c>
      <c r="G16">
        <v>4.5</v>
      </c>
      <c r="H16">
        <v>2024</v>
      </c>
      <c r="I16" t="s">
        <v>1052</v>
      </c>
      <c r="J16" t="s">
        <v>1034</v>
      </c>
      <c r="K16">
        <v>5</v>
      </c>
    </row>
    <row r="17" spans="1:11" x14ac:dyDescent="0.3">
      <c r="A17" t="s">
        <v>1644</v>
      </c>
      <c r="B17" t="s">
        <v>1016</v>
      </c>
      <c r="C17">
        <v>102</v>
      </c>
      <c r="D17" t="s">
        <v>1017</v>
      </c>
      <c r="E17" s="1">
        <v>45113</v>
      </c>
      <c r="F17">
        <v>70</v>
      </c>
      <c r="G17">
        <v>2.8</v>
      </c>
      <c r="H17">
        <v>2024</v>
      </c>
      <c r="I17" t="s">
        <v>1052</v>
      </c>
      <c r="J17" t="s">
        <v>1019</v>
      </c>
      <c r="K17">
        <v>3</v>
      </c>
    </row>
    <row r="18" spans="1:11" x14ac:dyDescent="0.3">
      <c r="A18" t="s">
        <v>1647</v>
      </c>
      <c r="B18" t="s">
        <v>1026</v>
      </c>
      <c r="C18">
        <v>107</v>
      </c>
      <c r="D18" t="s">
        <v>1038</v>
      </c>
      <c r="E18" s="1">
        <v>45114</v>
      </c>
      <c r="F18">
        <v>20</v>
      </c>
      <c r="G18">
        <v>4.5</v>
      </c>
      <c r="H18">
        <v>2024</v>
      </c>
      <c r="I18" t="s">
        <v>411</v>
      </c>
      <c r="J18" t="s">
        <v>1019</v>
      </c>
      <c r="K18">
        <v>5</v>
      </c>
    </row>
    <row r="19" spans="1:11" x14ac:dyDescent="0.3">
      <c r="A19" t="s">
        <v>1646</v>
      </c>
      <c r="B19" t="s">
        <v>1028</v>
      </c>
      <c r="C19">
        <v>55</v>
      </c>
      <c r="D19" t="s">
        <v>1024</v>
      </c>
      <c r="E19" s="1">
        <v>45114</v>
      </c>
      <c r="F19">
        <v>112</v>
      </c>
      <c r="G19">
        <v>4.5</v>
      </c>
      <c r="H19">
        <v>2024</v>
      </c>
      <c r="I19" t="s">
        <v>411</v>
      </c>
      <c r="J19" t="s">
        <v>1034</v>
      </c>
      <c r="K19">
        <v>5</v>
      </c>
    </row>
    <row r="20" spans="1:11" x14ac:dyDescent="0.3">
      <c r="A20" t="s">
        <v>1652</v>
      </c>
      <c r="B20" t="s">
        <v>1047</v>
      </c>
      <c r="C20">
        <v>52</v>
      </c>
      <c r="D20" t="s">
        <v>1038</v>
      </c>
      <c r="E20" s="1">
        <v>45115</v>
      </c>
      <c r="F20">
        <v>42</v>
      </c>
      <c r="G20">
        <v>4.8</v>
      </c>
      <c r="H20">
        <v>2024</v>
      </c>
      <c r="I20" t="s">
        <v>1062</v>
      </c>
      <c r="J20" t="s">
        <v>1034</v>
      </c>
      <c r="K20">
        <v>5</v>
      </c>
    </row>
    <row r="21" spans="1:11" x14ac:dyDescent="0.3">
      <c r="A21" t="s">
        <v>1651</v>
      </c>
      <c r="B21" t="s">
        <v>1021</v>
      </c>
      <c r="C21">
        <v>50</v>
      </c>
      <c r="D21" t="s">
        <v>1017</v>
      </c>
      <c r="E21" s="1">
        <v>45115</v>
      </c>
      <c r="F21">
        <v>40</v>
      </c>
      <c r="G21">
        <v>5</v>
      </c>
      <c r="H21">
        <v>2024</v>
      </c>
      <c r="I21" t="s">
        <v>1062</v>
      </c>
      <c r="J21" t="s">
        <v>1034</v>
      </c>
      <c r="K21">
        <v>5</v>
      </c>
    </row>
    <row r="22" spans="1:11" x14ac:dyDescent="0.3">
      <c r="A22" t="s">
        <v>1650</v>
      </c>
      <c r="B22" t="s">
        <v>1047</v>
      </c>
      <c r="C22">
        <v>72</v>
      </c>
      <c r="D22" t="s">
        <v>1017</v>
      </c>
      <c r="E22" s="1">
        <v>45115</v>
      </c>
      <c r="F22">
        <v>76</v>
      </c>
      <c r="G22">
        <v>4.5</v>
      </c>
      <c r="H22">
        <v>2024</v>
      </c>
      <c r="I22" t="s">
        <v>1062</v>
      </c>
      <c r="J22" t="s">
        <v>1019</v>
      </c>
      <c r="K22">
        <v>5</v>
      </c>
    </row>
    <row r="23" spans="1:11" x14ac:dyDescent="0.3">
      <c r="A23" t="s">
        <v>1649</v>
      </c>
      <c r="B23" t="s">
        <v>1036</v>
      </c>
      <c r="C23">
        <v>49</v>
      </c>
      <c r="D23" t="s">
        <v>1029</v>
      </c>
      <c r="E23" s="1">
        <v>45115</v>
      </c>
      <c r="F23">
        <v>39</v>
      </c>
      <c r="G23">
        <v>4.5999999999999996</v>
      </c>
      <c r="H23">
        <v>2024</v>
      </c>
      <c r="I23" t="s">
        <v>1062</v>
      </c>
      <c r="J23" t="s">
        <v>1034</v>
      </c>
      <c r="K23">
        <v>5</v>
      </c>
    </row>
    <row r="24" spans="1:11" x14ac:dyDescent="0.3">
      <c r="A24" t="s">
        <v>1648</v>
      </c>
      <c r="B24" t="s">
        <v>1047</v>
      </c>
      <c r="C24">
        <v>88</v>
      </c>
      <c r="D24" t="s">
        <v>1029</v>
      </c>
      <c r="E24" s="1">
        <v>45115</v>
      </c>
      <c r="F24">
        <v>110</v>
      </c>
      <c r="G24">
        <v>4.8</v>
      </c>
      <c r="H24">
        <v>2024</v>
      </c>
      <c r="I24" t="s">
        <v>1062</v>
      </c>
      <c r="J24" t="s">
        <v>1019</v>
      </c>
      <c r="K24">
        <v>5</v>
      </c>
    </row>
    <row r="25" spans="1:11" x14ac:dyDescent="0.3">
      <c r="A25" t="s">
        <v>1653</v>
      </c>
      <c r="B25" t="s">
        <v>1023</v>
      </c>
      <c r="C25">
        <v>85</v>
      </c>
      <c r="D25" t="s">
        <v>1042</v>
      </c>
      <c r="E25" s="1">
        <v>45116</v>
      </c>
      <c r="F25">
        <v>215</v>
      </c>
      <c r="G25">
        <v>3.5</v>
      </c>
      <c r="H25">
        <v>2024</v>
      </c>
      <c r="I25" t="s">
        <v>1018</v>
      </c>
      <c r="J25" t="s">
        <v>1019</v>
      </c>
      <c r="K25">
        <v>4</v>
      </c>
    </row>
    <row r="26" spans="1:11" x14ac:dyDescent="0.3">
      <c r="A26" t="s">
        <v>1656</v>
      </c>
      <c r="B26" t="s">
        <v>1028</v>
      </c>
      <c r="C26">
        <v>154</v>
      </c>
      <c r="D26" t="s">
        <v>1029</v>
      </c>
      <c r="E26" s="1">
        <v>45117</v>
      </c>
      <c r="F26">
        <v>164</v>
      </c>
      <c r="G26">
        <v>4.9000000000000004</v>
      </c>
      <c r="H26">
        <v>2024</v>
      </c>
      <c r="I26" t="s">
        <v>1030</v>
      </c>
      <c r="J26" t="s">
        <v>1031</v>
      </c>
      <c r="K26">
        <v>5</v>
      </c>
    </row>
    <row r="27" spans="1:11" x14ac:dyDescent="0.3">
      <c r="A27" t="s">
        <v>1655</v>
      </c>
      <c r="B27" t="s">
        <v>1065</v>
      </c>
      <c r="C27">
        <v>52</v>
      </c>
      <c r="D27" t="s">
        <v>1042</v>
      </c>
      <c r="E27" s="1">
        <v>45117</v>
      </c>
      <c r="F27">
        <v>190</v>
      </c>
      <c r="G27">
        <v>3.3</v>
      </c>
      <c r="H27">
        <v>2024</v>
      </c>
      <c r="I27" t="s">
        <v>1030</v>
      </c>
      <c r="J27" t="s">
        <v>1034</v>
      </c>
      <c r="K27">
        <v>3</v>
      </c>
    </row>
    <row r="28" spans="1:11" x14ac:dyDescent="0.3">
      <c r="A28" t="s">
        <v>1654</v>
      </c>
      <c r="B28" t="s">
        <v>1055</v>
      </c>
      <c r="C28">
        <v>98</v>
      </c>
      <c r="D28" t="s">
        <v>1042</v>
      </c>
      <c r="E28" s="1">
        <v>45117</v>
      </c>
      <c r="F28">
        <v>130</v>
      </c>
      <c r="G28">
        <v>3.4</v>
      </c>
      <c r="H28">
        <v>2024</v>
      </c>
      <c r="I28" t="s">
        <v>1030</v>
      </c>
      <c r="J28" t="s">
        <v>1019</v>
      </c>
      <c r="K28">
        <v>3</v>
      </c>
    </row>
    <row r="29" spans="1:11" x14ac:dyDescent="0.3">
      <c r="A29" t="s">
        <v>1657</v>
      </c>
      <c r="B29" t="s">
        <v>1098</v>
      </c>
      <c r="C29">
        <v>131</v>
      </c>
      <c r="D29" t="s">
        <v>1024</v>
      </c>
      <c r="E29" s="1">
        <v>45118</v>
      </c>
      <c r="F29">
        <v>76</v>
      </c>
      <c r="G29">
        <v>4.5</v>
      </c>
      <c r="H29">
        <v>2024</v>
      </c>
      <c r="I29" t="s">
        <v>1033</v>
      </c>
      <c r="J29" t="s">
        <v>1031</v>
      </c>
      <c r="K29">
        <v>5</v>
      </c>
    </row>
    <row r="30" spans="1:11" x14ac:dyDescent="0.3">
      <c r="A30" t="s">
        <v>1660</v>
      </c>
      <c r="B30" t="s">
        <v>1059</v>
      </c>
      <c r="C30">
        <v>114</v>
      </c>
      <c r="D30" t="s">
        <v>1038</v>
      </c>
      <c r="E30" s="1">
        <v>45119</v>
      </c>
      <c r="F30">
        <v>114</v>
      </c>
      <c r="G30">
        <v>3.9</v>
      </c>
      <c r="H30">
        <v>2024</v>
      </c>
      <c r="I30" t="s">
        <v>1048</v>
      </c>
      <c r="J30" t="s">
        <v>1019</v>
      </c>
      <c r="K30">
        <v>4</v>
      </c>
    </row>
    <row r="31" spans="1:11" x14ac:dyDescent="0.3">
      <c r="A31" t="s">
        <v>1659</v>
      </c>
      <c r="B31" t="s">
        <v>1045</v>
      </c>
      <c r="C31">
        <v>45</v>
      </c>
      <c r="D31" t="s">
        <v>1042</v>
      </c>
      <c r="E31" s="1">
        <v>45119</v>
      </c>
      <c r="F31">
        <v>84</v>
      </c>
      <c r="G31">
        <v>4.8</v>
      </c>
      <c r="H31">
        <v>2024</v>
      </c>
      <c r="I31" t="s">
        <v>1048</v>
      </c>
      <c r="J31" t="s">
        <v>1034</v>
      </c>
      <c r="K31">
        <v>5</v>
      </c>
    </row>
    <row r="32" spans="1:11" x14ac:dyDescent="0.3">
      <c r="A32" t="s">
        <v>1658</v>
      </c>
      <c r="B32" t="s">
        <v>1023</v>
      </c>
      <c r="C32">
        <v>73</v>
      </c>
      <c r="D32" t="s">
        <v>1024</v>
      </c>
      <c r="E32" s="1">
        <v>45119</v>
      </c>
      <c r="F32">
        <v>87</v>
      </c>
      <c r="G32">
        <v>4.8</v>
      </c>
      <c r="H32">
        <v>2024</v>
      </c>
      <c r="I32" t="s">
        <v>1048</v>
      </c>
      <c r="J32" t="s">
        <v>1019</v>
      </c>
      <c r="K32">
        <v>5</v>
      </c>
    </row>
    <row r="33" spans="1:11" x14ac:dyDescent="0.3">
      <c r="A33" t="s">
        <v>1662</v>
      </c>
      <c r="B33" t="s">
        <v>1098</v>
      </c>
      <c r="C33">
        <v>33</v>
      </c>
      <c r="D33" t="s">
        <v>1029</v>
      </c>
      <c r="E33" s="1">
        <v>45120</v>
      </c>
      <c r="F33">
        <v>27</v>
      </c>
      <c r="G33">
        <v>3.7</v>
      </c>
      <c r="H33">
        <v>2024</v>
      </c>
      <c r="I33" t="s">
        <v>1052</v>
      </c>
      <c r="J33" t="s">
        <v>1034</v>
      </c>
      <c r="K33">
        <v>4</v>
      </c>
    </row>
    <row r="34" spans="1:11" x14ac:dyDescent="0.3">
      <c r="A34" t="s">
        <v>1661</v>
      </c>
      <c r="B34" t="s">
        <v>1055</v>
      </c>
      <c r="C34">
        <v>69</v>
      </c>
      <c r="D34" t="s">
        <v>1024</v>
      </c>
      <c r="E34" s="1">
        <v>45120</v>
      </c>
      <c r="F34">
        <v>56</v>
      </c>
      <c r="G34">
        <v>3.9</v>
      </c>
      <c r="H34">
        <v>2024</v>
      </c>
      <c r="I34" t="s">
        <v>1052</v>
      </c>
      <c r="J34" t="s">
        <v>1019</v>
      </c>
      <c r="K34">
        <v>4</v>
      </c>
    </row>
    <row r="35" spans="1:11" x14ac:dyDescent="0.3">
      <c r="A35" t="s">
        <v>1664</v>
      </c>
      <c r="B35" t="s">
        <v>1045</v>
      </c>
      <c r="C35">
        <v>168</v>
      </c>
      <c r="D35" t="s">
        <v>1029</v>
      </c>
      <c r="E35" s="1">
        <v>45121</v>
      </c>
      <c r="F35">
        <v>72</v>
      </c>
      <c r="G35">
        <v>3.5</v>
      </c>
      <c r="H35">
        <v>2024</v>
      </c>
      <c r="I35" t="s">
        <v>411</v>
      </c>
      <c r="J35" t="s">
        <v>1031</v>
      </c>
      <c r="K35">
        <v>4</v>
      </c>
    </row>
    <row r="36" spans="1:11" x14ac:dyDescent="0.3">
      <c r="A36" t="s">
        <v>1663</v>
      </c>
      <c r="B36" t="s">
        <v>1021</v>
      </c>
      <c r="C36">
        <v>31</v>
      </c>
      <c r="D36" t="s">
        <v>1017</v>
      </c>
      <c r="E36" s="1">
        <v>45121</v>
      </c>
      <c r="F36">
        <v>84</v>
      </c>
      <c r="G36">
        <v>4.8</v>
      </c>
      <c r="H36">
        <v>2024</v>
      </c>
      <c r="I36" t="s">
        <v>411</v>
      </c>
      <c r="J36" t="s">
        <v>1034</v>
      </c>
      <c r="K36">
        <v>5</v>
      </c>
    </row>
    <row r="37" spans="1:11" x14ac:dyDescent="0.3">
      <c r="A37" t="s">
        <v>1665</v>
      </c>
      <c r="B37" t="s">
        <v>1023</v>
      </c>
      <c r="C37">
        <v>111</v>
      </c>
      <c r="D37" t="s">
        <v>1038</v>
      </c>
      <c r="E37" s="1">
        <v>45122</v>
      </c>
      <c r="F37">
        <v>126</v>
      </c>
      <c r="G37">
        <v>4.2</v>
      </c>
      <c r="H37">
        <v>2024</v>
      </c>
      <c r="I37" t="s">
        <v>1062</v>
      </c>
      <c r="J37" t="s">
        <v>1019</v>
      </c>
      <c r="K37">
        <v>4</v>
      </c>
    </row>
    <row r="38" spans="1:11" x14ac:dyDescent="0.3">
      <c r="A38" t="s">
        <v>1667</v>
      </c>
      <c r="B38" t="s">
        <v>1016</v>
      </c>
      <c r="C38">
        <v>37</v>
      </c>
      <c r="D38" t="s">
        <v>1029</v>
      </c>
      <c r="E38" s="1">
        <v>45123</v>
      </c>
      <c r="F38">
        <v>124</v>
      </c>
      <c r="G38">
        <v>4.5999999999999996</v>
      </c>
      <c r="H38">
        <v>2024</v>
      </c>
      <c r="I38" t="s">
        <v>1018</v>
      </c>
      <c r="J38" t="s">
        <v>1034</v>
      </c>
      <c r="K38">
        <v>5</v>
      </c>
    </row>
    <row r="39" spans="1:11" x14ac:dyDescent="0.3">
      <c r="A39" t="s">
        <v>1666</v>
      </c>
      <c r="B39" t="s">
        <v>1021</v>
      </c>
      <c r="C39">
        <v>80</v>
      </c>
      <c r="D39" t="s">
        <v>1029</v>
      </c>
      <c r="E39" s="1">
        <v>45123</v>
      </c>
      <c r="F39">
        <v>88</v>
      </c>
      <c r="G39">
        <v>4.9000000000000004</v>
      </c>
      <c r="H39">
        <v>2024</v>
      </c>
      <c r="I39" t="s">
        <v>1018</v>
      </c>
      <c r="J39" t="s">
        <v>1019</v>
      </c>
      <c r="K39">
        <v>5</v>
      </c>
    </row>
    <row r="40" spans="1:11" x14ac:dyDescent="0.3">
      <c r="A40" t="s">
        <v>1669</v>
      </c>
      <c r="B40" t="s">
        <v>1055</v>
      </c>
      <c r="C40">
        <v>123</v>
      </c>
      <c r="D40" t="s">
        <v>1038</v>
      </c>
      <c r="E40" s="1">
        <v>45124</v>
      </c>
      <c r="F40">
        <v>80</v>
      </c>
      <c r="G40">
        <v>2.7</v>
      </c>
      <c r="H40">
        <v>2024</v>
      </c>
      <c r="I40" t="s">
        <v>1030</v>
      </c>
      <c r="J40" t="s">
        <v>1031</v>
      </c>
      <c r="K40">
        <v>3</v>
      </c>
    </row>
    <row r="41" spans="1:11" x14ac:dyDescent="0.3">
      <c r="A41" t="s">
        <v>1668</v>
      </c>
      <c r="B41" t="s">
        <v>1078</v>
      </c>
      <c r="C41">
        <v>137</v>
      </c>
      <c r="D41" t="s">
        <v>1029</v>
      </c>
      <c r="E41" s="1">
        <v>45124</v>
      </c>
      <c r="F41">
        <v>84</v>
      </c>
      <c r="G41">
        <v>2.6</v>
      </c>
      <c r="H41">
        <v>2024</v>
      </c>
      <c r="I41" t="s">
        <v>1030</v>
      </c>
      <c r="J41" t="s">
        <v>1031</v>
      </c>
      <c r="K41">
        <v>3</v>
      </c>
    </row>
    <row r="42" spans="1:11" x14ac:dyDescent="0.3">
      <c r="A42" t="s">
        <v>1670</v>
      </c>
      <c r="B42" t="s">
        <v>1068</v>
      </c>
      <c r="C42">
        <v>105</v>
      </c>
      <c r="D42" t="s">
        <v>1038</v>
      </c>
      <c r="E42" s="1">
        <v>45125</v>
      </c>
      <c r="F42">
        <v>176</v>
      </c>
      <c r="G42">
        <v>4.7</v>
      </c>
      <c r="H42">
        <v>2024</v>
      </c>
      <c r="I42" t="s">
        <v>1033</v>
      </c>
      <c r="J42" t="s">
        <v>1019</v>
      </c>
      <c r="K42">
        <v>5</v>
      </c>
    </row>
    <row r="43" spans="1:11" x14ac:dyDescent="0.3">
      <c r="A43" t="s">
        <v>1673</v>
      </c>
      <c r="B43" t="s">
        <v>1098</v>
      </c>
      <c r="C43">
        <v>109</v>
      </c>
      <c r="D43" t="s">
        <v>1017</v>
      </c>
      <c r="E43" s="1">
        <v>45126</v>
      </c>
      <c r="F43">
        <v>132</v>
      </c>
      <c r="G43">
        <v>3.1</v>
      </c>
      <c r="H43">
        <v>2024</v>
      </c>
      <c r="I43" t="s">
        <v>1048</v>
      </c>
      <c r="J43" t="s">
        <v>1019</v>
      </c>
      <c r="K43">
        <v>3</v>
      </c>
    </row>
    <row r="44" spans="1:11" x14ac:dyDescent="0.3">
      <c r="A44" t="s">
        <v>1672</v>
      </c>
      <c r="B44" t="s">
        <v>1021</v>
      </c>
      <c r="C44">
        <v>144</v>
      </c>
      <c r="D44" t="s">
        <v>1042</v>
      </c>
      <c r="E44" s="1">
        <v>45126</v>
      </c>
      <c r="F44">
        <v>164</v>
      </c>
      <c r="G44">
        <v>2.8</v>
      </c>
      <c r="H44">
        <v>2024</v>
      </c>
      <c r="I44" t="s">
        <v>1048</v>
      </c>
      <c r="J44" t="s">
        <v>1031</v>
      </c>
      <c r="K44">
        <v>3</v>
      </c>
    </row>
    <row r="45" spans="1:11" x14ac:dyDescent="0.3">
      <c r="A45" t="s">
        <v>1671</v>
      </c>
      <c r="B45" t="s">
        <v>1016</v>
      </c>
      <c r="C45">
        <v>76</v>
      </c>
      <c r="D45" t="s">
        <v>1042</v>
      </c>
      <c r="E45" s="1">
        <v>45126</v>
      </c>
      <c r="F45">
        <v>84</v>
      </c>
      <c r="G45">
        <v>3.9</v>
      </c>
      <c r="H45">
        <v>2024</v>
      </c>
      <c r="I45" t="s">
        <v>1048</v>
      </c>
      <c r="J45" t="s">
        <v>1019</v>
      </c>
      <c r="K45">
        <v>4</v>
      </c>
    </row>
    <row r="46" spans="1:11" x14ac:dyDescent="0.3">
      <c r="A46" t="s">
        <v>1676</v>
      </c>
      <c r="B46" t="s">
        <v>1021</v>
      </c>
      <c r="C46">
        <v>121</v>
      </c>
      <c r="D46" t="s">
        <v>1024</v>
      </c>
      <c r="E46" s="1">
        <v>45127</v>
      </c>
      <c r="F46">
        <v>20</v>
      </c>
      <c r="G46">
        <v>2.7</v>
      </c>
      <c r="H46">
        <v>2024</v>
      </c>
      <c r="I46" t="s">
        <v>1052</v>
      </c>
      <c r="J46" t="s">
        <v>1031</v>
      </c>
      <c r="K46">
        <v>3</v>
      </c>
    </row>
    <row r="47" spans="1:11" x14ac:dyDescent="0.3">
      <c r="A47" t="s">
        <v>1675</v>
      </c>
      <c r="B47" t="s">
        <v>1021</v>
      </c>
      <c r="C47">
        <v>56</v>
      </c>
      <c r="D47" t="s">
        <v>1038</v>
      </c>
      <c r="E47" s="1">
        <v>45127</v>
      </c>
      <c r="F47">
        <v>27</v>
      </c>
      <c r="G47">
        <v>4.3</v>
      </c>
      <c r="H47">
        <v>2024</v>
      </c>
      <c r="I47" t="s">
        <v>1052</v>
      </c>
      <c r="J47" t="s">
        <v>1034</v>
      </c>
      <c r="K47">
        <v>4</v>
      </c>
    </row>
    <row r="48" spans="1:11" x14ac:dyDescent="0.3">
      <c r="A48" t="s">
        <v>1674</v>
      </c>
      <c r="B48" t="s">
        <v>1055</v>
      </c>
      <c r="C48">
        <v>172</v>
      </c>
      <c r="D48" t="s">
        <v>1029</v>
      </c>
      <c r="E48" s="1">
        <v>45127</v>
      </c>
      <c r="F48">
        <v>27</v>
      </c>
      <c r="G48">
        <v>4.2</v>
      </c>
      <c r="H48">
        <v>2024</v>
      </c>
      <c r="I48" t="s">
        <v>1052</v>
      </c>
      <c r="J48" t="s">
        <v>1031</v>
      </c>
      <c r="K48">
        <v>4</v>
      </c>
    </row>
    <row r="49" spans="1:11" x14ac:dyDescent="0.3">
      <c r="A49" t="s">
        <v>1678</v>
      </c>
      <c r="B49" t="s">
        <v>1026</v>
      </c>
      <c r="C49">
        <v>60</v>
      </c>
      <c r="D49" t="s">
        <v>1029</v>
      </c>
      <c r="E49" s="1">
        <v>45128</v>
      </c>
      <c r="F49">
        <v>60</v>
      </c>
      <c r="G49">
        <v>2.2999999999999998</v>
      </c>
      <c r="H49">
        <v>2024</v>
      </c>
      <c r="I49" t="s">
        <v>411</v>
      </c>
      <c r="J49" t="s">
        <v>1034</v>
      </c>
      <c r="K49">
        <v>2</v>
      </c>
    </row>
    <row r="50" spans="1:11" x14ac:dyDescent="0.3">
      <c r="A50" t="s">
        <v>1677</v>
      </c>
      <c r="B50" t="s">
        <v>1055</v>
      </c>
      <c r="C50">
        <v>41</v>
      </c>
      <c r="D50" t="s">
        <v>1038</v>
      </c>
      <c r="E50" s="1">
        <v>45128</v>
      </c>
      <c r="F50">
        <v>112</v>
      </c>
      <c r="G50">
        <v>2.2999999999999998</v>
      </c>
      <c r="H50">
        <v>2024</v>
      </c>
      <c r="I50" t="s">
        <v>411</v>
      </c>
      <c r="J50" t="s">
        <v>1034</v>
      </c>
      <c r="K50">
        <v>2</v>
      </c>
    </row>
    <row r="51" spans="1:11" x14ac:dyDescent="0.3">
      <c r="A51" t="s">
        <v>1681</v>
      </c>
      <c r="B51" t="s">
        <v>1055</v>
      </c>
      <c r="C51">
        <v>162</v>
      </c>
      <c r="D51" t="s">
        <v>1017</v>
      </c>
      <c r="E51" s="1">
        <v>45129</v>
      </c>
      <c r="F51">
        <v>82</v>
      </c>
      <c r="G51">
        <v>4.5999999999999996</v>
      </c>
      <c r="H51">
        <v>2024</v>
      </c>
      <c r="I51" t="s">
        <v>1062</v>
      </c>
      <c r="J51" t="s">
        <v>1031</v>
      </c>
      <c r="K51">
        <v>5</v>
      </c>
    </row>
    <row r="52" spans="1:11" x14ac:dyDescent="0.3">
      <c r="A52" t="s">
        <v>1680</v>
      </c>
      <c r="B52" t="s">
        <v>1028</v>
      </c>
      <c r="C52">
        <v>67</v>
      </c>
      <c r="D52" t="s">
        <v>1029</v>
      </c>
      <c r="E52" s="1">
        <v>45129</v>
      </c>
      <c r="F52">
        <v>38</v>
      </c>
      <c r="G52">
        <v>4.2</v>
      </c>
      <c r="H52">
        <v>2024</v>
      </c>
      <c r="I52" t="s">
        <v>1062</v>
      </c>
      <c r="J52" t="s">
        <v>1019</v>
      </c>
      <c r="K52">
        <v>4</v>
      </c>
    </row>
    <row r="53" spans="1:11" x14ac:dyDescent="0.3">
      <c r="A53" t="s">
        <v>1679</v>
      </c>
      <c r="B53" t="s">
        <v>1026</v>
      </c>
      <c r="C53">
        <v>144</v>
      </c>
      <c r="D53" t="s">
        <v>1029</v>
      </c>
      <c r="E53" s="1">
        <v>45129</v>
      </c>
      <c r="F53">
        <v>102</v>
      </c>
      <c r="G53">
        <v>2.9</v>
      </c>
      <c r="H53">
        <v>2024</v>
      </c>
      <c r="I53" t="s">
        <v>1062</v>
      </c>
      <c r="J53" t="s">
        <v>1031</v>
      </c>
      <c r="K53">
        <v>3</v>
      </c>
    </row>
    <row r="54" spans="1:11" x14ac:dyDescent="0.3">
      <c r="A54" t="s">
        <v>1682</v>
      </c>
      <c r="B54" t="s">
        <v>1026</v>
      </c>
      <c r="C54">
        <v>87</v>
      </c>
      <c r="D54" t="s">
        <v>1024</v>
      </c>
      <c r="E54" s="1">
        <v>45132</v>
      </c>
      <c r="F54">
        <v>125</v>
      </c>
      <c r="G54">
        <v>4.5</v>
      </c>
      <c r="H54">
        <v>2024</v>
      </c>
      <c r="I54" t="s">
        <v>1033</v>
      </c>
      <c r="J54" t="s">
        <v>1019</v>
      </c>
      <c r="K54">
        <v>5</v>
      </c>
    </row>
    <row r="55" spans="1:11" x14ac:dyDescent="0.3">
      <c r="A55" t="s">
        <v>1684</v>
      </c>
      <c r="B55" t="s">
        <v>1021</v>
      </c>
      <c r="C55">
        <v>138</v>
      </c>
      <c r="D55" t="s">
        <v>1042</v>
      </c>
      <c r="E55" s="1">
        <v>45133</v>
      </c>
      <c r="F55">
        <v>195</v>
      </c>
      <c r="G55">
        <v>4.0999999999999996</v>
      </c>
      <c r="H55">
        <v>2024</v>
      </c>
      <c r="I55" t="s">
        <v>1048</v>
      </c>
      <c r="J55" t="s">
        <v>1031</v>
      </c>
      <c r="K55">
        <v>4</v>
      </c>
    </row>
    <row r="56" spans="1:11" x14ac:dyDescent="0.3">
      <c r="A56" t="s">
        <v>1683</v>
      </c>
      <c r="B56" t="s">
        <v>1065</v>
      </c>
      <c r="C56">
        <v>10</v>
      </c>
      <c r="D56" t="s">
        <v>1042</v>
      </c>
      <c r="E56" s="1">
        <v>45133</v>
      </c>
      <c r="F56">
        <v>72</v>
      </c>
      <c r="G56">
        <v>3.7</v>
      </c>
      <c r="H56">
        <v>2024</v>
      </c>
      <c r="I56" t="s">
        <v>1048</v>
      </c>
      <c r="J56" t="s">
        <v>1186</v>
      </c>
      <c r="K56">
        <v>4</v>
      </c>
    </row>
    <row r="57" spans="1:11" x14ac:dyDescent="0.3">
      <c r="A57" t="s">
        <v>1686</v>
      </c>
      <c r="B57" t="s">
        <v>1068</v>
      </c>
      <c r="C57">
        <v>75</v>
      </c>
      <c r="D57" t="s">
        <v>1017</v>
      </c>
      <c r="E57" s="1">
        <v>45134</v>
      </c>
      <c r="F57">
        <v>78</v>
      </c>
      <c r="G57">
        <v>3.3</v>
      </c>
      <c r="H57">
        <v>2024</v>
      </c>
      <c r="I57" t="s">
        <v>1052</v>
      </c>
      <c r="J57" t="s">
        <v>1019</v>
      </c>
      <c r="K57">
        <v>3</v>
      </c>
    </row>
    <row r="58" spans="1:11" x14ac:dyDescent="0.3">
      <c r="A58" t="s">
        <v>1685</v>
      </c>
      <c r="B58" t="s">
        <v>1055</v>
      </c>
      <c r="C58">
        <v>31</v>
      </c>
      <c r="D58" t="s">
        <v>1042</v>
      </c>
      <c r="E58" s="1">
        <v>45134</v>
      </c>
      <c r="F58">
        <v>160</v>
      </c>
      <c r="G58">
        <v>3.4</v>
      </c>
      <c r="H58">
        <v>2024</v>
      </c>
      <c r="I58" t="s">
        <v>1052</v>
      </c>
      <c r="J58" t="s">
        <v>1034</v>
      </c>
      <c r="K58">
        <v>3</v>
      </c>
    </row>
    <row r="59" spans="1:11" x14ac:dyDescent="0.3">
      <c r="A59" t="s">
        <v>1688</v>
      </c>
      <c r="B59" t="s">
        <v>1023</v>
      </c>
      <c r="C59">
        <v>106</v>
      </c>
      <c r="D59" t="s">
        <v>1038</v>
      </c>
      <c r="E59" s="1">
        <v>45135</v>
      </c>
      <c r="F59">
        <v>105</v>
      </c>
      <c r="G59">
        <v>4.2</v>
      </c>
      <c r="H59">
        <v>2024</v>
      </c>
      <c r="I59" t="s">
        <v>411</v>
      </c>
      <c r="J59" t="s">
        <v>1019</v>
      </c>
      <c r="K59">
        <v>4</v>
      </c>
    </row>
    <row r="60" spans="1:11" x14ac:dyDescent="0.3">
      <c r="A60" t="s">
        <v>1687</v>
      </c>
      <c r="B60" t="s">
        <v>1016</v>
      </c>
      <c r="C60">
        <v>65</v>
      </c>
      <c r="D60" t="s">
        <v>1017</v>
      </c>
      <c r="E60" s="1">
        <v>45135</v>
      </c>
      <c r="F60">
        <v>70</v>
      </c>
      <c r="G60">
        <v>4.4000000000000004</v>
      </c>
      <c r="H60">
        <v>2024</v>
      </c>
      <c r="I60" t="s">
        <v>411</v>
      </c>
      <c r="J60" t="s">
        <v>1019</v>
      </c>
      <c r="K60">
        <v>4</v>
      </c>
    </row>
    <row r="61" spans="1:11" x14ac:dyDescent="0.3">
      <c r="A61" t="s">
        <v>1689</v>
      </c>
      <c r="B61" t="s">
        <v>1016</v>
      </c>
      <c r="C61">
        <v>107</v>
      </c>
      <c r="D61" t="s">
        <v>1038</v>
      </c>
      <c r="E61" s="1">
        <v>45136</v>
      </c>
      <c r="F61">
        <v>78</v>
      </c>
      <c r="G61">
        <v>3.4</v>
      </c>
      <c r="H61">
        <v>2024</v>
      </c>
      <c r="I61" t="s">
        <v>1062</v>
      </c>
      <c r="J61" t="s">
        <v>1019</v>
      </c>
      <c r="K61">
        <v>3</v>
      </c>
    </row>
    <row r="62" spans="1:11" x14ac:dyDescent="0.3">
      <c r="A62" t="s">
        <v>1695</v>
      </c>
      <c r="B62" t="s">
        <v>1068</v>
      </c>
      <c r="C62">
        <v>163</v>
      </c>
      <c r="D62" t="s">
        <v>1024</v>
      </c>
      <c r="E62" s="1">
        <v>45138</v>
      </c>
      <c r="F62">
        <v>76</v>
      </c>
      <c r="G62">
        <v>4.4000000000000004</v>
      </c>
      <c r="H62">
        <v>2024</v>
      </c>
      <c r="I62" t="s">
        <v>1030</v>
      </c>
      <c r="J62" t="s">
        <v>1031</v>
      </c>
      <c r="K62">
        <v>4</v>
      </c>
    </row>
    <row r="63" spans="1:11" x14ac:dyDescent="0.3">
      <c r="A63" t="s">
        <v>1694</v>
      </c>
      <c r="B63" t="s">
        <v>1098</v>
      </c>
      <c r="C63">
        <v>164</v>
      </c>
      <c r="D63" t="s">
        <v>1017</v>
      </c>
      <c r="E63" s="1">
        <v>45138</v>
      </c>
      <c r="F63">
        <v>36</v>
      </c>
      <c r="G63">
        <v>4.7</v>
      </c>
      <c r="H63">
        <v>2024</v>
      </c>
      <c r="I63" t="s">
        <v>1030</v>
      </c>
      <c r="J63" t="s">
        <v>1031</v>
      </c>
      <c r="K63">
        <v>5</v>
      </c>
    </row>
    <row r="64" spans="1:11" x14ac:dyDescent="0.3">
      <c r="A64" t="s">
        <v>1693</v>
      </c>
      <c r="B64" t="s">
        <v>1078</v>
      </c>
      <c r="C64">
        <v>33</v>
      </c>
      <c r="D64" t="s">
        <v>1029</v>
      </c>
      <c r="E64" s="1">
        <v>45138</v>
      </c>
      <c r="F64">
        <v>92</v>
      </c>
      <c r="G64">
        <v>1.7</v>
      </c>
      <c r="H64">
        <v>2024</v>
      </c>
      <c r="I64" t="s">
        <v>1030</v>
      </c>
      <c r="J64" t="s">
        <v>1034</v>
      </c>
      <c r="K64">
        <v>2</v>
      </c>
    </row>
    <row r="65" spans="1:11" x14ac:dyDescent="0.3">
      <c r="A65" t="s">
        <v>1692</v>
      </c>
      <c r="B65" t="s">
        <v>1021</v>
      </c>
      <c r="C65">
        <v>58</v>
      </c>
      <c r="D65" t="s">
        <v>1042</v>
      </c>
      <c r="E65" s="1">
        <v>45138</v>
      </c>
      <c r="F65">
        <v>38</v>
      </c>
      <c r="G65">
        <v>4.5</v>
      </c>
      <c r="H65">
        <v>2024</v>
      </c>
      <c r="I65" t="s">
        <v>1030</v>
      </c>
      <c r="J65" t="s">
        <v>1034</v>
      </c>
      <c r="K65">
        <v>5</v>
      </c>
    </row>
    <row r="66" spans="1:11" x14ac:dyDescent="0.3">
      <c r="A66" t="s">
        <v>1691</v>
      </c>
      <c r="B66" t="s">
        <v>1047</v>
      </c>
      <c r="C66">
        <v>122</v>
      </c>
      <c r="D66" t="s">
        <v>1038</v>
      </c>
      <c r="E66" s="1">
        <v>45138</v>
      </c>
      <c r="F66">
        <v>78</v>
      </c>
      <c r="G66">
        <v>2.7</v>
      </c>
      <c r="H66">
        <v>2024</v>
      </c>
      <c r="I66" t="s">
        <v>1030</v>
      </c>
      <c r="J66" t="s">
        <v>1031</v>
      </c>
      <c r="K66">
        <v>3</v>
      </c>
    </row>
    <row r="67" spans="1:11" x14ac:dyDescent="0.3">
      <c r="A67" t="s">
        <v>1690</v>
      </c>
      <c r="B67" t="s">
        <v>1078</v>
      </c>
      <c r="C67">
        <v>78</v>
      </c>
      <c r="D67" t="s">
        <v>1038</v>
      </c>
      <c r="E67" s="1">
        <v>45138</v>
      </c>
      <c r="F67">
        <v>205</v>
      </c>
      <c r="G67">
        <v>4.4000000000000004</v>
      </c>
      <c r="H67">
        <v>2024</v>
      </c>
      <c r="I67" t="s">
        <v>1030</v>
      </c>
      <c r="J67" t="s">
        <v>1019</v>
      </c>
      <c r="K67">
        <v>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6B7D-47A8-45D2-B501-31428636A9E1}">
  <dimension ref="A1:S192"/>
  <sheetViews>
    <sheetView workbookViewId="0">
      <selection activeCell="G28" sqref="G28"/>
    </sheetView>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s>
  <sheetData>
    <row r="1" spans="1:19" x14ac:dyDescent="0.3">
      <c r="A1" s="15" t="s">
        <v>2105</v>
      </c>
    </row>
    <row r="3" spans="1:19"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row>
    <row r="4" spans="1:19" x14ac:dyDescent="0.3">
      <c r="A4" t="s">
        <v>1027</v>
      </c>
      <c r="B4" t="s">
        <v>1028</v>
      </c>
      <c r="C4">
        <v>128</v>
      </c>
      <c r="D4" t="s">
        <v>1029</v>
      </c>
      <c r="E4" s="1">
        <v>44928</v>
      </c>
      <c r="F4">
        <v>31</v>
      </c>
      <c r="G4">
        <v>2.8</v>
      </c>
      <c r="H4">
        <v>2023</v>
      </c>
      <c r="I4" t="s">
        <v>1030</v>
      </c>
      <c r="J4" t="s">
        <v>1031</v>
      </c>
      <c r="K4">
        <v>3</v>
      </c>
      <c r="P4" t="s">
        <v>1023</v>
      </c>
      <c r="Q4" t="s">
        <v>24</v>
      </c>
      <c r="R4">
        <v>37</v>
      </c>
      <c r="S4" t="s">
        <v>2056</v>
      </c>
    </row>
    <row r="5" spans="1:19" x14ac:dyDescent="0.3">
      <c r="A5" t="s">
        <v>1050</v>
      </c>
      <c r="B5" t="s">
        <v>1045</v>
      </c>
      <c r="C5">
        <v>48</v>
      </c>
      <c r="D5" t="s">
        <v>1029</v>
      </c>
      <c r="E5" s="1">
        <v>44930</v>
      </c>
      <c r="F5">
        <v>68</v>
      </c>
      <c r="G5">
        <v>4.9000000000000004</v>
      </c>
      <c r="H5">
        <v>2023</v>
      </c>
      <c r="I5" t="s">
        <v>1048</v>
      </c>
      <c r="J5" t="s">
        <v>1034</v>
      </c>
      <c r="K5">
        <v>5</v>
      </c>
      <c r="P5" t="s">
        <v>1065</v>
      </c>
      <c r="Q5" t="s">
        <v>11</v>
      </c>
      <c r="R5">
        <v>43</v>
      </c>
      <c r="S5" t="s">
        <v>2057</v>
      </c>
    </row>
    <row r="6" spans="1:19" x14ac:dyDescent="0.3">
      <c r="A6" t="s">
        <v>1053</v>
      </c>
      <c r="B6" t="s">
        <v>1041</v>
      </c>
      <c r="C6">
        <v>99</v>
      </c>
      <c r="D6" t="s">
        <v>1029</v>
      </c>
      <c r="E6" s="1">
        <v>44931</v>
      </c>
      <c r="F6">
        <v>195</v>
      </c>
      <c r="G6">
        <v>3.9</v>
      </c>
      <c r="H6">
        <v>2023</v>
      </c>
      <c r="I6" t="s">
        <v>1052</v>
      </c>
      <c r="J6" t="s">
        <v>1019</v>
      </c>
      <c r="K6">
        <v>4</v>
      </c>
    </row>
    <row r="7" spans="1:19" x14ac:dyDescent="0.3">
      <c r="A7" t="s">
        <v>1066</v>
      </c>
      <c r="B7" t="s">
        <v>1041</v>
      </c>
      <c r="C7">
        <v>54</v>
      </c>
      <c r="D7" t="s">
        <v>1029</v>
      </c>
      <c r="E7" s="1">
        <v>44934</v>
      </c>
      <c r="F7">
        <v>111</v>
      </c>
      <c r="G7">
        <v>3.3</v>
      </c>
      <c r="H7">
        <v>2023</v>
      </c>
      <c r="I7" t="s">
        <v>1018</v>
      </c>
      <c r="J7" t="s">
        <v>1034</v>
      </c>
      <c r="K7">
        <v>3</v>
      </c>
    </row>
    <row r="8" spans="1:19" x14ac:dyDescent="0.3">
      <c r="A8" t="s">
        <v>1072</v>
      </c>
      <c r="B8" t="s">
        <v>1065</v>
      </c>
      <c r="C8">
        <v>155</v>
      </c>
      <c r="D8" t="s">
        <v>1029</v>
      </c>
      <c r="E8" s="1">
        <v>44936</v>
      </c>
      <c r="F8">
        <v>110</v>
      </c>
      <c r="G8">
        <v>4.8</v>
      </c>
      <c r="H8">
        <v>2023</v>
      </c>
      <c r="I8" t="s">
        <v>1033</v>
      </c>
      <c r="J8" t="s">
        <v>1031</v>
      </c>
      <c r="K8">
        <v>5</v>
      </c>
    </row>
    <row r="9" spans="1:19" x14ac:dyDescent="0.3">
      <c r="A9" t="s">
        <v>1075</v>
      </c>
      <c r="B9" t="s">
        <v>1028</v>
      </c>
      <c r="C9">
        <v>29</v>
      </c>
      <c r="D9" t="s">
        <v>1029</v>
      </c>
      <c r="E9" s="1">
        <v>44938</v>
      </c>
      <c r="F9">
        <v>170</v>
      </c>
      <c r="G9">
        <v>5</v>
      </c>
      <c r="H9">
        <v>2023</v>
      </c>
      <c r="I9" t="s">
        <v>1052</v>
      </c>
      <c r="J9" t="s">
        <v>1056</v>
      </c>
      <c r="K9">
        <v>5</v>
      </c>
    </row>
    <row r="10" spans="1:19" x14ac:dyDescent="0.3">
      <c r="A10" t="s">
        <v>1088</v>
      </c>
      <c r="B10" t="s">
        <v>1078</v>
      </c>
      <c r="C10">
        <v>105</v>
      </c>
      <c r="D10" t="s">
        <v>1029</v>
      </c>
      <c r="E10" s="1">
        <v>44944</v>
      </c>
      <c r="F10">
        <v>56</v>
      </c>
      <c r="G10">
        <v>3.6</v>
      </c>
      <c r="H10">
        <v>2023</v>
      </c>
      <c r="I10" t="s">
        <v>1048</v>
      </c>
      <c r="J10" t="s">
        <v>1019</v>
      </c>
      <c r="K10">
        <v>4</v>
      </c>
    </row>
    <row r="11" spans="1:19" x14ac:dyDescent="0.3">
      <c r="A11" t="s">
        <v>1090</v>
      </c>
      <c r="B11" t="s">
        <v>1026</v>
      </c>
      <c r="C11">
        <v>131</v>
      </c>
      <c r="D11" t="s">
        <v>1029</v>
      </c>
      <c r="E11" s="1">
        <v>44945</v>
      </c>
      <c r="F11">
        <v>78</v>
      </c>
      <c r="G11">
        <v>4.4000000000000004</v>
      </c>
      <c r="H11">
        <v>2023</v>
      </c>
      <c r="I11" t="s">
        <v>1052</v>
      </c>
      <c r="J11" t="s">
        <v>1031</v>
      </c>
      <c r="K11">
        <v>4</v>
      </c>
    </row>
    <row r="12" spans="1:19" x14ac:dyDescent="0.3">
      <c r="A12" t="s">
        <v>1094</v>
      </c>
      <c r="B12" t="s">
        <v>1047</v>
      </c>
      <c r="C12">
        <v>149</v>
      </c>
      <c r="D12" t="s">
        <v>1029</v>
      </c>
      <c r="E12" s="1">
        <v>44946</v>
      </c>
      <c r="F12">
        <v>72</v>
      </c>
      <c r="G12">
        <v>4.3</v>
      </c>
      <c r="H12">
        <v>2023</v>
      </c>
      <c r="I12" t="s">
        <v>411</v>
      </c>
      <c r="J12" t="s">
        <v>1031</v>
      </c>
      <c r="K12">
        <v>4</v>
      </c>
    </row>
    <row r="13" spans="1:19" x14ac:dyDescent="0.3">
      <c r="A13" t="s">
        <v>1097</v>
      </c>
      <c r="B13" t="s">
        <v>1098</v>
      </c>
      <c r="C13">
        <v>157</v>
      </c>
      <c r="D13" t="s">
        <v>1029</v>
      </c>
      <c r="E13" s="1">
        <v>44947</v>
      </c>
      <c r="F13">
        <v>69</v>
      </c>
      <c r="G13">
        <v>4.5</v>
      </c>
      <c r="H13">
        <v>2023</v>
      </c>
      <c r="I13" t="s">
        <v>1062</v>
      </c>
      <c r="J13" t="s">
        <v>1031</v>
      </c>
      <c r="K13">
        <v>5</v>
      </c>
    </row>
    <row r="14" spans="1:19" x14ac:dyDescent="0.3">
      <c r="A14" t="s">
        <v>1100</v>
      </c>
      <c r="B14" t="s">
        <v>1068</v>
      </c>
      <c r="C14">
        <v>83</v>
      </c>
      <c r="D14" t="s">
        <v>1029</v>
      </c>
      <c r="E14" s="1">
        <v>44948</v>
      </c>
      <c r="F14">
        <v>28</v>
      </c>
      <c r="G14">
        <v>4.5</v>
      </c>
      <c r="H14">
        <v>2023</v>
      </c>
      <c r="I14" t="s">
        <v>1018</v>
      </c>
      <c r="J14" t="s">
        <v>1019</v>
      </c>
      <c r="K14">
        <v>5</v>
      </c>
    </row>
    <row r="15" spans="1:19" x14ac:dyDescent="0.3">
      <c r="A15" t="s">
        <v>1105</v>
      </c>
      <c r="B15" t="s">
        <v>1045</v>
      </c>
      <c r="C15">
        <v>74</v>
      </c>
      <c r="D15" t="s">
        <v>1029</v>
      </c>
      <c r="E15" s="1">
        <v>44950</v>
      </c>
      <c r="F15">
        <v>66</v>
      </c>
      <c r="G15">
        <v>4</v>
      </c>
      <c r="H15">
        <v>2023</v>
      </c>
      <c r="I15" t="s">
        <v>1033</v>
      </c>
      <c r="J15" t="s">
        <v>1019</v>
      </c>
      <c r="K15">
        <v>4</v>
      </c>
    </row>
    <row r="16" spans="1:19" x14ac:dyDescent="0.3">
      <c r="A16" t="s">
        <v>1113</v>
      </c>
      <c r="B16" t="s">
        <v>1023</v>
      </c>
      <c r="C16">
        <v>81</v>
      </c>
      <c r="D16" t="s">
        <v>1029</v>
      </c>
      <c r="E16" s="1">
        <v>44953</v>
      </c>
      <c r="F16">
        <v>156</v>
      </c>
      <c r="G16">
        <v>2.6</v>
      </c>
      <c r="H16">
        <v>2023</v>
      </c>
      <c r="I16" t="s">
        <v>411</v>
      </c>
      <c r="J16" t="s">
        <v>1019</v>
      </c>
      <c r="K16">
        <v>3</v>
      </c>
    </row>
    <row r="17" spans="1:11" x14ac:dyDescent="0.3">
      <c r="A17" t="s">
        <v>1116</v>
      </c>
      <c r="B17" t="s">
        <v>1078</v>
      </c>
      <c r="C17">
        <v>101</v>
      </c>
      <c r="D17" t="s">
        <v>1029</v>
      </c>
      <c r="E17" s="1">
        <v>44954</v>
      </c>
      <c r="F17">
        <v>80</v>
      </c>
      <c r="G17">
        <v>4.8</v>
      </c>
      <c r="H17">
        <v>2023</v>
      </c>
      <c r="I17" t="s">
        <v>1062</v>
      </c>
      <c r="J17" t="s">
        <v>1019</v>
      </c>
      <c r="K17">
        <v>5</v>
      </c>
    </row>
    <row r="18" spans="1:11" x14ac:dyDescent="0.3">
      <c r="A18" t="s">
        <v>1117</v>
      </c>
      <c r="B18" t="s">
        <v>1045</v>
      </c>
      <c r="C18">
        <v>67</v>
      </c>
      <c r="D18" t="s">
        <v>1029</v>
      </c>
      <c r="E18" s="1">
        <v>44954</v>
      </c>
      <c r="F18">
        <v>168</v>
      </c>
      <c r="G18">
        <v>2.6</v>
      </c>
      <c r="H18">
        <v>2023</v>
      </c>
      <c r="I18" t="s">
        <v>1062</v>
      </c>
      <c r="J18" t="s">
        <v>1019</v>
      </c>
      <c r="K18">
        <v>3</v>
      </c>
    </row>
    <row r="19" spans="1:11" x14ac:dyDescent="0.3">
      <c r="A19" t="s">
        <v>1119</v>
      </c>
      <c r="B19" t="s">
        <v>1023</v>
      </c>
      <c r="C19">
        <v>42</v>
      </c>
      <c r="D19" t="s">
        <v>1029</v>
      </c>
      <c r="E19" s="1">
        <v>44956</v>
      </c>
      <c r="F19">
        <v>205</v>
      </c>
      <c r="G19">
        <v>3.6</v>
      </c>
      <c r="H19">
        <v>2023</v>
      </c>
      <c r="I19" t="s">
        <v>1030</v>
      </c>
      <c r="J19" t="s">
        <v>1034</v>
      </c>
      <c r="K19">
        <v>4</v>
      </c>
    </row>
    <row r="20" spans="1:11" x14ac:dyDescent="0.3">
      <c r="A20" t="s">
        <v>1133</v>
      </c>
      <c r="B20" t="s">
        <v>1098</v>
      </c>
      <c r="C20">
        <v>87</v>
      </c>
      <c r="D20" t="s">
        <v>1029</v>
      </c>
      <c r="E20" s="1">
        <v>44959</v>
      </c>
      <c r="F20">
        <v>155</v>
      </c>
      <c r="G20">
        <v>4.5</v>
      </c>
      <c r="H20">
        <v>2023</v>
      </c>
      <c r="I20" t="s">
        <v>1052</v>
      </c>
      <c r="J20" t="s">
        <v>1019</v>
      </c>
      <c r="K20">
        <v>5</v>
      </c>
    </row>
    <row r="21" spans="1:11" x14ac:dyDescent="0.3">
      <c r="A21" t="s">
        <v>1134</v>
      </c>
      <c r="B21" t="s">
        <v>1026</v>
      </c>
      <c r="C21">
        <v>143</v>
      </c>
      <c r="D21" t="s">
        <v>1029</v>
      </c>
      <c r="E21" s="1">
        <v>44961</v>
      </c>
      <c r="F21">
        <v>124</v>
      </c>
      <c r="G21">
        <v>4.9000000000000004</v>
      </c>
      <c r="H21">
        <v>2023</v>
      </c>
      <c r="I21" t="s">
        <v>1062</v>
      </c>
      <c r="J21" t="s">
        <v>1031</v>
      </c>
      <c r="K21">
        <v>5</v>
      </c>
    </row>
    <row r="22" spans="1:11" x14ac:dyDescent="0.3">
      <c r="A22" t="s">
        <v>1136</v>
      </c>
      <c r="B22" t="s">
        <v>1078</v>
      </c>
      <c r="C22">
        <v>55</v>
      </c>
      <c r="D22" t="s">
        <v>1029</v>
      </c>
      <c r="E22" s="1">
        <v>44962</v>
      </c>
      <c r="F22">
        <v>78</v>
      </c>
      <c r="G22">
        <v>4.5</v>
      </c>
      <c r="H22">
        <v>2023</v>
      </c>
      <c r="I22" t="s">
        <v>1018</v>
      </c>
      <c r="J22" t="s">
        <v>1034</v>
      </c>
      <c r="K22">
        <v>5</v>
      </c>
    </row>
    <row r="23" spans="1:11" x14ac:dyDescent="0.3">
      <c r="A23" t="s">
        <v>1146</v>
      </c>
      <c r="B23" t="s">
        <v>1068</v>
      </c>
      <c r="C23">
        <v>131</v>
      </c>
      <c r="D23" t="s">
        <v>1029</v>
      </c>
      <c r="E23" s="1">
        <v>44967</v>
      </c>
      <c r="F23">
        <v>172</v>
      </c>
      <c r="G23">
        <v>2.6</v>
      </c>
      <c r="H23">
        <v>2023</v>
      </c>
      <c r="I23" t="s">
        <v>411</v>
      </c>
      <c r="J23" t="s">
        <v>1031</v>
      </c>
      <c r="K23">
        <v>3</v>
      </c>
    </row>
    <row r="24" spans="1:11" x14ac:dyDescent="0.3">
      <c r="A24" t="s">
        <v>1148</v>
      </c>
      <c r="B24" t="s">
        <v>1026</v>
      </c>
      <c r="C24">
        <v>111</v>
      </c>
      <c r="D24" t="s">
        <v>1029</v>
      </c>
      <c r="E24" s="1">
        <v>44969</v>
      </c>
      <c r="F24">
        <v>43</v>
      </c>
      <c r="G24">
        <v>3.9</v>
      </c>
      <c r="H24">
        <v>2023</v>
      </c>
      <c r="I24" t="s">
        <v>1018</v>
      </c>
      <c r="J24" t="s">
        <v>1019</v>
      </c>
      <c r="K24">
        <v>4</v>
      </c>
    </row>
    <row r="25" spans="1:11" x14ac:dyDescent="0.3">
      <c r="A25" t="s">
        <v>1152</v>
      </c>
      <c r="B25" t="s">
        <v>1065</v>
      </c>
      <c r="C25">
        <v>137</v>
      </c>
      <c r="D25" t="s">
        <v>1029</v>
      </c>
      <c r="E25" s="1">
        <v>44970</v>
      </c>
      <c r="F25">
        <v>34</v>
      </c>
      <c r="G25">
        <v>2.9</v>
      </c>
      <c r="H25">
        <v>2023</v>
      </c>
      <c r="I25" t="s">
        <v>1030</v>
      </c>
      <c r="J25" t="s">
        <v>1031</v>
      </c>
      <c r="K25">
        <v>3</v>
      </c>
    </row>
    <row r="26" spans="1:11" x14ac:dyDescent="0.3">
      <c r="A26" t="s">
        <v>1157</v>
      </c>
      <c r="B26" t="s">
        <v>1028</v>
      </c>
      <c r="C26">
        <v>19</v>
      </c>
      <c r="D26" t="s">
        <v>1029</v>
      </c>
      <c r="E26" s="1">
        <v>44972</v>
      </c>
      <c r="F26">
        <v>28</v>
      </c>
      <c r="G26">
        <v>4.9000000000000004</v>
      </c>
      <c r="H26">
        <v>2023</v>
      </c>
      <c r="I26" t="s">
        <v>1048</v>
      </c>
      <c r="J26" t="s">
        <v>1056</v>
      </c>
      <c r="K26">
        <v>5</v>
      </c>
    </row>
    <row r="27" spans="1:11" x14ac:dyDescent="0.3">
      <c r="A27" t="s">
        <v>1159</v>
      </c>
      <c r="B27" t="s">
        <v>1045</v>
      </c>
      <c r="C27">
        <v>55</v>
      </c>
      <c r="D27" t="s">
        <v>1029</v>
      </c>
      <c r="E27" s="1">
        <v>44972</v>
      </c>
      <c r="F27">
        <v>23</v>
      </c>
      <c r="G27">
        <v>3.6</v>
      </c>
      <c r="H27">
        <v>2023</v>
      </c>
      <c r="I27" t="s">
        <v>1048</v>
      </c>
      <c r="J27" t="s">
        <v>1034</v>
      </c>
      <c r="K27">
        <v>4</v>
      </c>
    </row>
    <row r="28" spans="1:11" x14ac:dyDescent="0.3">
      <c r="A28" t="s">
        <v>1170</v>
      </c>
      <c r="B28" t="s">
        <v>1028</v>
      </c>
      <c r="C28">
        <v>114</v>
      </c>
      <c r="D28" t="s">
        <v>1029</v>
      </c>
      <c r="E28" s="1">
        <v>44976</v>
      </c>
      <c r="F28">
        <v>54</v>
      </c>
      <c r="G28">
        <v>1.1000000000000001</v>
      </c>
      <c r="H28">
        <v>2023</v>
      </c>
      <c r="I28" t="s">
        <v>1018</v>
      </c>
      <c r="J28" t="s">
        <v>1019</v>
      </c>
      <c r="K28">
        <v>1</v>
      </c>
    </row>
    <row r="29" spans="1:11" x14ac:dyDescent="0.3">
      <c r="A29" t="s">
        <v>1171</v>
      </c>
      <c r="B29" t="s">
        <v>1021</v>
      </c>
      <c r="C29">
        <v>155</v>
      </c>
      <c r="D29" t="s">
        <v>1029</v>
      </c>
      <c r="E29" s="1">
        <v>44977</v>
      </c>
      <c r="F29">
        <v>80</v>
      </c>
      <c r="G29">
        <v>3.9</v>
      </c>
      <c r="H29">
        <v>2023</v>
      </c>
      <c r="I29" t="s">
        <v>1030</v>
      </c>
      <c r="J29" t="s">
        <v>1031</v>
      </c>
      <c r="K29">
        <v>4</v>
      </c>
    </row>
    <row r="30" spans="1:11" x14ac:dyDescent="0.3">
      <c r="A30" t="s">
        <v>1176</v>
      </c>
      <c r="B30" t="s">
        <v>1041</v>
      </c>
      <c r="C30">
        <v>154</v>
      </c>
      <c r="D30" t="s">
        <v>1029</v>
      </c>
      <c r="E30" s="1">
        <v>44979</v>
      </c>
      <c r="F30">
        <v>22</v>
      </c>
      <c r="G30">
        <v>3.4</v>
      </c>
      <c r="H30">
        <v>2023</v>
      </c>
      <c r="I30" t="s">
        <v>1048</v>
      </c>
      <c r="J30" t="s">
        <v>1031</v>
      </c>
      <c r="K30">
        <v>3</v>
      </c>
    </row>
    <row r="31" spans="1:11" x14ac:dyDescent="0.3">
      <c r="A31" t="s">
        <v>1183</v>
      </c>
      <c r="B31" t="s">
        <v>1068</v>
      </c>
      <c r="C31">
        <v>102</v>
      </c>
      <c r="D31" t="s">
        <v>1029</v>
      </c>
      <c r="E31" s="1">
        <v>44983</v>
      </c>
      <c r="F31">
        <v>165</v>
      </c>
      <c r="G31">
        <v>2.7</v>
      </c>
      <c r="H31">
        <v>2023</v>
      </c>
      <c r="I31" t="s">
        <v>1018</v>
      </c>
      <c r="J31" t="s">
        <v>1019</v>
      </c>
      <c r="K31">
        <v>3</v>
      </c>
    </row>
    <row r="32" spans="1:11" x14ac:dyDescent="0.3">
      <c r="A32" t="s">
        <v>1185</v>
      </c>
      <c r="B32" t="s">
        <v>1021</v>
      </c>
      <c r="C32">
        <v>6</v>
      </c>
      <c r="D32" t="s">
        <v>1029</v>
      </c>
      <c r="E32" s="1">
        <v>44984</v>
      </c>
      <c r="F32">
        <v>102</v>
      </c>
      <c r="G32">
        <v>4.4000000000000004</v>
      </c>
      <c r="H32">
        <v>2023</v>
      </c>
      <c r="I32" t="s">
        <v>1030</v>
      </c>
      <c r="J32" t="s">
        <v>1186</v>
      </c>
      <c r="K32">
        <v>4</v>
      </c>
    </row>
    <row r="33" spans="1:11" x14ac:dyDescent="0.3">
      <c r="A33" t="s">
        <v>1190</v>
      </c>
      <c r="B33" t="s">
        <v>1023</v>
      </c>
      <c r="C33">
        <v>53</v>
      </c>
      <c r="D33" t="s">
        <v>1029</v>
      </c>
      <c r="E33" s="1">
        <v>44985</v>
      </c>
      <c r="F33">
        <v>80</v>
      </c>
      <c r="G33">
        <v>2.6</v>
      </c>
      <c r="H33">
        <v>2023</v>
      </c>
      <c r="I33" t="s">
        <v>1033</v>
      </c>
      <c r="J33" t="s">
        <v>1034</v>
      </c>
      <c r="K33">
        <v>3</v>
      </c>
    </row>
    <row r="34" spans="1:11" x14ac:dyDescent="0.3">
      <c r="A34" t="s">
        <v>1195</v>
      </c>
      <c r="B34" t="s">
        <v>1065</v>
      </c>
      <c r="C34">
        <v>152</v>
      </c>
      <c r="D34" t="s">
        <v>1029</v>
      </c>
      <c r="E34" s="1">
        <v>44986</v>
      </c>
      <c r="F34">
        <v>215</v>
      </c>
      <c r="G34">
        <v>4.4000000000000004</v>
      </c>
      <c r="H34">
        <v>2023</v>
      </c>
      <c r="I34" t="s">
        <v>1048</v>
      </c>
      <c r="J34" t="s">
        <v>1031</v>
      </c>
      <c r="K34">
        <v>4</v>
      </c>
    </row>
    <row r="35" spans="1:11" x14ac:dyDescent="0.3">
      <c r="A35" t="s">
        <v>1200</v>
      </c>
      <c r="B35" t="s">
        <v>1047</v>
      </c>
      <c r="C35">
        <v>98</v>
      </c>
      <c r="D35" t="s">
        <v>1029</v>
      </c>
      <c r="E35" s="1">
        <v>44987</v>
      </c>
      <c r="F35">
        <v>100</v>
      </c>
      <c r="G35">
        <v>3.8</v>
      </c>
      <c r="H35">
        <v>2023</v>
      </c>
      <c r="I35" t="s">
        <v>1052</v>
      </c>
      <c r="J35" t="s">
        <v>1019</v>
      </c>
      <c r="K35">
        <v>4</v>
      </c>
    </row>
    <row r="36" spans="1:11" x14ac:dyDescent="0.3">
      <c r="A36" t="s">
        <v>1206</v>
      </c>
      <c r="B36" t="s">
        <v>1021</v>
      </c>
      <c r="C36">
        <v>113</v>
      </c>
      <c r="D36" t="s">
        <v>1029</v>
      </c>
      <c r="E36" s="1">
        <v>44988</v>
      </c>
      <c r="F36">
        <v>123</v>
      </c>
      <c r="G36">
        <v>4.4000000000000004</v>
      </c>
      <c r="H36">
        <v>2023</v>
      </c>
      <c r="I36" t="s">
        <v>411</v>
      </c>
      <c r="J36" t="s">
        <v>1019</v>
      </c>
      <c r="K36">
        <v>4</v>
      </c>
    </row>
    <row r="37" spans="1:11" x14ac:dyDescent="0.3">
      <c r="A37" t="s">
        <v>1211</v>
      </c>
      <c r="B37" t="s">
        <v>1078</v>
      </c>
      <c r="C37">
        <v>86</v>
      </c>
      <c r="D37" t="s">
        <v>1029</v>
      </c>
      <c r="E37" s="1">
        <v>44988</v>
      </c>
      <c r="F37">
        <v>68</v>
      </c>
      <c r="G37">
        <v>3</v>
      </c>
      <c r="H37">
        <v>2023</v>
      </c>
      <c r="I37" t="s">
        <v>411</v>
      </c>
      <c r="J37" t="s">
        <v>1019</v>
      </c>
      <c r="K37">
        <v>3</v>
      </c>
    </row>
    <row r="38" spans="1:11" x14ac:dyDescent="0.3">
      <c r="A38" t="s">
        <v>1214</v>
      </c>
      <c r="B38" t="s">
        <v>1059</v>
      </c>
      <c r="C38">
        <v>82</v>
      </c>
      <c r="D38" t="s">
        <v>1029</v>
      </c>
      <c r="E38" s="1">
        <v>44989</v>
      </c>
      <c r="F38">
        <v>93</v>
      </c>
      <c r="G38">
        <v>2.7</v>
      </c>
      <c r="H38">
        <v>2023</v>
      </c>
      <c r="I38" t="s">
        <v>1062</v>
      </c>
      <c r="J38" t="s">
        <v>1019</v>
      </c>
      <c r="K38">
        <v>3</v>
      </c>
    </row>
    <row r="39" spans="1:11" x14ac:dyDescent="0.3">
      <c r="A39" t="s">
        <v>1220</v>
      </c>
      <c r="B39" t="s">
        <v>1068</v>
      </c>
      <c r="C39">
        <v>67</v>
      </c>
      <c r="D39" t="s">
        <v>1029</v>
      </c>
      <c r="E39" s="1">
        <v>44990</v>
      </c>
      <c r="F39">
        <v>40</v>
      </c>
      <c r="G39">
        <v>5</v>
      </c>
      <c r="H39">
        <v>2023</v>
      </c>
      <c r="I39" t="s">
        <v>1018</v>
      </c>
      <c r="J39" t="s">
        <v>1019</v>
      </c>
      <c r="K39">
        <v>5</v>
      </c>
    </row>
    <row r="40" spans="1:11" x14ac:dyDescent="0.3">
      <c r="A40" t="s">
        <v>1224</v>
      </c>
      <c r="B40" t="s">
        <v>1036</v>
      </c>
      <c r="C40">
        <v>153</v>
      </c>
      <c r="D40" t="s">
        <v>1029</v>
      </c>
      <c r="E40" s="1">
        <v>44991</v>
      </c>
      <c r="F40">
        <v>34</v>
      </c>
      <c r="G40">
        <v>3</v>
      </c>
      <c r="H40">
        <v>2023</v>
      </c>
      <c r="I40" t="s">
        <v>1030</v>
      </c>
      <c r="J40" t="s">
        <v>1031</v>
      </c>
      <c r="K40">
        <v>3</v>
      </c>
    </row>
    <row r="41" spans="1:11" x14ac:dyDescent="0.3">
      <c r="A41" t="s">
        <v>1233</v>
      </c>
      <c r="B41" t="s">
        <v>1047</v>
      </c>
      <c r="C41">
        <v>134</v>
      </c>
      <c r="D41" t="s">
        <v>1029</v>
      </c>
      <c r="E41" s="1">
        <v>44992</v>
      </c>
      <c r="F41">
        <v>160</v>
      </c>
      <c r="G41">
        <v>4.5</v>
      </c>
      <c r="H41">
        <v>2023</v>
      </c>
      <c r="I41" t="s">
        <v>1033</v>
      </c>
      <c r="J41" t="s">
        <v>1031</v>
      </c>
      <c r="K41">
        <v>5</v>
      </c>
    </row>
    <row r="42" spans="1:11" x14ac:dyDescent="0.3">
      <c r="A42" t="s">
        <v>1238</v>
      </c>
      <c r="B42" t="s">
        <v>1045</v>
      </c>
      <c r="C42">
        <v>80</v>
      </c>
      <c r="D42" t="s">
        <v>1029</v>
      </c>
      <c r="E42" s="1">
        <v>44994</v>
      </c>
      <c r="F42">
        <v>168</v>
      </c>
      <c r="G42">
        <v>3.7</v>
      </c>
      <c r="H42">
        <v>2023</v>
      </c>
      <c r="I42" t="s">
        <v>1052</v>
      </c>
      <c r="J42" t="s">
        <v>1019</v>
      </c>
      <c r="K42">
        <v>4</v>
      </c>
    </row>
    <row r="43" spans="1:11" x14ac:dyDescent="0.3">
      <c r="A43" t="s">
        <v>1245</v>
      </c>
      <c r="B43" t="s">
        <v>1016</v>
      </c>
      <c r="C43">
        <v>93</v>
      </c>
      <c r="D43" t="s">
        <v>1029</v>
      </c>
      <c r="E43" s="1">
        <v>44996</v>
      </c>
      <c r="F43">
        <v>132</v>
      </c>
      <c r="G43">
        <v>3.7</v>
      </c>
      <c r="H43">
        <v>2023</v>
      </c>
      <c r="I43" t="s">
        <v>1062</v>
      </c>
      <c r="J43" t="s">
        <v>1019</v>
      </c>
      <c r="K43">
        <v>4</v>
      </c>
    </row>
    <row r="44" spans="1:11" x14ac:dyDescent="0.3">
      <c r="A44" t="s">
        <v>1255</v>
      </c>
      <c r="B44" t="s">
        <v>1078</v>
      </c>
      <c r="C44">
        <v>61</v>
      </c>
      <c r="D44" t="s">
        <v>1029</v>
      </c>
      <c r="E44" s="1">
        <v>44998</v>
      </c>
      <c r="F44">
        <v>160</v>
      </c>
      <c r="G44">
        <v>4.9000000000000004</v>
      </c>
      <c r="H44">
        <v>2023</v>
      </c>
      <c r="I44" t="s">
        <v>1030</v>
      </c>
      <c r="J44" t="s">
        <v>1019</v>
      </c>
      <c r="K44">
        <v>5</v>
      </c>
    </row>
    <row r="45" spans="1:11" x14ac:dyDescent="0.3">
      <c r="A45" t="s">
        <v>1259</v>
      </c>
      <c r="B45" t="s">
        <v>1068</v>
      </c>
      <c r="C45">
        <v>13</v>
      </c>
      <c r="D45" t="s">
        <v>1029</v>
      </c>
      <c r="E45" s="1">
        <v>44999</v>
      </c>
      <c r="F45">
        <v>63</v>
      </c>
      <c r="G45">
        <v>4.0999999999999996</v>
      </c>
      <c r="H45">
        <v>2023</v>
      </c>
      <c r="I45" t="s">
        <v>1033</v>
      </c>
      <c r="J45" t="s">
        <v>1056</v>
      </c>
      <c r="K45">
        <v>4</v>
      </c>
    </row>
    <row r="46" spans="1:11" x14ac:dyDescent="0.3">
      <c r="A46" t="s">
        <v>1282</v>
      </c>
      <c r="B46" t="s">
        <v>1016</v>
      </c>
      <c r="C46">
        <v>92</v>
      </c>
      <c r="D46" t="s">
        <v>1029</v>
      </c>
      <c r="E46" s="1">
        <v>45002</v>
      </c>
      <c r="F46">
        <v>125</v>
      </c>
      <c r="G46">
        <v>4.9000000000000004</v>
      </c>
      <c r="H46">
        <v>2023</v>
      </c>
      <c r="I46" t="s">
        <v>411</v>
      </c>
      <c r="J46" t="s">
        <v>1019</v>
      </c>
      <c r="K46">
        <v>5</v>
      </c>
    </row>
    <row r="47" spans="1:11" x14ac:dyDescent="0.3">
      <c r="A47" t="s">
        <v>1287</v>
      </c>
      <c r="B47" t="s">
        <v>1078</v>
      </c>
      <c r="C47">
        <v>106</v>
      </c>
      <c r="D47" t="s">
        <v>1029</v>
      </c>
      <c r="E47" s="1">
        <v>45003</v>
      </c>
      <c r="F47">
        <v>112</v>
      </c>
      <c r="G47">
        <v>4.4000000000000004</v>
      </c>
      <c r="H47">
        <v>2023</v>
      </c>
      <c r="I47" t="s">
        <v>1062</v>
      </c>
      <c r="J47" t="s">
        <v>1019</v>
      </c>
      <c r="K47">
        <v>4</v>
      </c>
    </row>
    <row r="48" spans="1:11" x14ac:dyDescent="0.3">
      <c r="A48" t="s">
        <v>1289</v>
      </c>
      <c r="B48" t="s">
        <v>1059</v>
      </c>
      <c r="C48">
        <v>84</v>
      </c>
      <c r="D48" t="s">
        <v>1029</v>
      </c>
      <c r="E48" s="1">
        <v>45004</v>
      </c>
      <c r="F48">
        <v>22</v>
      </c>
      <c r="G48">
        <v>3.5</v>
      </c>
      <c r="H48">
        <v>2023</v>
      </c>
      <c r="I48" t="s">
        <v>1018</v>
      </c>
      <c r="J48" t="s">
        <v>1019</v>
      </c>
      <c r="K48">
        <v>4</v>
      </c>
    </row>
    <row r="49" spans="1:11" x14ac:dyDescent="0.3">
      <c r="A49" t="s">
        <v>1290</v>
      </c>
      <c r="B49" t="s">
        <v>1055</v>
      </c>
      <c r="C49">
        <v>140</v>
      </c>
      <c r="D49" t="s">
        <v>1029</v>
      </c>
      <c r="E49" s="1">
        <v>45004</v>
      </c>
      <c r="F49">
        <v>93</v>
      </c>
      <c r="G49">
        <v>4.4000000000000004</v>
      </c>
      <c r="H49">
        <v>2023</v>
      </c>
      <c r="I49" t="s">
        <v>1018</v>
      </c>
      <c r="J49" t="s">
        <v>1031</v>
      </c>
      <c r="K49">
        <v>4</v>
      </c>
    </row>
    <row r="50" spans="1:11" x14ac:dyDescent="0.3">
      <c r="A50" t="s">
        <v>1291</v>
      </c>
      <c r="B50" t="s">
        <v>1041</v>
      </c>
      <c r="C50">
        <v>67</v>
      </c>
      <c r="D50" t="s">
        <v>1029</v>
      </c>
      <c r="E50" s="1">
        <v>45004</v>
      </c>
      <c r="F50">
        <v>45</v>
      </c>
      <c r="G50">
        <v>3.5</v>
      </c>
      <c r="H50">
        <v>2023</v>
      </c>
      <c r="I50" t="s">
        <v>1018</v>
      </c>
      <c r="J50" t="s">
        <v>1019</v>
      </c>
      <c r="K50">
        <v>4</v>
      </c>
    </row>
    <row r="51" spans="1:11" x14ac:dyDescent="0.3">
      <c r="A51" t="s">
        <v>1292</v>
      </c>
      <c r="B51" t="s">
        <v>1021</v>
      </c>
      <c r="C51">
        <v>126</v>
      </c>
      <c r="D51" t="s">
        <v>1029</v>
      </c>
      <c r="E51" s="1">
        <v>45005</v>
      </c>
      <c r="F51">
        <v>96</v>
      </c>
      <c r="G51">
        <v>3.8</v>
      </c>
      <c r="H51">
        <v>2023</v>
      </c>
      <c r="I51" t="s">
        <v>1030</v>
      </c>
      <c r="J51" t="s">
        <v>1031</v>
      </c>
      <c r="K51">
        <v>4</v>
      </c>
    </row>
    <row r="52" spans="1:11" x14ac:dyDescent="0.3">
      <c r="A52" t="s">
        <v>1298</v>
      </c>
      <c r="B52" t="s">
        <v>1023</v>
      </c>
      <c r="C52">
        <v>102</v>
      </c>
      <c r="D52" t="s">
        <v>1029</v>
      </c>
      <c r="E52" s="1">
        <v>45006</v>
      </c>
      <c r="F52">
        <v>81</v>
      </c>
      <c r="G52">
        <v>4</v>
      </c>
      <c r="H52">
        <v>2023</v>
      </c>
      <c r="I52" t="s">
        <v>1033</v>
      </c>
      <c r="J52" t="s">
        <v>1019</v>
      </c>
      <c r="K52">
        <v>4</v>
      </c>
    </row>
    <row r="53" spans="1:11" x14ac:dyDescent="0.3">
      <c r="A53" t="s">
        <v>1301</v>
      </c>
      <c r="B53" t="s">
        <v>1036</v>
      </c>
      <c r="C53">
        <v>59</v>
      </c>
      <c r="D53" t="s">
        <v>1029</v>
      </c>
      <c r="E53" s="1">
        <v>45006</v>
      </c>
      <c r="F53">
        <v>215</v>
      </c>
      <c r="G53">
        <v>4.0999999999999996</v>
      </c>
      <c r="H53">
        <v>2023</v>
      </c>
      <c r="I53" t="s">
        <v>1033</v>
      </c>
      <c r="J53" t="s">
        <v>1034</v>
      </c>
      <c r="K53">
        <v>4</v>
      </c>
    </row>
    <row r="54" spans="1:11" x14ac:dyDescent="0.3">
      <c r="A54" t="s">
        <v>1305</v>
      </c>
      <c r="B54" t="s">
        <v>1068</v>
      </c>
      <c r="C54">
        <v>58</v>
      </c>
      <c r="D54" t="s">
        <v>1029</v>
      </c>
      <c r="E54" s="1">
        <v>45007</v>
      </c>
      <c r="F54">
        <v>176</v>
      </c>
      <c r="G54">
        <v>4.2</v>
      </c>
      <c r="H54">
        <v>2023</v>
      </c>
      <c r="I54" t="s">
        <v>1048</v>
      </c>
      <c r="J54" t="s">
        <v>1034</v>
      </c>
      <c r="K54">
        <v>4</v>
      </c>
    </row>
    <row r="55" spans="1:11" x14ac:dyDescent="0.3">
      <c r="A55" t="s">
        <v>1322</v>
      </c>
      <c r="B55" t="s">
        <v>1028</v>
      </c>
      <c r="C55">
        <v>158</v>
      </c>
      <c r="D55" t="s">
        <v>1029</v>
      </c>
      <c r="E55" s="1">
        <v>45010</v>
      </c>
      <c r="F55">
        <v>60</v>
      </c>
      <c r="G55">
        <v>4.5</v>
      </c>
      <c r="H55">
        <v>2023</v>
      </c>
      <c r="I55" t="s">
        <v>1062</v>
      </c>
      <c r="J55" t="s">
        <v>1031</v>
      </c>
      <c r="K55">
        <v>5</v>
      </c>
    </row>
    <row r="56" spans="1:11" x14ac:dyDescent="0.3">
      <c r="A56" t="s">
        <v>1328</v>
      </c>
      <c r="B56" t="s">
        <v>1036</v>
      </c>
      <c r="C56">
        <v>61</v>
      </c>
      <c r="D56" t="s">
        <v>1029</v>
      </c>
      <c r="E56" s="1">
        <v>45012</v>
      </c>
      <c r="F56">
        <v>140</v>
      </c>
      <c r="G56">
        <v>1.8</v>
      </c>
      <c r="H56">
        <v>2023</v>
      </c>
      <c r="I56" t="s">
        <v>1030</v>
      </c>
      <c r="J56" t="s">
        <v>1019</v>
      </c>
      <c r="K56">
        <v>2</v>
      </c>
    </row>
    <row r="57" spans="1:11" x14ac:dyDescent="0.3">
      <c r="A57" t="s">
        <v>1332</v>
      </c>
      <c r="B57" t="s">
        <v>1065</v>
      </c>
      <c r="C57">
        <v>39</v>
      </c>
      <c r="D57" t="s">
        <v>1029</v>
      </c>
      <c r="E57" s="1">
        <v>45013</v>
      </c>
      <c r="F57">
        <v>81</v>
      </c>
      <c r="G57">
        <v>5</v>
      </c>
      <c r="H57">
        <v>2023</v>
      </c>
      <c r="I57" t="s">
        <v>1033</v>
      </c>
      <c r="J57" t="s">
        <v>1034</v>
      </c>
      <c r="K57">
        <v>5</v>
      </c>
    </row>
    <row r="58" spans="1:11" x14ac:dyDescent="0.3">
      <c r="A58" t="s">
        <v>1336</v>
      </c>
      <c r="B58" t="s">
        <v>1036</v>
      </c>
      <c r="C58">
        <v>56</v>
      </c>
      <c r="D58" t="s">
        <v>1029</v>
      </c>
      <c r="E58" s="1">
        <v>45013</v>
      </c>
      <c r="F58">
        <v>225</v>
      </c>
      <c r="G58">
        <v>4.5999999999999996</v>
      </c>
      <c r="H58">
        <v>2023</v>
      </c>
      <c r="I58" t="s">
        <v>1033</v>
      </c>
      <c r="J58" t="s">
        <v>1034</v>
      </c>
      <c r="K58">
        <v>5</v>
      </c>
    </row>
    <row r="59" spans="1:11" x14ac:dyDescent="0.3">
      <c r="A59" t="s">
        <v>1344</v>
      </c>
      <c r="B59" t="s">
        <v>1078</v>
      </c>
      <c r="C59">
        <v>89</v>
      </c>
      <c r="D59" t="s">
        <v>1029</v>
      </c>
      <c r="E59" s="1">
        <v>45016</v>
      </c>
      <c r="F59">
        <v>90</v>
      </c>
      <c r="G59">
        <v>4.5999999999999996</v>
      </c>
      <c r="H59">
        <v>2023</v>
      </c>
      <c r="I59" t="s">
        <v>411</v>
      </c>
      <c r="J59" t="s">
        <v>1019</v>
      </c>
      <c r="K59">
        <v>5</v>
      </c>
    </row>
    <row r="60" spans="1:11" x14ac:dyDescent="0.3">
      <c r="A60" t="s">
        <v>1347</v>
      </c>
      <c r="B60" t="s">
        <v>1026</v>
      </c>
      <c r="C60">
        <v>42</v>
      </c>
      <c r="D60" t="s">
        <v>1029</v>
      </c>
      <c r="E60" s="1">
        <v>45017</v>
      </c>
      <c r="F60">
        <v>45</v>
      </c>
      <c r="G60">
        <v>1.5</v>
      </c>
      <c r="H60">
        <v>2023</v>
      </c>
      <c r="I60" t="s">
        <v>1062</v>
      </c>
      <c r="J60" t="s">
        <v>1034</v>
      </c>
      <c r="K60">
        <v>2</v>
      </c>
    </row>
    <row r="61" spans="1:11" x14ac:dyDescent="0.3">
      <c r="A61" t="s">
        <v>1349</v>
      </c>
      <c r="B61" t="s">
        <v>1023</v>
      </c>
      <c r="C61">
        <v>20</v>
      </c>
      <c r="D61" t="s">
        <v>1029</v>
      </c>
      <c r="E61" s="1">
        <v>45017</v>
      </c>
      <c r="F61">
        <v>60</v>
      </c>
      <c r="G61">
        <v>3.6</v>
      </c>
      <c r="H61">
        <v>2023</v>
      </c>
      <c r="I61" t="s">
        <v>1062</v>
      </c>
      <c r="J61" t="s">
        <v>1056</v>
      </c>
      <c r="K61">
        <v>4</v>
      </c>
    </row>
    <row r="62" spans="1:11" x14ac:dyDescent="0.3">
      <c r="A62" t="s">
        <v>1358</v>
      </c>
      <c r="B62" t="s">
        <v>1026</v>
      </c>
      <c r="C62">
        <v>133</v>
      </c>
      <c r="D62" t="s">
        <v>1029</v>
      </c>
      <c r="E62" s="1">
        <v>45020</v>
      </c>
      <c r="F62">
        <v>72</v>
      </c>
      <c r="G62">
        <v>4.4000000000000004</v>
      </c>
      <c r="H62">
        <v>2023</v>
      </c>
      <c r="I62" t="s">
        <v>1033</v>
      </c>
      <c r="J62" t="s">
        <v>1031</v>
      </c>
      <c r="K62">
        <v>4</v>
      </c>
    </row>
    <row r="63" spans="1:11" x14ac:dyDescent="0.3">
      <c r="A63" t="s">
        <v>1361</v>
      </c>
      <c r="B63" t="s">
        <v>1045</v>
      </c>
      <c r="C63">
        <v>23</v>
      </c>
      <c r="D63" t="s">
        <v>1029</v>
      </c>
      <c r="E63" s="1">
        <v>45021</v>
      </c>
      <c r="F63">
        <v>105</v>
      </c>
      <c r="G63">
        <v>4.8</v>
      </c>
      <c r="H63">
        <v>2023</v>
      </c>
      <c r="I63" t="s">
        <v>1048</v>
      </c>
      <c r="J63" t="s">
        <v>1056</v>
      </c>
      <c r="K63">
        <v>5</v>
      </c>
    </row>
    <row r="64" spans="1:11" x14ac:dyDescent="0.3">
      <c r="A64" t="s">
        <v>1374</v>
      </c>
      <c r="B64" t="s">
        <v>1041</v>
      </c>
      <c r="C64">
        <v>104</v>
      </c>
      <c r="D64" t="s">
        <v>1029</v>
      </c>
      <c r="E64" s="1">
        <v>45023</v>
      </c>
      <c r="F64">
        <v>164</v>
      </c>
      <c r="G64">
        <v>4</v>
      </c>
      <c r="H64">
        <v>2023</v>
      </c>
      <c r="I64" t="s">
        <v>411</v>
      </c>
      <c r="J64" t="s">
        <v>1019</v>
      </c>
      <c r="K64">
        <v>4</v>
      </c>
    </row>
    <row r="65" spans="1:11" x14ac:dyDescent="0.3">
      <c r="A65" t="s">
        <v>1404</v>
      </c>
      <c r="B65" t="s">
        <v>1078</v>
      </c>
      <c r="C65">
        <v>108</v>
      </c>
      <c r="D65" t="s">
        <v>1029</v>
      </c>
      <c r="E65" s="1">
        <v>45031</v>
      </c>
      <c r="F65">
        <v>26</v>
      </c>
      <c r="G65">
        <v>3.3</v>
      </c>
      <c r="H65">
        <v>2023</v>
      </c>
      <c r="I65" t="s">
        <v>1062</v>
      </c>
      <c r="J65" t="s">
        <v>1019</v>
      </c>
      <c r="K65">
        <v>3</v>
      </c>
    </row>
    <row r="66" spans="1:11" x14ac:dyDescent="0.3">
      <c r="A66" t="s">
        <v>1407</v>
      </c>
      <c r="B66" t="s">
        <v>1059</v>
      </c>
      <c r="C66">
        <v>55</v>
      </c>
      <c r="D66" t="s">
        <v>1029</v>
      </c>
      <c r="E66" s="1">
        <v>45031</v>
      </c>
      <c r="F66">
        <v>215</v>
      </c>
      <c r="G66">
        <v>4.3</v>
      </c>
      <c r="H66">
        <v>2023</v>
      </c>
      <c r="I66" t="s">
        <v>1062</v>
      </c>
      <c r="J66" t="s">
        <v>1034</v>
      </c>
      <c r="K66">
        <v>4</v>
      </c>
    </row>
    <row r="67" spans="1:11" x14ac:dyDescent="0.3">
      <c r="A67" t="s">
        <v>1410</v>
      </c>
      <c r="B67" t="s">
        <v>1065</v>
      </c>
      <c r="C67">
        <v>45</v>
      </c>
      <c r="D67" t="s">
        <v>1029</v>
      </c>
      <c r="E67" s="1">
        <v>45032</v>
      </c>
      <c r="F67">
        <v>156</v>
      </c>
      <c r="G67">
        <v>2.7</v>
      </c>
      <c r="H67">
        <v>2023</v>
      </c>
      <c r="I67" t="s">
        <v>1018</v>
      </c>
      <c r="J67" t="s">
        <v>1034</v>
      </c>
      <c r="K67">
        <v>3</v>
      </c>
    </row>
    <row r="68" spans="1:11" x14ac:dyDescent="0.3">
      <c r="A68" t="s">
        <v>1414</v>
      </c>
      <c r="B68" t="s">
        <v>1068</v>
      </c>
      <c r="C68">
        <v>133</v>
      </c>
      <c r="D68" t="s">
        <v>1029</v>
      </c>
      <c r="E68" s="1">
        <v>45032</v>
      </c>
      <c r="F68">
        <v>100</v>
      </c>
      <c r="G68">
        <v>4</v>
      </c>
      <c r="H68">
        <v>2023</v>
      </c>
      <c r="I68" t="s">
        <v>1018</v>
      </c>
      <c r="J68" t="s">
        <v>1031</v>
      </c>
      <c r="K68">
        <v>4</v>
      </c>
    </row>
    <row r="69" spans="1:11" x14ac:dyDescent="0.3">
      <c r="A69" t="s">
        <v>1416</v>
      </c>
      <c r="B69" t="s">
        <v>1045</v>
      </c>
      <c r="C69">
        <v>69</v>
      </c>
      <c r="D69" t="s">
        <v>1029</v>
      </c>
      <c r="E69" s="1">
        <v>45032</v>
      </c>
      <c r="F69">
        <v>130</v>
      </c>
      <c r="G69">
        <v>1.9</v>
      </c>
      <c r="H69">
        <v>2023</v>
      </c>
      <c r="I69" t="s">
        <v>1018</v>
      </c>
      <c r="J69" t="s">
        <v>1019</v>
      </c>
      <c r="K69">
        <v>2</v>
      </c>
    </row>
    <row r="70" spans="1:11" x14ac:dyDescent="0.3">
      <c r="A70" t="s">
        <v>1424</v>
      </c>
      <c r="B70" t="s">
        <v>1055</v>
      </c>
      <c r="C70">
        <v>69</v>
      </c>
      <c r="D70" t="s">
        <v>1029</v>
      </c>
      <c r="E70" s="1">
        <v>45035</v>
      </c>
      <c r="F70">
        <v>32</v>
      </c>
      <c r="G70">
        <v>3.6</v>
      </c>
      <c r="H70">
        <v>2023</v>
      </c>
      <c r="I70" t="s">
        <v>1048</v>
      </c>
      <c r="J70" t="s">
        <v>1019</v>
      </c>
      <c r="K70">
        <v>4</v>
      </c>
    </row>
    <row r="71" spans="1:11" x14ac:dyDescent="0.3">
      <c r="A71" t="s">
        <v>1425</v>
      </c>
      <c r="B71" t="s">
        <v>1078</v>
      </c>
      <c r="C71">
        <v>107</v>
      </c>
      <c r="D71" t="s">
        <v>1029</v>
      </c>
      <c r="E71" s="1">
        <v>45035</v>
      </c>
      <c r="F71">
        <v>156</v>
      </c>
      <c r="G71">
        <v>3.8</v>
      </c>
      <c r="H71">
        <v>2023</v>
      </c>
      <c r="I71" t="s">
        <v>1048</v>
      </c>
      <c r="J71" t="s">
        <v>1019</v>
      </c>
      <c r="K71">
        <v>4</v>
      </c>
    </row>
    <row r="72" spans="1:11" x14ac:dyDescent="0.3">
      <c r="A72" t="s">
        <v>1428</v>
      </c>
      <c r="B72" t="s">
        <v>1028</v>
      </c>
      <c r="C72">
        <v>47</v>
      </c>
      <c r="D72" t="s">
        <v>1029</v>
      </c>
      <c r="E72" s="1">
        <v>45035</v>
      </c>
      <c r="F72">
        <v>84</v>
      </c>
      <c r="G72">
        <v>4.0999999999999996</v>
      </c>
      <c r="H72">
        <v>2023</v>
      </c>
      <c r="I72" t="s">
        <v>1048</v>
      </c>
      <c r="J72" t="s">
        <v>1034</v>
      </c>
      <c r="K72">
        <v>4</v>
      </c>
    </row>
    <row r="73" spans="1:11" x14ac:dyDescent="0.3">
      <c r="A73" t="s">
        <v>1431</v>
      </c>
      <c r="B73" t="s">
        <v>1098</v>
      </c>
      <c r="C73">
        <v>62</v>
      </c>
      <c r="D73" t="s">
        <v>1029</v>
      </c>
      <c r="E73" s="1">
        <v>45035</v>
      </c>
      <c r="F73">
        <v>35</v>
      </c>
      <c r="G73">
        <v>4.4000000000000004</v>
      </c>
      <c r="H73">
        <v>2023</v>
      </c>
      <c r="I73" t="s">
        <v>1048</v>
      </c>
      <c r="J73" t="s">
        <v>1019</v>
      </c>
      <c r="K73">
        <v>4</v>
      </c>
    </row>
    <row r="74" spans="1:11" x14ac:dyDescent="0.3">
      <c r="A74" t="s">
        <v>1432</v>
      </c>
      <c r="B74" t="s">
        <v>1041</v>
      </c>
      <c r="C74">
        <v>88</v>
      </c>
      <c r="D74" t="s">
        <v>1029</v>
      </c>
      <c r="E74" s="1">
        <v>45036</v>
      </c>
      <c r="F74">
        <v>35</v>
      </c>
      <c r="G74">
        <v>3.8</v>
      </c>
      <c r="H74">
        <v>2023</v>
      </c>
      <c r="I74" t="s">
        <v>1052</v>
      </c>
      <c r="J74" t="s">
        <v>1019</v>
      </c>
      <c r="K74">
        <v>4</v>
      </c>
    </row>
    <row r="75" spans="1:11" x14ac:dyDescent="0.3">
      <c r="A75" t="s">
        <v>1433</v>
      </c>
      <c r="B75" t="s">
        <v>1065</v>
      </c>
      <c r="C75">
        <v>116</v>
      </c>
      <c r="D75" t="s">
        <v>1029</v>
      </c>
      <c r="E75" s="1">
        <v>45036</v>
      </c>
      <c r="F75">
        <v>132</v>
      </c>
      <c r="G75">
        <v>5</v>
      </c>
      <c r="H75">
        <v>2023</v>
      </c>
      <c r="I75" t="s">
        <v>1052</v>
      </c>
      <c r="J75" t="s">
        <v>1019</v>
      </c>
      <c r="K75">
        <v>5</v>
      </c>
    </row>
    <row r="76" spans="1:11" x14ac:dyDescent="0.3">
      <c r="A76" t="s">
        <v>1439</v>
      </c>
      <c r="B76" t="s">
        <v>1021</v>
      </c>
      <c r="C76">
        <v>123</v>
      </c>
      <c r="D76" t="s">
        <v>1029</v>
      </c>
      <c r="E76" s="1">
        <v>45037</v>
      </c>
      <c r="F76">
        <v>120</v>
      </c>
      <c r="G76">
        <v>4.2</v>
      </c>
      <c r="H76">
        <v>2023</v>
      </c>
      <c r="I76" t="s">
        <v>411</v>
      </c>
      <c r="J76" t="s">
        <v>1031</v>
      </c>
      <c r="K76">
        <v>4</v>
      </c>
    </row>
    <row r="77" spans="1:11" x14ac:dyDescent="0.3">
      <c r="A77" t="s">
        <v>1441</v>
      </c>
      <c r="B77" t="s">
        <v>1021</v>
      </c>
      <c r="C77">
        <v>43</v>
      </c>
      <c r="D77" t="s">
        <v>1029</v>
      </c>
      <c r="E77" s="1">
        <v>45038</v>
      </c>
      <c r="F77">
        <v>128</v>
      </c>
      <c r="G77">
        <v>4.7</v>
      </c>
      <c r="H77">
        <v>2023</v>
      </c>
      <c r="I77" t="s">
        <v>1062</v>
      </c>
      <c r="J77" t="s">
        <v>1034</v>
      </c>
      <c r="K77">
        <v>5</v>
      </c>
    </row>
    <row r="78" spans="1:11" x14ac:dyDescent="0.3">
      <c r="A78" t="s">
        <v>1443</v>
      </c>
      <c r="B78" t="s">
        <v>1098</v>
      </c>
      <c r="C78">
        <v>53</v>
      </c>
      <c r="D78" t="s">
        <v>1029</v>
      </c>
      <c r="E78" s="1">
        <v>45038</v>
      </c>
      <c r="F78">
        <v>110</v>
      </c>
      <c r="G78">
        <v>4.3</v>
      </c>
      <c r="H78">
        <v>2023</v>
      </c>
      <c r="I78" t="s">
        <v>1062</v>
      </c>
      <c r="J78" t="s">
        <v>1034</v>
      </c>
      <c r="K78">
        <v>4</v>
      </c>
    </row>
    <row r="79" spans="1:11" x14ac:dyDescent="0.3">
      <c r="A79" t="s">
        <v>1444</v>
      </c>
      <c r="B79" t="s">
        <v>1021</v>
      </c>
      <c r="C79">
        <v>113</v>
      </c>
      <c r="D79" t="s">
        <v>1029</v>
      </c>
      <c r="E79" s="1">
        <v>45038</v>
      </c>
      <c r="F79">
        <v>145</v>
      </c>
      <c r="G79">
        <v>4</v>
      </c>
      <c r="H79">
        <v>2023</v>
      </c>
      <c r="I79" t="s">
        <v>1062</v>
      </c>
      <c r="J79" t="s">
        <v>1019</v>
      </c>
      <c r="K79">
        <v>4</v>
      </c>
    </row>
    <row r="80" spans="1:11" x14ac:dyDescent="0.3">
      <c r="A80" t="s">
        <v>1447</v>
      </c>
      <c r="B80" t="s">
        <v>1047</v>
      </c>
      <c r="C80">
        <v>130</v>
      </c>
      <c r="D80" t="s">
        <v>1029</v>
      </c>
      <c r="E80" s="1">
        <v>45039</v>
      </c>
      <c r="F80">
        <v>120</v>
      </c>
      <c r="G80">
        <v>3.8</v>
      </c>
      <c r="H80">
        <v>2023</v>
      </c>
      <c r="I80" t="s">
        <v>1018</v>
      </c>
      <c r="J80" t="s">
        <v>1031</v>
      </c>
      <c r="K80">
        <v>4</v>
      </c>
    </row>
    <row r="81" spans="1:11" x14ac:dyDescent="0.3">
      <c r="A81" t="s">
        <v>1449</v>
      </c>
      <c r="B81" t="s">
        <v>1055</v>
      </c>
      <c r="C81">
        <v>127</v>
      </c>
      <c r="D81" t="s">
        <v>1029</v>
      </c>
      <c r="E81" s="1">
        <v>45039</v>
      </c>
      <c r="F81">
        <v>160</v>
      </c>
      <c r="G81">
        <v>3.2</v>
      </c>
      <c r="H81">
        <v>2023</v>
      </c>
      <c r="I81" t="s">
        <v>1018</v>
      </c>
      <c r="J81" t="s">
        <v>1031</v>
      </c>
      <c r="K81">
        <v>3</v>
      </c>
    </row>
    <row r="82" spans="1:11" x14ac:dyDescent="0.3">
      <c r="A82" t="s">
        <v>1450</v>
      </c>
      <c r="B82" t="s">
        <v>1021</v>
      </c>
      <c r="C82">
        <v>50</v>
      </c>
      <c r="D82" t="s">
        <v>1029</v>
      </c>
      <c r="E82" s="1">
        <v>45039</v>
      </c>
      <c r="F82">
        <v>56</v>
      </c>
      <c r="G82">
        <v>4.7</v>
      </c>
      <c r="H82">
        <v>2023</v>
      </c>
      <c r="I82" t="s">
        <v>1018</v>
      </c>
      <c r="J82" t="s">
        <v>1034</v>
      </c>
      <c r="K82">
        <v>5</v>
      </c>
    </row>
    <row r="83" spans="1:11" x14ac:dyDescent="0.3">
      <c r="A83" t="s">
        <v>1453</v>
      </c>
      <c r="B83" t="s">
        <v>1026</v>
      </c>
      <c r="C83">
        <v>111</v>
      </c>
      <c r="D83" t="s">
        <v>1029</v>
      </c>
      <c r="E83" s="1">
        <v>45040</v>
      </c>
      <c r="F83">
        <v>144</v>
      </c>
      <c r="G83">
        <v>3.9</v>
      </c>
      <c r="H83">
        <v>2023</v>
      </c>
      <c r="I83" t="s">
        <v>1030</v>
      </c>
      <c r="J83" t="s">
        <v>1019</v>
      </c>
      <c r="K83">
        <v>4</v>
      </c>
    </row>
    <row r="84" spans="1:11" x14ac:dyDescent="0.3">
      <c r="A84" t="s">
        <v>1458</v>
      </c>
      <c r="B84" t="s">
        <v>1068</v>
      </c>
      <c r="C84">
        <v>75</v>
      </c>
      <c r="D84" t="s">
        <v>1029</v>
      </c>
      <c r="E84" s="1">
        <v>45040</v>
      </c>
      <c r="F84">
        <v>43</v>
      </c>
      <c r="G84">
        <v>4.9000000000000004</v>
      </c>
      <c r="H84">
        <v>2023</v>
      </c>
      <c r="I84" t="s">
        <v>1030</v>
      </c>
      <c r="J84" t="s">
        <v>1019</v>
      </c>
      <c r="K84">
        <v>5</v>
      </c>
    </row>
    <row r="85" spans="1:11" x14ac:dyDescent="0.3">
      <c r="A85" t="s">
        <v>1465</v>
      </c>
      <c r="B85" t="s">
        <v>1036</v>
      </c>
      <c r="C85">
        <v>126</v>
      </c>
      <c r="D85" t="s">
        <v>1029</v>
      </c>
      <c r="E85" s="1">
        <v>45042</v>
      </c>
      <c r="F85">
        <v>175</v>
      </c>
      <c r="G85">
        <v>4.8</v>
      </c>
      <c r="H85">
        <v>2023</v>
      </c>
      <c r="I85" t="s">
        <v>1048</v>
      </c>
      <c r="J85" t="s">
        <v>1031</v>
      </c>
      <c r="K85">
        <v>5</v>
      </c>
    </row>
    <row r="86" spans="1:11" x14ac:dyDescent="0.3">
      <c r="A86" t="s">
        <v>1467</v>
      </c>
      <c r="B86" t="s">
        <v>1047</v>
      </c>
      <c r="C86">
        <v>105</v>
      </c>
      <c r="D86" t="s">
        <v>1029</v>
      </c>
      <c r="E86" s="1">
        <v>45042</v>
      </c>
      <c r="F86">
        <v>66</v>
      </c>
      <c r="G86">
        <v>4.2</v>
      </c>
      <c r="H86">
        <v>2023</v>
      </c>
      <c r="I86" t="s">
        <v>1048</v>
      </c>
      <c r="J86" t="s">
        <v>1019</v>
      </c>
      <c r="K86">
        <v>4</v>
      </c>
    </row>
    <row r="87" spans="1:11" x14ac:dyDescent="0.3">
      <c r="A87" t="s">
        <v>1468</v>
      </c>
      <c r="B87" t="s">
        <v>1047</v>
      </c>
      <c r="C87">
        <v>31</v>
      </c>
      <c r="D87" t="s">
        <v>1029</v>
      </c>
      <c r="E87" s="1">
        <v>45042</v>
      </c>
      <c r="F87">
        <v>25</v>
      </c>
      <c r="G87">
        <v>3.2</v>
      </c>
      <c r="H87">
        <v>2023</v>
      </c>
      <c r="I87" t="s">
        <v>1048</v>
      </c>
      <c r="J87" t="s">
        <v>1034</v>
      </c>
      <c r="K87">
        <v>3</v>
      </c>
    </row>
    <row r="88" spans="1:11" x14ac:dyDescent="0.3">
      <c r="A88" t="s">
        <v>1478</v>
      </c>
      <c r="B88" t="s">
        <v>1055</v>
      </c>
      <c r="C88">
        <v>93</v>
      </c>
      <c r="D88" t="s">
        <v>1029</v>
      </c>
      <c r="E88" s="1">
        <v>45045</v>
      </c>
      <c r="F88">
        <v>150</v>
      </c>
      <c r="G88">
        <v>4.5999999999999996</v>
      </c>
      <c r="H88">
        <v>2023</v>
      </c>
      <c r="I88" t="s">
        <v>1062</v>
      </c>
      <c r="J88" t="s">
        <v>1019</v>
      </c>
      <c r="K88">
        <v>5</v>
      </c>
    </row>
    <row r="89" spans="1:11" x14ac:dyDescent="0.3">
      <c r="A89" t="s">
        <v>1483</v>
      </c>
      <c r="B89" t="s">
        <v>1045</v>
      </c>
      <c r="C89">
        <v>137</v>
      </c>
      <c r="D89" t="s">
        <v>1029</v>
      </c>
      <c r="E89" s="1">
        <v>45047</v>
      </c>
      <c r="F89">
        <v>20</v>
      </c>
      <c r="G89">
        <v>4.2</v>
      </c>
      <c r="H89">
        <v>2023</v>
      </c>
      <c r="I89" t="s">
        <v>1030</v>
      </c>
      <c r="J89" t="s">
        <v>1031</v>
      </c>
      <c r="K89">
        <v>4</v>
      </c>
    </row>
    <row r="90" spans="1:11" x14ac:dyDescent="0.3">
      <c r="A90" t="s">
        <v>1487</v>
      </c>
      <c r="B90" t="s">
        <v>1041</v>
      </c>
      <c r="C90">
        <v>119</v>
      </c>
      <c r="D90" t="s">
        <v>1029</v>
      </c>
      <c r="E90" s="1">
        <v>45047</v>
      </c>
      <c r="F90">
        <v>105</v>
      </c>
      <c r="G90">
        <v>4.7</v>
      </c>
      <c r="H90">
        <v>2023</v>
      </c>
      <c r="I90" t="s">
        <v>1030</v>
      </c>
      <c r="J90" t="s">
        <v>1019</v>
      </c>
      <c r="K90">
        <v>5</v>
      </c>
    </row>
    <row r="91" spans="1:11" x14ac:dyDescent="0.3">
      <c r="A91" t="s">
        <v>1495</v>
      </c>
      <c r="B91" t="s">
        <v>1098</v>
      </c>
      <c r="C91">
        <v>111</v>
      </c>
      <c r="D91" t="s">
        <v>1029</v>
      </c>
      <c r="E91" s="1">
        <v>45050</v>
      </c>
      <c r="F91">
        <v>90</v>
      </c>
      <c r="G91">
        <v>2.8</v>
      </c>
      <c r="H91">
        <v>2023</v>
      </c>
      <c r="I91" t="s">
        <v>1052</v>
      </c>
      <c r="J91" t="s">
        <v>1019</v>
      </c>
      <c r="K91">
        <v>3</v>
      </c>
    </row>
    <row r="92" spans="1:11" x14ac:dyDescent="0.3">
      <c r="A92" t="s">
        <v>1502</v>
      </c>
      <c r="B92" t="s">
        <v>1021</v>
      </c>
      <c r="C92">
        <v>31</v>
      </c>
      <c r="D92" t="s">
        <v>1029</v>
      </c>
      <c r="E92" s="1">
        <v>45054</v>
      </c>
      <c r="F92">
        <v>180</v>
      </c>
      <c r="G92">
        <v>4.5</v>
      </c>
      <c r="H92">
        <v>2023</v>
      </c>
      <c r="I92" t="s">
        <v>1030</v>
      </c>
      <c r="J92" t="s">
        <v>1034</v>
      </c>
      <c r="K92">
        <v>5</v>
      </c>
    </row>
    <row r="93" spans="1:11" x14ac:dyDescent="0.3">
      <c r="A93" t="s">
        <v>1505</v>
      </c>
      <c r="B93" t="s">
        <v>1055</v>
      </c>
      <c r="C93">
        <v>25</v>
      </c>
      <c r="D93" t="s">
        <v>1029</v>
      </c>
      <c r="E93" s="1">
        <v>45054</v>
      </c>
      <c r="F93">
        <v>52</v>
      </c>
      <c r="G93">
        <v>3.8</v>
      </c>
      <c r="H93">
        <v>2023</v>
      </c>
      <c r="I93" t="s">
        <v>1030</v>
      </c>
      <c r="J93" t="s">
        <v>1056</v>
      </c>
      <c r="K93">
        <v>4</v>
      </c>
    </row>
    <row r="94" spans="1:11" x14ac:dyDescent="0.3">
      <c r="A94" t="s">
        <v>1509</v>
      </c>
      <c r="B94" t="s">
        <v>1041</v>
      </c>
      <c r="C94">
        <v>54</v>
      </c>
      <c r="D94" t="s">
        <v>1029</v>
      </c>
      <c r="E94" s="1">
        <v>45057</v>
      </c>
      <c r="F94">
        <v>31</v>
      </c>
      <c r="G94">
        <v>3.3</v>
      </c>
      <c r="H94">
        <v>2023</v>
      </c>
      <c r="I94" t="s">
        <v>1052</v>
      </c>
      <c r="J94" t="s">
        <v>1034</v>
      </c>
      <c r="K94">
        <v>3</v>
      </c>
    </row>
    <row r="95" spans="1:11" x14ac:dyDescent="0.3">
      <c r="A95" t="s">
        <v>1510</v>
      </c>
      <c r="B95" t="s">
        <v>1023</v>
      </c>
      <c r="C95">
        <v>25</v>
      </c>
      <c r="D95" t="s">
        <v>1029</v>
      </c>
      <c r="E95" s="1">
        <v>45058</v>
      </c>
      <c r="F95">
        <v>27</v>
      </c>
      <c r="G95">
        <v>3.2</v>
      </c>
      <c r="H95">
        <v>2023</v>
      </c>
      <c r="I95" t="s">
        <v>411</v>
      </c>
      <c r="J95" t="s">
        <v>1056</v>
      </c>
      <c r="K95">
        <v>3</v>
      </c>
    </row>
    <row r="96" spans="1:11" x14ac:dyDescent="0.3">
      <c r="A96" t="s">
        <v>1514</v>
      </c>
      <c r="B96" t="s">
        <v>1078</v>
      </c>
      <c r="C96">
        <v>92</v>
      </c>
      <c r="D96" t="s">
        <v>1029</v>
      </c>
      <c r="E96" s="1">
        <v>45060</v>
      </c>
      <c r="F96">
        <v>44</v>
      </c>
      <c r="G96">
        <v>3.1</v>
      </c>
      <c r="H96">
        <v>2023</v>
      </c>
      <c r="I96" t="s">
        <v>1018</v>
      </c>
      <c r="J96" t="s">
        <v>1019</v>
      </c>
      <c r="K96">
        <v>3</v>
      </c>
    </row>
    <row r="97" spans="1:11" x14ac:dyDescent="0.3">
      <c r="A97" t="s">
        <v>1517</v>
      </c>
      <c r="B97" t="s">
        <v>1021</v>
      </c>
      <c r="C97">
        <v>154</v>
      </c>
      <c r="D97" t="s">
        <v>1029</v>
      </c>
      <c r="E97" s="1">
        <v>45061</v>
      </c>
      <c r="F97">
        <v>84</v>
      </c>
      <c r="G97">
        <v>4.3</v>
      </c>
      <c r="H97">
        <v>2023</v>
      </c>
      <c r="I97" t="s">
        <v>1030</v>
      </c>
      <c r="J97" t="s">
        <v>1031</v>
      </c>
      <c r="K97">
        <v>4</v>
      </c>
    </row>
    <row r="98" spans="1:11" x14ac:dyDescent="0.3">
      <c r="A98" t="s">
        <v>1521</v>
      </c>
      <c r="B98" t="s">
        <v>1098</v>
      </c>
      <c r="C98">
        <v>139</v>
      </c>
      <c r="D98" t="s">
        <v>1029</v>
      </c>
      <c r="E98" s="1">
        <v>45063</v>
      </c>
      <c r="F98">
        <v>220</v>
      </c>
      <c r="G98">
        <v>3.2</v>
      </c>
      <c r="H98">
        <v>2023</v>
      </c>
      <c r="I98" t="s">
        <v>1048</v>
      </c>
      <c r="J98" t="s">
        <v>1031</v>
      </c>
      <c r="K98">
        <v>3</v>
      </c>
    </row>
    <row r="99" spans="1:11" x14ac:dyDescent="0.3">
      <c r="A99" t="s">
        <v>1526</v>
      </c>
      <c r="B99" t="s">
        <v>1021</v>
      </c>
      <c r="C99">
        <v>67</v>
      </c>
      <c r="D99" t="s">
        <v>1029</v>
      </c>
      <c r="E99" s="1">
        <v>45067</v>
      </c>
      <c r="F99">
        <v>129</v>
      </c>
      <c r="G99">
        <v>4.7</v>
      </c>
      <c r="H99">
        <v>2023</v>
      </c>
      <c r="I99" t="s">
        <v>1018</v>
      </c>
      <c r="J99" t="s">
        <v>1019</v>
      </c>
      <c r="K99">
        <v>5</v>
      </c>
    </row>
    <row r="100" spans="1:11" x14ac:dyDescent="0.3">
      <c r="A100" t="s">
        <v>1529</v>
      </c>
      <c r="B100" t="s">
        <v>1068</v>
      </c>
      <c r="C100">
        <v>117</v>
      </c>
      <c r="D100" t="s">
        <v>1029</v>
      </c>
      <c r="E100" s="1">
        <v>45067</v>
      </c>
      <c r="F100">
        <v>90</v>
      </c>
      <c r="G100">
        <v>4.5</v>
      </c>
      <c r="H100">
        <v>2023</v>
      </c>
      <c r="I100" t="s">
        <v>1018</v>
      </c>
      <c r="J100" t="s">
        <v>1019</v>
      </c>
      <c r="K100">
        <v>5</v>
      </c>
    </row>
    <row r="101" spans="1:11" x14ac:dyDescent="0.3">
      <c r="A101" t="s">
        <v>1533</v>
      </c>
      <c r="B101" t="s">
        <v>1068</v>
      </c>
      <c r="C101">
        <v>115</v>
      </c>
      <c r="D101" t="s">
        <v>1029</v>
      </c>
      <c r="E101" s="1">
        <v>45068</v>
      </c>
      <c r="F101">
        <v>42</v>
      </c>
      <c r="G101">
        <v>4.7</v>
      </c>
      <c r="H101">
        <v>2023</v>
      </c>
      <c r="I101" t="s">
        <v>1030</v>
      </c>
      <c r="J101" t="s">
        <v>1019</v>
      </c>
      <c r="K101">
        <v>5</v>
      </c>
    </row>
    <row r="102" spans="1:11" x14ac:dyDescent="0.3">
      <c r="A102" t="s">
        <v>1546</v>
      </c>
      <c r="B102" t="s">
        <v>1078</v>
      </c>
      <c r="C102">
        <v>110</v>
      </c>
      <c r="D102" t="s">
        <v>1029</v>
      </c>
      <c r="E102" s="1">
        <v>45072</v>
      </c>
      <c r="F102">
        <v>82</v>
      </c>
      <c r="G102">
        <v>4</v>
      </c>
      <c r="H102">
        <v>2023</v>
      </c>
      <c r="I102" t="s">
        <v>411</v>
      </c>
      <c r="J102" t="s">
        <v>1019</v>
      </c>
      <c r="K102">
        <v>4</v>
      </c>
    </row>
    <row r="103" spans="1:11" x14ac:dyDescent="0.3">
      <c r="A103" t="s">
        <v>1550</v>
      </c>
      <c r="B103" t="s">
        <v>1041</v>
      </c>
      <c r="C103">
        <v>43</v>
      </c>
      <c r="D103" t="s">
        <v>1029</v>
      </c>
      <c r="E103" s="1">
        <v>45072</v>
      </c>
      <c r="F103">
        <v>37</v>
      </c>
      <c r="G103">
        <v>4.9000000000000004</v>
      </c>
      <c r="H103">
        <v>2023</v>
      </c>
      <c r="I103" t="s">
        <v>411</v>
      </c>
      <c r="J103" t="s">
        <v>1034</v>
      </c>
      <c r="K103">
        <v>5</v>
      </c>
    </row>
    <row r="104" spans="1:11" x14ac:dyDescent="0.3">
      <c r="A104" t="s">
        <v>1553</v>
      </c>
      <c r="B104" t="s">
        <v>1016</v>
      </c>
      <c r="C104">
        <v>55</v>
      </c>
      <c r="D104" t="s">
        <v>1029</v>
      </c>
      <c r="E104" s="1">
        <v>45074</v>
      </c>
      <c r="F104">
        <v>145</v>
      </c>
      <c r="G104">
        <v>4.5</v>
      </c>
      <c r="H104">
        <v>2023</v>
      </c>
      <c r="I104" t="s">
        <v>1018</v>
      </c>
      <c r="J104" t="s">
        <v>1034</v>
      </c>
      <c r="K104">
        <v>5</v>
      </c>
    </row>
    <row r="105" spans="1:11" x14ac:dyDescent="0.3">
      <c r="A105" t="s">
        <v>1558</v>
      </c>
      <c r="B105" t="s">
        <v>1055</v>
      </c>
      <c r="C105">
        <v>62</v>
      </c>
      <c r="D105" t="s">
        <v>1029</v>
      </c>
      <c r="E105" s="1">
        <v>45076</v>
      </c>
      <c r="F105">
        <v>125</v>
      </c>
      <c r="G105">
        <v>3.5</v>
      </c>
      <c r="H105">
        <v>2023</v>
      </c>
      <c r="I105" t="s">
        <v>1033</v>
      </c>
      <c r="J105" t="s">
        <v>1019</v>
      </c>
      <c r="K105">
        <v>4</v>
      </c>
    </row>
    <row r="106" spans="1:11" x14ac:dyDescent="0.3">
      <c r="A106" t="s">
        <v>1568</v>
      </c>
      <c r="B106" t="s">
        <v>1068</v>
      </c>
      <c r="C106">
        <v>141</v>
      </c>
      <c r="D106" t="s">
        <v>1029</v>
      </c>
      <c r="E106" s="1">
        <v>45080</v>
      </c>
      <c r="F106">
        <v>54</v>
      </c>
      <c r="G106">
        <v>4.8</v>
      </c>
      <c r="H106">
        <v>2023</v>
      </c>
      <c r="I106" t="s">
        <v>1062</v>
      </c>
      <c r="J106" t="s">
        <v>1031</v>
      </c>
      <c r="K106">
        <v>5</v>
      </c>
    </row>
    <row r="107" spans="1:11" x14ac:dyDescent="0.3">
      <c r="A107" t="s">
        <v>1572</v>
      </c>
      <c r="B107" t="s">
        <v>1068</v>
      </c>
      <c r="C107">
        <v>48</v>
      </c>
      <c r="D107" t="s">
        <v>1029</v>
      </c>
      <c r="E107" s="1">
        <v>45082</v>
      </c>
      <c r="F107">
        <v>120</v>
      </c>
      <c r="G107">
        <v>4.0999999999999996</v>
      </c>
      <c r="H107">
        <v>2023</v>
      </c>
      <c r="I107" t="s">
        <v>1030</v>
      </c>
      <c r="J107" t="s">
        <v>1034</v>
      </c>
      <c r="K107">
        <v>4</v>
      </c>
    </row>
    <row r="108" spans="1:11" x14ac:dyDescent="0.3">
      <c r="A108" t="s">
        <v>1573</v>
      </c>
      <c r="B108" t="s">
        <v>1055</v>
      </c>
      <c r="C108">
        <v>48</v>
      </c>
      <c r="D108" t="s">
        <v>1029</v>
      </c>
      <c r="E108" s="1">
        <v>45082</v>
      </c>
      <c r="F108">
        <v>120</v>
      </c>
      <c r="G108">
        <v>4.0999999999999996</v>
      </c>
      <c r="H108">
        <v>2023</v>
      </c>
      <c r="I108" t="s">
        <v>1030</v>
      </c>
      <c r="J108" t="s">
        <v>1034</v>
      </c>
      <c r="K108">
        <v>4</v>
      </c>
    </row>
    <row r="109" spans="1:11" x14ac:dyDescent="0.3">
      <c r="A109" t="s">
        <v>1577</v>
      </c>
      <c r="B109" t="s">
        <v>1021</v>
      </c>
      <c r="C109">
        <v>101</v>
      </c>
      <c r="D109" t="s">
        <v>1029</v>
      </c>
      <c r="E109" s="1">
        <v>45085</v>
      </c>
      <c r="F109">
        <v>132</v>
      </c>
      <c r="G109">
        <v>4.3</v>
      </c>
      <c r="H109">
        <v>2023</v>
      </c>
      <c r="I109" t="s">
        <v>1052</v>
      </c>
      <c r="J109" t="s">
        <v>1019</v>
      </c>
      <c r="K109">
        <v>4</v>
      </c>
    </row>
    <row r="110" spans="1:11" x14ac:dyDescent="0.3">
      <c r="A110" t="s">
        <v>1582</v>
      </c>
      <c r="B110" t="s">
        <v>1036</v>
      </c>
      <c r="C110">
        <v>99</v>
      </c>
      <c r="D110" t="s">
        <v>1029</v>
      </c>
      <c r="E110" s="1">
        <v>45087</v>
      </c>
      <c r="F110">
        <v>180</v>
      </c>
      <c r="G110">
        <v>3.8</v>
      </c>
      <c r="H110">
        <v>2023</v>
      </c>
      <c r="I110" t="s">
        <v>1062</v>
      </c>
      <c r="J110" t="s">
        <v>1019</v>
      </c>
      <c r="K110">
        <v>4</v>
      </c>
    </row>
    <row r="111" spans="1:11" x14ac:dyDescent="0.3">
      <c r="A111" t="s">
        <v>1585</v>
      </c>
      <c r="B111" t="s">
        <v>1016</v>
      </c>
      <c r="C111">
        <v>141</v>
      </c>
      <c r="D111" t="s">
        <v>1029</v>
      </c>
      <c r="E111" s="1">
        <v>45088</v>
      </c>
      <c r="F111">
        <v>100</v>
      </c>
      <c r="G111">
        <v>4.5999999999999996</v>
      </c>
      <c r="H111">
        <v>2023</v>
      </c>
      <c r="I111" t="s">
        <v>1018</v>
      </c>
      <c r="J111" t="s">
        <v>1031</v>
      </c>
      <c r="K111">
        <v>5</v>
      </c>
    </row>
    <row r="112" spans="1:11" x14ac:dyDescent="0.3">
      <c r="A112" t="s">
        <v>1589</v>
      </c>
      <c r="B112" t="s">
        <v>1065</v>
      </c>
      <c r="C112">
        <v>158</v>
      </c>
      <c r="D112" t="s">
        <v>1029</v>
      </c>
      <c r="E112" s="1">
        <v>45091</v>
      </c>
      <c r="F112">
        <v>190</v>
      </c>
      <c r="G112">
        <v>4</v>
      </c>
      <c r="H112">
        <v>2023</v>
      </c>
      <c r="I112" t="s">
        <v>1048</v>
      </c>
      <c r="J112" t="s">
        <v>1031</v>
      </c>
      <c r="K112">
        <v>4</v>
      </c>
    </row>
    <row r="113" spans="1:11" x14ac:dyDescent="0.3">
      <c r="A113" t="s">
        <v>1594</v>
      </c>
      <c r="B113" t="s">
        <v>1023</v>
      </c>
      <c r="C113">
        <v>108</v>
      </c>
      <c r="D113" t="s">
        <v>1029</v>
      </c>
      <c r="E113" s="1">
        <v>45092</v>
      </c>
      <c r="F113">
        <v>56</v>
      </c>
      <c r="G113">
        <v>3.5</v>
      </c>
      <c r="H113">
        <v>2023</v>
      </c>
      <c r="I113" t="s">
        <v>1052</v>
      </c>
      <c r="J113" t="s">
        <v>1019</v>
      </c>
      <c r="K113">
        <v>4</v>
      </c>
    </row>
    <row r="114" spans="1:11" x14ac:dyDescent="0.3">
      <c r="A114" t="s">
        <v>1596</v>
      </c>
      <c r="B114" t="s">
        <v>1068</v>
      </c>
      <c r="C114">
        <v>127</v>
      </c>
      <c r="D114" t="s">
        <v>1029</v>
      </c>
      <c r="E114" s="1">
        <v>45093</v>
      </c>
      <c r="F114">
        <v>200</v>
      </c>
      <c r="G114">
        <v>4.8</v>
      </c>
      <c r="H114">
        <v>2023</v>
      </c>
      <c r="I114" t="s">
        <v>411</v>
      </c>
      <c r="J114" t="s">
        <v>1031</v>
      </c>
      <c r="K114">
        <v>5</v>
      </c>
    </row>
    <row r="115" spans="1:11" x14ac:dyDescent="0.3">
      <c r="A115" t="s">
        <v>1602</v>
      </c>
      <c r="B115" t="s">
        <v>1047</v>
      </c>
      <c r="C115">
        <v>117</v>
      </c>
      <c r="D115" t="s">
        <v>1029</v>
      </c>
      <c r="E115" s="1">
        <v>45097</v>
      </c>
      <c r="F115">
        <v>82</v>
      </c>
      <c r="G115">
        <v>3.5</v>
      </c>
      <c r="H115">
        <v>2023</v>
      </c>
      <c r="I115" t="s">
        <v>1033</v>
      </c>
      <c r="J115" t="s">
        <v>1019</v>
      </c>
      <c r="K115">
        <v>4</v>
      </c>
    </row>
    <row r="116" spans="1:11" x14ac:dyDescent="0.3">
      <c r="A116" t="s">
        <v>1607</v>
      </c>
      <c r="B116" t="s">
        <v>1078</v>
      </c>
      <c r="C116">
        <v>44</v>
      </c>
      <c r="D116" t="s">
        <v>1029</v>
      </c>
      <c r="E116" s="1">
        <v>45098</v>
      </c>
      <c r="F116">
        <v>33</v>
      </c>
      <c r="G116">
        <v>3</v>
      </c>
      <c r="H116">
        <v>2023</v>
      </c>
      <c r="I116" t="s">
        <v>1048</v>
      </c>
      <c r="J116" t="s">
        <v>1034</v>
      </c>
      <c r="K116">
        <v>3</v>
      </c>
    </row>
    <row r="117" spans="1:11" x14ac:dyDescent="0.3">
      <c r="A117" t="s">
        <v>1610</v>
      </c>
      <c r="B117" t="s">
        <v>1036</v>
      </c>
      <c r="C117">
        <v>52</v>
      </c>
      <c r="D117" t="s">
        <v>1029</v>
      </c>
      <c r="E117" s="1">
        <v>45100</v>
      </c>
      <c r="F117">
        <v>70</v>
      </c>
      <c r="G117">
        <v>4.0999999999999996</v>
      </c>
      <c r="H117">
        <v>2023</v>
      </c>
      <c r="I117" t="s">
        <v>411</v>
      </c>
      <c r="J117" t="s">
        <v>1034</v>
      </c>
      <c r="K117">
        <v>4</v>
      </c>
    </row>
    <row r="118" spans="1:11" x14ac:dyDescent="0.3">
      <c r="A118" t="s">
        <v>1616</v>
      </c>
      <c r="B118" t="s">
        <v>1045</v>
      </c>
      <c r="C118">
        <v>35</v>
      </c>
      <c r="D118" t="s">
        <v>1029</v>
      </c>
      <c r="E118" s="1">
        <v>45102</v>
      </c>
      <c r="F118">
        <v>86</v>
      </c>
      <c r="G118">
        <v>4.5999999999999996</v>
      </c>
      <c r="H118">
        <v>2023</v>
      </c>
      <c r="I118" t="s">
        <v>1018</v>
      </c>
      <c r="J118" t="s">
        <v>1034</v>
      </c>
      <c r="K118">
        <v>5</v>
      </c>
    </row>
    <row r="119" spans="1:11" x14ac:dyDescent="0.3">
      <c r="A119" t="s">
        <v>1618</v>
      </c>
      <c r="B119" t="s">
        <v>1047</v>
      </c>
      <c r="C119">
        <v>133</v>
      </c>
      <c r="D119" t="s">
        <v>1029</v>
      </c>
      <c r="E119" s="1">
        <v>45103</v>
      </c>
      <c r="F119">
        <v>21</v>
      </c>
      <c r="G119">
        <v>3.7</v>
      </c>
      <c r="H119">
        <v>2023</v>
      </c>
      <c r="I119" t="s">
        <v>1030</v>
      </c>
      <c r="J119" t="s">
        <v>1031</v>
      </c>
      <c r="K119">
        <v>4</v>
      </c>
    </row>
    <row r="120" spans="1:11" x14ac:dyDescent="0.3">
      <c r="A120" t="s">
        <v>1622</v>
      </c>
      <c r="B120" t="s">
        <v>1028</v>
      </c>
      <c r="C120">
        <v>25</v>
      </c>
      <c r="D120" t="s">
        <v>1029</v>
      </c>
      <c r="E120" s="1">
        <v>45103</v>
      </c>
      <c r="F120">
        <v>84</v>
      </c>
      <c r="G120">
        <v>4.5</v>
      </c>
      <c r="H120">
        <v>2023</v>
      </c>
      <c r="I120" t="s">
        <v>1030</v>
      </c>
      <c r="J120" t="s">
        <v>1056</v>
      </c>
      <c r="K120">
        <v>5</v>
      </c>
    </row>
    <row r="121" spans="1:11" x14ac:dyDescent="0.3">
      <c r="A121" t="s">
        <v>1636</v>
      </c>
      <c r="B121" t="s">
        <v>1078</v>
      </c>
      <c r="C121">
        <v>153</v>
      </c>
      <c r="D121" t="s">
        <v>1029</v>
      </c>
      <c r="E121" s="1">
        <v>45108</v>
      </c>
      <c r="F121">
        <v>102</v>
      </c>
      <c r="G121">
        <v>3.1</v>
      </c>
      <c r="H121">
        <v>2024</v>
      </c>
      <c r="I121" t="s">
        <v>1062</v>
      </c>
      <c r="J121" t="s">
        <v>1031</v>
      </c>
      <c r="K121">
        <v>3</v>
      </c>
    </row>
    <row r="122" spans="1:11" x14ac:dyDescent="0.3">
      <c r="A122" t="s">
        <v>1645</v>
      </c>
      <c r="B122" t="s">
        <v>1059</v>
      </c>
      <c r="C122">
        <v>52</v>
      </c>
      <c r="D122" t="s">
        <v>1029</v>
      </c>
      <c r="E122" s="1">
        <v>45113</v>
      </c>
      <c r="F122">
        <v>42</v>
      </c>
      <c r="G122">
        <v>4.5</v>
      </c>
      <c r="H122">
        <v>2024</v>
      </c>
      <c r="I122" t="s">
        <v>1052</v>
      </c>
      <c r="J122" t="s">
        <v>1034</v>
      </c>
      <c r="K122">
        <v>5</v>
      </c>
    </row>
    <row r="123" spans="1:11" x14ac:dyDescent="0.3">
      <c r="A123" t="s">
        <v>1648</v>
      </c>
      <c r="B123" t="s">
        <v>1047</v>
      </c>
      <c r="C123">
        <v>88</v>
      </c>
      <c r="D123" t="s">
        <v>1029</v>
      </c>
      <c r="E123" s="1">
        <v>45115</v>
      </c>
      <c r="F123">
        <v>110</v>
      </c>
      <c r="G123">
        <v>4.8</v>
      </c>
      <c r="H123">
        <v>2024</v>
      </c>
      <c r="I123" t="s">
        <v>1062</v>
      </c>
      <c r="J123" t="s">
        <v>1019</v>
      </c>
      <c r="K123">
        <v>5</v>
      </c>
    </row>
    <row r="124" spans="1:11" x14ac:dyDescent="0.3">
      <c r="A124" t="s">
        <v>1649</v>
      </c>
      <c r="B124" t="s">
        <v>1036</v>
      </c>
      <c r="C124">
        <v>49</v>
      </c>
      <c r="D124" t="s">
        <v>1029</v>
      </c>
      <c r="E124" s="1">
        <v>45115</v>
      </c>
      <c r="F124">
        <v>39</v>
      </c>
      <c r="G124">
        <v>4.5999999999999996</v>
      </c>
      <c r="H124">
        <v>2024</v>
      </c>
      <c r="I124" t="s">
        <v>1062</v>
      </c>
      <c r="J124" t="s">
        <v>1034</v>
      </c>
      <c r="K124">
        <v>5</v>
      </c>
    </row>
    <row r="125" spans="1:11" x14ac:dyDescent="0.3">
      <c r="A125" t="s">
        <v>1656</v>
      </c>
      <c r="B125" t="s">
        <v>1028</v>
      </c>
      <c r="C125">
        <v>154</v>
      </c>
      <c r="D125" t="s">
        <v>1029</v>
      </c>
      <c r="E125" s="1">
        <v>45117</v>
      </c>
      <c r="F125">
        <v>164</v>
      </c>
      <c r="G125">
        <v>4.9000000000000004</v>
      </c>
      <c r="H125">
        <v>2024</v>
      </c>
      <c r="I125" t="s">
        <v>1030</v>
      </c>
      <c r="J125" t="s">
        <v>1031</v>
      </c>
      <c r="K125">
        <v>5</v>
      </c>
    </row>
    <row r="126" spans="1:11" x14ac:dyDescent="0.3">
      <c r="A126" t="s">
        <v>1662</v>
      </c>
      <c r="B126" t="s">
        <v>1098</v>
      </c>
      <c r="C126">
        <v>33</v>
      </c>
      <c r="D126" t="s">
        <v>1029</v>
      </c>
      <c r="E126" s="1">
        <v>45120</v>
      </c>
      <c r="F126">
        <v>27</v>
      </c>
      <c r="G126">
        <v>3.7</v>
      </c>
      <c r="H126">
        <v>2024</v>
      </c>
      <c r="I126" t="s">
        <v>1052</v>
      </c>
      <c r="J126" t="s">
        <v>1034</v>
      </c>
      <c r="K126">
        <v>4</v>
      </c>
    </row>
    <row r="127" spans="1:11" x14ac:dyDescent="0.3">
      <c r="A127" t="s">
        <v>1664</v>
      </c>
      <c r="B127" t="s">
        <v>1045</v>
      </c>
      <c r="C127">
        <v>168</v>
      </c>
      <c r="D127" t="s">
        <v>1029</v>
      </c>
      <c r="E127" s="1">
        <v>45121</v>
      </c>
      <c r="F127">
        <v>72</v>
      </c>
      <c r="G127">
        <v>3.5</v>
      </c>
      <c r="H127">
        <v>2024</v>
      </c>
      <c r="I127" t="s">
        <v>411</v>
      </c>
      <c r="J127" t="s">
        <v>1031</v>
      </c>
      <c r="K127">
        <v>4</v>
      </c>
    </row>
    <row r="128" spans="1:11" x14ac:dyDescent="0.3">
      <c r="A128" t="s">
        <v>1666</v>
      </c>
      <c r="B128" t="s">
        <v>1021</v>
      </c>
      <c r="C128">
        <v>80</v>
      </c>
      <c r="D128" t="s">
        <v>1029</v>
      </c>
      <c r="E128" s="1">
        <v>45123</v>
      </c>
      <c r="F128">
        <v>88</v>
      </c>
      <c r="G128">
        <v>4.9000000000000004</v>
      </c>
      <c r="H128">
        <v>2024</v>
      </c>
      <c r="I128" t="s">
        <v>1018</v>
      </c>
      <c r="J128" t="s">
        <v>1019</v>
      </c>
      <c r="K128">
        <v>5</v>
      </c>
    </row>
    <row r="129" spans="1:11" x14ac:dyDescent="0.3">
      <c r="A129" t="s">
        <v>1667</v>
      </c>
      <c r="B129" t="s">
        <v>1016</v>
      </c>
      <c r="C129">
        <v>37</v>
      </c>
      <c r="D129" t="s">
        <v>1029</v>
      </c>
      <c r="E129" s="1">
        <v>45123</v>
      </c>
      <c r="F129">
        <v>124</v>
      </c>
      <c r="G129">
        <v>4.5999999999999996</v>
      </c>
      <c r="H129">
        <v>2024</v>
      </c>
      <c r="I129" t="s">
        <v>1018</v>
      </c>
      <c r="J129" t="s">
        <v>1034</v>
      </c>
      <c r="K129">
        <v>5</v>
      </c>
    </row>
    <row r="130" spans="1:11" x14ac:dyDescent="0.3">
      <c r="A130" t="s">
        <v>1668</v>
      </c>
      <c r="B130" t="s">
        <v>1078</v>
      </c>
      <c r="C130">
        <v>137</v>
      </c>
      <c r="D130" t="s">
        <v>1029</v>
      </c>
      <c r="E130" s="1">
        <v>45124</v>
      </c>
      <c r="F130">
        <v>84</v>
      </c>
      <c r="G130">
        <v>2.6</v>
      </c>
      <c r="H130">
        <v>2024</v>
      </c>
      <c r="I130" t="s">
        <v>1030</v>
      </c>
      <c r="J130" t="s">
        <v>1031</v>
      </c>
      <c r="K130">
        <v>3</v>
      </c>
    </row>
    <row r="131" spans="1:11" x14ac:dyDescent="0.3">
      <c r="A131" t="s">
        <v>1674</v>
      </c>
      <c r="B131" t="s">
        <v>1055</v>
      </c>
      <c r="C131">
        <v>172</v>
      </c>
      <c r="D131" t="s">
        <v>1029</v>
      </c>
      <c r="E131" s="1">
        <v>45127</v>
      </c>
      <c r="F131">
        <v>27</v>
      </c>
      <c r="G131">
        <v>4.2</v>
      </c>
      <c r="H131">
        <v>2024</v>
      </c>
      <c r="I131" t="s">
        <v>1052</v>
      </c>
      <c r="J131" t="s">
        <v>1031</v>
      </c>
      <c r="K131">
        <v>4</v>
      </c>
    </row>
    <row r="132" spans="1:11" x14ac:dyDescent="0.3">
      <c r="A132" t="s">
        <v>1678</v>
      </c>
      <c r="B132" t="s">
        <v>1026</v>
      </c>
      <c r="C132">
        <v>60</v>
      </c>
      <c r="D132" t="s">
        <v>1029</v>
      </c>
      <c r="E132" s="1">
        <v>45128</v>
      </c>
      <c r="F132">
        <v>60</v>
      </c>
      <c r="G132">
        <v>2.2999999999999998</v>
      </c>
      <c r="H132">
        <v>2024</v>
      </c>
      <c r="I132" t="s">
        <v>411</v>
      </c>
      <c r="J132" t="s">
        <v>1034</v>
      </c>
      <c r="K132">
        <v>2</v>
      </c>
    </row>
    <row r="133" spans="1:11" x14ac:dyDescent="0.3">
      <c r="A133" t="s">
        <v>1679</v>
      </c>
      <c r="B133" t="s">
        <v>1026</v>
      </c>
      <c r="C133">
        <v>144</v>
      </c>
      <c r="D133" t="s">
        <v>1029</v>
      </c>
      <c r="E133" s="1">
        <v>45129</v>
      </c>
      <c r="F133">
        <v>102</v>
      </c>
      <c r="G133">
        <v>2.9</v>
      </c>
      <c r="H133">
        <v>2024</v>
      </c>
      <c r="I133" t="s">
        <v>1062</v>
      </c>
      <c r="J133" t="s">
        <v>1031</v>
      </c>
      <c r="K133">
        <v>3</v>
      </c>
    </row>
    <row r="134" spans="1:11" x14ac:dyDescent="0.3">
      <c r="A134" t="s">
        <v>1680</v>
      </c>
      <c r="B134" t="s">
        <v>1028</v>
      </c>
      <c r="C134">
        <v>67</v>
      </c>
      <c r="D134" t="s">
        <v>1029</v>
      </c>
      <c r="E134" s="1">
        <v>45129</v>
      </c>
      <c r="F134">
        <v>38</v>
      </c>
      <c r="G134">
        <v>4.2</v>
      </c>
      <c r="H134">
        <v>2024</v>
      </c>
      <c r="I134" t="s">
        <v>1062</v>
      </c>
      <c r="J134" t="s">
        <v>1019</v>
      </c>
      <c r="K134">
        <v>4</v>
      </c>
    </row>
    <row r="135" spans="1:11" x14ac:dyDescent="0.3">
      <c r="A135" t="s">
        <v>1693</v>
      </c>
      <c r="B135" t="s">
        <v>1078</v>
      </c>
      <c r="C135">
        <v>33</v>
      </c>
      <c r="D135" t="s">
        <v>1029</v>
      </c>
      <c r="E135" s="1">
        <v>45138</v>
      </c>
      <c r="F135">
        <v>92</v>
      </c>
      <c r="G135">
        <v>1.7</v>
      </c>
      <c r="H135">
        <v>2024</v>
      </c>
      <c r="I135" t="s">
        <v>1030</v>
      </c>
      <c r="J135" t="s">
        <v>1034</v>
      </c>
      <c r="K135">
        <v>2</v>
      </c>
    </row>
    <row r="136" spans="1:11" x14ac:dyDescent="0.3">
      <c r="A136" t="s">
        <v>1704</v>
      </c>
      <c r="B136" t="s">
        <v>1036</v>
      </c>
      <c r="C136">
        <v>72</v>
      </c>
      <c r="D136" t="s">
        <v>1029</v>
      </c>
      <c r="E136" s="1">
        <v>45144</v>
      </c>
      <c r="F136">
        <v>70</v>
      </c>
      <c r="G136">
        <v>3.6</v>
      </c>
      <c r="H136">
        <v>2024</v>
      </c>
      <c r="I136" t="s">
        <v>1018</v>
      </c>
      <c r="J136" t="s">
        <v>1019</v>
      </c>
      <c r="K136">
        <v>4</v>
      </c>
    </row>
    <row r="137" spans="1:11" x14ac:dyDescent="0.3">
      <c r="A137" t="s">
        <v>1705</v>
      </c>
      <c r="B137" t="s">
        <v>1068</v>
      </c>
      <c r="C137">
        <v>18</v>
      </c>
      <c r="D137" t="s">
        <v>1029</v>
      </c>
      <c r="E137" s="1">
        <v>45144</v>
      </c>
      <c r="F137">
        <v>22</v>
      </c>
      <c r="G137">
        <v>3.5</v>
      </c>
      <c r="H137">
        <v>2024</v>
      </c>
      <c r="I137" t="s">
        <v>1018</v>
      </c>
      <c r="J137" t="s">
        <v>1056</v>
      </c>
      <c r="K137">
        <v>4</v>
      </c>
    </row>
    <row r="138" spans="1:11" x14ac:dyDescent="0.3">
      <c r="A138" t="s">
        <v>1720</v>
      </c>
      <c r="B138" t="s">
        <v>1036</v>
      </c>
      <c r="C138">
        <v>61</v>
      </c>
      <c r="D138" t="s">
        <v>1029</v>
      </c>
      <c r="E138" s="1">
        <v>45157</v>
      </c>
      <c r="F138">
        <v>93</v>
      </c>
      <c r="G138">
        <v>2.7</v>
      </c>
      <c r="H138">
        <v>2024</v>
      </c>
      <c r="I138" t="s">
        <v>1062</v>
      </c>
      <c r="J138" t="s">
        <v>1019</v>
      </c>
      <c r="K138">
        <v>3</v>
      </c>
    </row>
    <row r="139" spans="1:11" x14ac:dyDescent="0.3">
      <c r="A139" t="s">
        <v>1721</v>
      </c>
      <c r="B139" t="s">
        <v>1028</v>
      </c>
      <c r="C139">
        <v>128</v>
      </c>
      <c r="D139" t="s">
        <v>1029</v>
      </c>
      <c r="E139" s="1">
        <v>45157</v>
      </c>
      <c r="F139">
        <v>135</v>
      </c>
      <c r="G139">
        <v>2.1</v>
      </c>
      <c r="H139">
        <v>2024</v>
      </c>
      <c r="I139" t="s">
        <v>1062</v>
      </c>
      <c r="J139" t="s">
        <v>1031</v>
      </c>
      <c r="K139">
        <v>2</v>
      </c>
    </row>
    <row r="140" spans="1:11" x14ac:dyDescent="0.3">
      <c r="A140" t="s">
        <v>1723</v>
      </c>
      <c r="B140" t="s">
        <v>1098</v>
      </c>
      <c r="C140">
        <v>63</v>
      </c>
      <c r="D140" t="s">
        <v>1029</v>
      </c>
      <c r="E140" s="1">
        <v>45158</v>
      </c>
      <c r="F140">
        <v>29</v>
      </c>
      <c r="G140">
        <v>4.7</v>
      </c>
      <c r="H140">
        <v>2024</v>
      </c>
      <c r="I140" t="s">
        <v>1018</v>
      </c>
      <c r="J140" t="s">
        <v>1019</v>
      </c>
      <c r="K140">
        <v>5</v>
      </c>
    </row>
    <row r="141" spans="1:11" x14ac:dyDescent="0.3">
      <c r="A141" t="s">
        <v>1730</v>
      </c>
      <c r="B141" t="s">
        <v>1036</v>
      </c>
      <c r="C141">
        <v>146</v>
      </c>
      <c r="D141" t="s">
        <v>1029</v>
      </c>
      <c r="E141" s="1">
        <v>45162</v>
      </c>
      <c r="F141">
        <v>160</v>
      </c>
      <c r="G141">
        <v>4.0999999999999996</v>
      </c>
      <c r="H141">
        <v>2024</v>
      </c>
      <c r="I141" t="s">
        <v>1052</v>
      </c>
      <c r="J141" t="s">
        <v>1031</v>
      </c>
      <c r="K141">
        <v>4</v>
      </c>
    </row>
    <row r="142" spans="1:11" x14ac:dyDescent="0.3">
      <c r="A142" t="s">
        <v>1736</v>
      </c>
      <c r="B142" t="s">
        <v>1068</v>
      </c>
      <c r="C142">
        <v>131</v>
      </c>
      <c r="D142" t="s">
        <v>1029</v>
      </c>
      <c r="E142" s="1">
        <v>45164</v>
      </c>
      <c r="F142">
        <v>92</v>
      </c>
      <c r="G142">
        <v>4.9000000000000004</v>
      </c>
      <c r="H142">
        <v>2024</v>
      </c>
      <c r="I142" t="s">
        <v>1062</v>
      </c>
      <c r="J142" t="s">
        <v>1031</v>
      </c>
      <c r="K142">
        <v>5</v>
      </c>
    </row>
    <row r="143" spans="1:11" x14ac:dyDescent="0.3">
      <c r="A143" t="s">
        <v>1752</v>
      </c>
      <c r="B143" t="s">
        <v>1016</v>
      </c>
      <c r="C143">
        <v>61</v>
      </c>
      <c r="D143" t="s">
        <v>1029</v>
      </c>
      <c r="E143" s="1">
        <v>45173</v>
      </c>
      <c r="F143">
        <v>132</v>
      </c>
      <c r="G143">
        <v>4.9000000000000004</v>
      </c>
      <c r="H143">
        <v>2024</v>
      </c>
      <c r="I143" t="s">
        <v>1030</v>
      </c>
      <c r="J143" t="s">
        <v>1019</v>
      </c>
      <c r="K143">
        <v>5</v>
      </c>
    </row>
    <row r="144" spans="1:11" x14ac:dyDescent="0.3">
      <c r="A144" t="s">
        <v>1760</v>
      </c>
      <c r="B144" t="s">
        <v>1026</v>
      </c>
      <c r="C144">
        <v>53</v>
      </c>
      <c r="D144" t="s">
        <v>1029</v>
      </c>
      <c r="E144" s="1">
        <v>45177</v>
      </c>
      <c r="F144">
        <v>130</v>
      </c>
      <c r="G144">
        <v>3.6</v>
      </c>
      <c r="H144">
        <v>2024</v>
      </c>
      <c r="I144" t="s">
        <v>411</v>
      </c>
      <c r="J144" t="s">
        <v>1034</v>
      </c>
      <c r="K144">
        <v>4</v>
      </c>
    </row>
    <row r="145" spans="1:11" x14ac:dyDescent="0.3">
      <c r="A145" t="s">
        <v>1767</v>
      </c>
      <c r="B145" t="s">
        <v>1016</v>
      </c>
      <c r="C145">
        <v>94</v>
      </c>
      <c r="D145" t="s">
        <v>1029</v>
      </c>
      <c r="E145" s="1">
        <v>45178</v>
      </c>
      <c r="F145">
        <v>69</v>
      </c>
      <c r="G145">
        <v>3.9</v>
      </c>
      <c r="H145">
        <v>2024</v>
      </c>
      <c r="I145" t="s">
        <v>1062</v>
      </c>
      <c r="J145" t="s">
        <v>1019</v>
      </c>
      <c r="K145">
        <v>4</v>
      </c>
    </row>
    <row r="146" spans="1:11" x14ac:dyDescent="0.3">
      <c r="A146" t="s">
        <v>1777</v>
      </c>
      <c r="B146" t="s">
        <v>1045</v>
      </c>
      <c r="C146">
        <v>50</v>
      </c>
      <c r="D146" t="s">
        <v>1029</v>
      </c>
      <c r="E146" s="1">
        <v>45183</v>
      </c>
      <c r="F146">
        <v>124</v>
      </c>
      <c r="G146">
        <v>4</v>
      </c>
      <c r="H146">
        <v>2024</v>
      </c>
      <c r="I146" t="s">
        <v>1052</v>
      </c>
      <c r="J146" t="s">
        <v>1034</v>
      </c>
      <c r="K146">
        <v>4</v>
      </c>
    </row>
    <row r="147" spans="1:11" x14ac:dyDescent="0.3">
      <c r="A147" t="s">
        <v>1778</v>
      </c>
      <c r="B147" t="s">
        <v>1036</v>
      </c>
      <c r="C147">
        <v>78</v>
      </c>
      <c r="D147" t="s">
        <v>1029</v>
      </c>
      <c r="E147" s="1">
        <v>45183</v>
      </c>
      <c r="F147">
        <v>23</v>
      </c>
      <c r="G147">
        <v>4.2</v>
      </c>
      <c r="H147">
        <v>2024</v>
      </c>
      <c r="I147" t="s">
        <v>1052</v>
      </c>
      <c r="J147" t="s">
        <v>1019</v>
      </c>
      <c r="K147">
        <v>4</v>
      </c>
    </row>
    <row r="148" spans="1:11" x14ac:dyDescent="0.3">
      <c r="A148" t="s">
        <v>1788</v>
      </c>
      <c r="B148" t="s">
        <v>1021</v>
      </c>
      <c r="C148">
        <v>129</v>
      </c>
      <c r="D148" t="s">
        <v>1029</v>
      </c>
      <c r="E148" s="1">
        <v>45191</v>
      </c>
      <c r="F148">
        <v>93</v>
      </c>
      <c r="G148">
        <v>4.7</v>
      </c>
      <c r="H148">
        <v>2024</v>
      </c>
      <c r="I148" t="s">
        <v>411</v>
      </c>
      <c r="J148" t="s">
        <v>1031</v>
      </c>
      <c r="K148">
        <v>5</v>
      </c>
    </row>
    <row r="149" spans="1:11" x14ac:dyDescent="0.3">
      <c r="A149" t="s">
        <v>1790</v>
      </c>
      <c r="B149" t="s">
        <v>1023</v>
      </c>
      <c r="C149">
        <v>108</v>
      </c>
      <c r="D149" t="s">
        <v>1029</v>
      </c>
      <c r="E149" s="1">
        <v>45192</v>
      </c>
      <c r="F149">
        <v>66</v>
      </c>
      <c r="G149">
        <v>3.9</v>
      </c>
      <c r="H149">
        <v>2024</v>
      </c>
      <c r="I149" t="s">
        <v>1062</v>
      </c>
      <c r="J149" t="s">
        <v>1019</v>
      </c>
      <c r="K149">
        <v>4</v>
      </c>
    </row>
    <row r="150" spans="1:11" x14ac:dyDescent="0.3">
      <c r="A150" t="s">
        <v>1792</v>
      </c>
      <c r="B150" t="s">
        <v>1036</v>
      </c>
      <c r="C150">
        <v>45</v>
      </c>
      <c r="D150" t="s">
        <v>1029</v>
      </c>
      <c r="E150" s="1">
        <v>45192</v>
      </c>
      <c r="F150">
        <v>92</v>
      </c>
      <c r="G150">
        <v>4.3</v>
      </c>
      <c r="H150">
        <v>2024</v>
      </c>
      <c r="I150" t="s">
        <v>1062</v>
      </c>
      <c r="J150" t="s">
        <v>1034</v>
      </c>
      <c r="K150">
        <v>4</v>
      </c>
    </row>
    <row r="151" spans="1:11" x14ac:dyDescent="0.3">
      <c r="A151" t="s">
        <v>1799</v>
      </c>
      <c r="B151" t="s">
        <v>1028</v>
      </c>
      <c r="C151">
        <v>67</v>
      </c>
      <c r="D151" t="s">
        <v>1029</v>
      </c>
      <c r="E151" s="1">
        <v>45194</v>
      </c>
      <c r="F151">
        <v>87</v>
      </c>
      <c r="G151">
        <v>3.9</v>
      </c>
      <c r="H151">
        <v>2024</v>
      </c>
      <c r="I151" t="s">
        <v>1030</v>
      </c>
      <c r="J151" t="s">
        <v>1019</v>
      </c>
      <c r="K151">
        <v>4</v>
      </c>
    </row>
    <row r="152" spans="1:11" x14ac:dyDescent="0.3">
      <c r="A152" t="s">
        <v>1811</v>
      </c>
      <c r="B152" t="s">
        <v>1098</v>
      </c>
      <c r="C152">
        <v>124</v>
      </c>
      <c r="D152" t="s">
        <v>1029</v>
      </c>
      <c r="E152" s="1">
        <v>45198</v>
      </c>
      <c r="F152">
        <v>48</v>
      </c>
      <c r="G152">
        <v>3.7</v>
      </c>
      <c r="H152">
        <v>2024</v>
      </c>
      <c r="I152" t="s">
        <v>411</v>
      </c>
      <c r="J152" t="s">
        <v>1031</v>
      </c>
      <c r="K152">
        <v>4</v>
      </c>
    </row>
    <row r="153" spans="1:11" x14ac:dyDescent="0.3">
      <c r="A153" t="s">
        <v>1819</v>
      </c>
      <c r="B153" t="s">
        <v>1098</v>
      </c>
      <c r="C153">
        <v>61</v>
      </c>
      <c r="D153" t="s">
        <v>1029</v>
      </c>
      <c r="E153" s="1">
        <v>45199</v>
      </c>
      <c r="F153">
        <v>117</v>
      </c>
      <c r="G153">
        <v>4.0999999999999996</v>
      </c>
      <c r="H153">
        <v>2024</v>
      </c>
      <c r="I153" t="s">
        <v>1062</v>
      </c>
      <c r="J153" t="s">
        <v>1019</v>
      </c>
      <c r="K153">
        <v>4</v>
      </c>
    </row>
    <row r="154" spans="1:11" x14ac:dyDescent="0.3">
      <c r="A154" t="s">
        <v>1826</v>
      </c>
      <c r="B154" t="s">
        <v>1041</v>
      </c>
      <c r="C154">
        <v>149</v>
      </c>
      <c r="D154" t="s">
        <v>1029</v>
      </c>
      <c r="E154" s="1">
        <v>45200</v>
      </c>
      <c r="F154">
        <v>130</v>
      </c>
      <c r="G154">
        <v>3.3</v>
      </c>
      <c r="H154">
        <v>2024</v>
      </c>
      <c r="I154" t="s">
        <v>1018</v>
      </c>
      <c r="J154" t="s">
        <v>1031</v>
      </c>
      <c r="K154">
        <v>3</v>
      </c>
    </row>
    <row r="155" spans="1:11" x14ac:dyDescent="0.3">
      <c r="A155" t="s">
        <v>1828</v>
      </c>
      <c r="B155" t="s">
        <v>1028</v>
      </c>
      <c r="C155">
        <v>80</v>
      </c>
      <c r="D155" t="s">
        <v>1029</v>
      </c>
      <c r="E155" s="1">
        <v>45200</v>
      </c>
      <c r="F155">
        <v>128</v>
      </c>
      <c r="G155">
        <v>3.7</v>
      </c>
      <c r="H155">
        <v>2024</v>
      </c>
      <c r="I155" t="s">
        <v>1018</v>
      </c>
      <c r="J155" t="s">
        <v>1019</v>
      </c>
      <c r="K155">
        <v>4</v>
      </c>
    </row>
    <row r="156" spans="1:11" x14ac:dyDescent="0.3">
      <c r="A156" t="s">
        <v>1833</v>
      </c>
      <c r="B156" t="s">
        <v>1026</v>
      </c>
      <c r="C156">
        <v>93</v>
      </c>
      <c r="D156" t="s">
        <v>1029</v>
      </c>
      <c r="E156" s="1">
        <v>45201</v>
      </c>
      <c r="F156">
        <v>45</v>
      </c>
      <c r="G156">
        <v>3.9</v>
      </c>
      <c r="H156">
        <v>2024</v>
      </c>
      <c r="I156" t="s">
        <v>1030</v>
      </c>
      <c r="J156" t="s">
        <v>1019</v>
      </c>
      <c r="K156">
        <v>4</v>
      </c>
    </row>
    <row r="157" spans="1:11" x14ac:dyDescent="0.3">
      <c r="A157" t="s">
        <v>1834</v>
      </c>
      <c r="B157" t="s">
        <v>1078</v>
      </c>
      <c r="C157">
        <v>43</v>
      </c>
      <c r="D157" t="s">
        <v>1029</v>
      </c>
      <c r="E157" s="1">
        <v>45201</v>
      </c>
      <c r="F157">
        <v>87</v>
      </c>
      <c r="G157">
        <v>3</v>
      </c>
      <c r="H157">
        <v>2024</v>
      </c>
      <c r="I157" t="s">
        <v>1030</v>
      </c>
      <c r="J157" t="s">
        <v>1034</v>
      </c>
      <c r="K157">
        <v>3</v>
      </c>
    </row>
    <row r="158" spans="1:11" x14ac:dyDescent="0.3">
      <c r="A158" t="s">
        <v>1843</v>
      </c>
      <c r="B158" t="s">
        <v>1055</v>
      </c>
      <c r="C158">
        <v>118</v>
      </c>
      <c r="D158" t="s">
        <v>1029</v>
      </c>
      <c r="E158" s="1">
        <v>45204</v>
      </c>
      <c r="F158">
        <v>56</v>
      </c>
      <c r="G158">
        <v>3.7</v>
      </c>
      <c r="H158">
        <v>2024</v>
      </c>
      <c r="I158" t="s">
        <v>1052</v>
      </c>
      <c r="J158" t="s">
        <v>1019</v>
      </c>
      <c r="K158">
        <v>4</v>
      </c>
    </row>
    <row r="159" spans="1:11" x14ac:dyDescent="0.3">
      <c r="A159" t="s">
        <v>1849</v>
      </c>
      <c r="B159" t="s">
        <v>1021</v>
      </c>
      <c r="C159">
        <v>65</v>
      </c>
      <c r="D159" t="s">
        <v>1029</v>
      </c>
      <c r="E159" s="1">
        <v>45205</v>
      </c>
      <c r="F159">
        <v>150</v>
      </c>
      <c r="G159">
        <v>5</v>
      </c>
      <c r="H159">
        <v>2024</v>
      </c>
      <c r="I159" t="s">
        <v>411</v>
      </c>
      <c r="J159" t="s">
        <v>1019</v>
      </c>
      <c r="K159">
        <v>5</v>
      </c>
    </row>
    <row r="160" spans="1:11" x14ac:dyDescent="0.3">
      <c r="A160" t="s">
        <v>1854</v>
      </c>
      <c r="B160" t="s">
        <v>1047</v>
      </c>
      <c r="C160">
        <v>18</v>
      </c>
      <c r="D160" t="s">
        <v>1029</v>
      </c>
      <c r="E160" s="1">
        <v>45207</v>
      </c>
      <c r="F160">
        <v>96</v>
      </c>
      <c r="G160">
        <v>4.8</v>
      </c>
      <c r="H160">
        <v>2024</v>
      </c>
      <c r="I160" t="s">
        <v>1018</v>
      </c>
      <c r="J160" t="s">
        <v>1056</v>
      </c>
      <c r="K160">
        <v>5</v>
      </c>
    </row>
    <row r="161" spans="1:11" x14ac:dyDescent="0.3">
      <c r="A161" t="s">
        <v>1855</v>
      </c>
      <c r="B161" t="s">
        <v>1023</v>
      </c>
      <c r="C161">
        <v>87</v>
      </c>
      <c r="D161" t="s">
        <v>1029</v>
      </c>
      <c r="E161" s="1">
        <v>45207</v>
      </c>
      <c r="F161">
        <v>23</v>
      </c>
      <c r="G161">
        <v>4.2</v>
      </c>
      <c r="H161">
        <v>2024</v>
      </c>
      <c r="I161" t="s">
        <v>1018</v>
      </c>
      <c r="J161" t="s">
        <v>1019</v>
      </c>
      <c r="K161">
        <v>4</v>
      </c>
    </row>
    <row r="162" spans="1:11" x14ac:dyDescent="0.3">
      <c r="A162" t="s">
        <v>1866</v>
      </c>
      <c r="B162" t="s">
        <v>1026</v>
      </c>
      <c r="C162">
        <v>150</v>
      </c>
      <c r="D162" t="s">
        <v>1029</v>
      </c>
      <c r="E162" s="1">
        <v>45210</v>
      </c>
      <c r="F162">
        <v>108</v>
      </c>
      <c r="G162">
        <v>4.7</v>
      </c>
      <c r="H162">
        <v>2024</v>
      </c>
      <c r="I162" t="s">
        <v>1048</v>
      </c>
      <c r="J162" t="s">
        <v>1031</v>
      </c>
      <c r="K162">
        <v>5</v>
      </c>
    </row>
    <row r="163" spans="1:11" x14ac:dyDescent="0.3">
      <c r="A163" t="s">
        <v>1874</v>
      </c>
      <c r="B163" t="s">
        <v>1021</v>
      </c>
      <c r="C163">
        <v>132</v>
      </c>
      <c r="D163" t="s">
        <v>1029</v>
      </c>
      <c r="E163" s="1">
        <v>45213</v>
      </c>
      <c r="F163">
        <v>140</v>
      </c>
      <c r="G163">
        <v>4.3</v>
      </c>
      <c r="H163">
        <v>2024</v>
      </c>
      <c r="I163" t="s">
        <v>1062</v>
      </c>
      <c r="J163" t="s">
        <v>1031</v>
      </c>
      <c r="K163">
        <v>4</v>
      </c>
    </row>
    <row r="164" spans="1:11" x14ac:dyDescent="0.3">
      <c r="A164" t="s">
        <v>1875</v>
      </c>
      <c r="B164" t="s">
        <v>1078</v>
      </c>
      <c r="C164">
        <v>67</v>
      </c>
      <c r="D164" t="s">
        <v>1029</v>
      </c>
      <c r="E164" s="1">
        <v>45213</v>
      </c>
      <c r="F164">
        <v>105</v>
      </c>
      <c r="G164">
        <v>3.8</v>
      </c>
      <c r="H164">
        <v>2024</v>
      </c>
      <c r="I164" t="s">
        <v>1062</v>
      </c>
      <c r="J164" t="s">
        <v>1019</v>
      </c>
      <c r="K164">
        <v>4</v>
      </c>
    </row>
    <row r="165" spans="1:11" x14ac:dyDescent="0.3">
      <c r="A165" t="s">
        <v>1876</v>
      </c>
      <c r="B165" t="s">
        <v>1036</v>
      </c>
      <c r="C165">
        <v>125</v>
      </c>
      <c r="D165" t="s">
        <v>1029</v>
      </c>
      <c r="E165" s="1">
        <v>45213</v>
      </c>
      <c r="F165">
        <v>82</v>
      </c>
      <c r="G165">
        <v>4.5999999999999996</v>
      </c>
      <c r="H165">
        <v>2024</v>
      </c>
      <c r="I165" t="s">
        <v>1062</v>
      </c>
      <c r="J165" t="s">
        <v>1031</v>
      </c>
      <c r="K165">
        <v>5</v>
      </c>
    </row>
    <row r="166" spans="1:11" x14ac:dyDescent="0.3">
      <c r="A166" t="s">
        <v>1881</v>
      </c>
      <c r="B166" t="s">
        <v>1028</v>
      </c>
      <c r="C166">
        <v>55</v>
      </c>
      <c r="D166" t="s">
        <v>1029</v>
      </c>
      <c r="E166" s="1">
        <v>45214</v>
      </c>
      <c r="F166">
        <v>80</v>
      </c>
      <c r="G166">
        <v>4.3</v>
      </c>
      <c r="H166">
        <v>2024</v>
      </c>
      <c r="I166" t="s">
        <v>1018</v>
      </c>
      <c r="J166" t="s">
        <v>1034</v>
      </c>
      <c r="K166">
        <v>4</v>
      </c>
    </row>
    <row r="167" spans="1:11" x14ac:dyDescent="0.3">
      <c r="A167" t="s">
        <v>1892</v>
      </c>
      <c r="B167" t="s">
        <v>1026</v>
      </c>
      <c r="C167">
        <v>173</v>
      </c>
      <c r="D167" t="s">
        <v>1029</v>
      </c>
      <c r="E167" s="1">
        <v>45217</v>
      </c>
      <c r="F167">
        <v>160</v>
      </c>
      <c r="G167">
        <v>2.8</v>
      </c>
      <c r="H167">
        <v>2024</v>
      </c>
      <c r="I167" t="s">
        <v>1048</v>
      </c>
      <c r="J167" t="s">
        <v>1031</v>
      </c>
      <c r="K167">
        <v>3</v>
      </c>
    </row>
    <row r="168" spans="1:11" x14ac:dyDescent="0.3">
      <c r="A168" t="s">
        <v>1894</v>
      </c>
      <c r="B168" t="s">
        <v>1021</v>
      </c>
      <c r="C168">
        <v>117</v>
      </c>
      <c r="D168" t="s">
        <v>1029</v>
      </c>
      <c r="E168" s="1">
        <v>45217</v>
      </c>
      <c r="F168">
        <v>120</v>
      </c>
      <c r="G168">
        <v>3.4</v>
      </c>
      <c r="H168">
        <v>2024</v>
      </c>
      <c r="I168" t="s">
        <v>1048</v>
      </c>
      <c r="J168" t="s">
        <v>1019</v>
      </c>
      <c r="K168">
        <v>3</v>
      </c>
    </row>
    <row r="169" spans="1:11" x14ac:dyDescent="0.3">
      <c r="A169" t="s">
        <v>1897</v>
      </c>
      <c r="B169" t="s">
        <v>1016</v>
      </c>
      <c r="C169">
        <v>50</v>
      </c>
      <c r="D169" t="s">
        <v>1029</v>
      </c>
      <c r="E169" s="1">
        <v>45218</v>
      </c>
      <c r="F169">
        <v>64</v>
      </c>
      <c r="G169">
        <v>4.5</v>
      </c>
      <c r="H169">
        <v>2024</v>
      </c>
      <c r="I169" t="s">
        <v>1052</v>
      </c>
      <c r="J169" t="s">
        <v>1034</v>
      </c>
      <c r="K169">
        <v>5</v>
      </c>
    </row>
    <row r="170" spans="1:11" x14ac:dyDescent="0.3">
      <c r="A170" t="s">
        <v>1902</v>
      </c>
      <c r="B170" t="s">
        <v>1047</v>
      </c>
      <c r="C170">
        <v>105</v>
      </c>
      <c r="D170" t="s">
        <v>1029</v>
      </c>
      <c r="E170" s="1">
        <v>45219</v>
      </c>
      <c r="F170">
        <v>185</v>
      </c>
      <c r="G170">
        <v>3.5</v>
      </c>
      <c r="H170">
        <v>2024</v>
      </c>
      <c r="I170" t="s">
        <v>411</v>
      </c>
      <c r="J170" t="s">
        <v>1019</v>
      </c>
      <c r="K170">
        <v>4</v>
      </c>
    </row>
    <row r="171" spans="1:11" x14ac:dyDescent="0.3">
      <c r="A171" t="s">
        <v>1904</v>
      </c>
      <c r="B171" t="s">
        <v>1028</v>
      </c>
      <c r="C171">
        <v>72</v>
      </c>
      <c r="D171" t="s">
        <v>1029</v>
      </c>
      <c r="E171" s="1">
        <v>45220</v>
      </c>
      <c r="F171">
        <v>20</v>
      </c>
      <c r="G171">
        <v>4.8</v>
      </c>
      <c r="H171">
        <v>2024</v>
      </c>
      <c r="I171" t="s">
        <v>1062</v>
      </c>
      <c r="J171" t="s">
        <v>1019</v>
      </c>
      <c r="K171">
        <v>5</v>
      </c>
    </row>
    <row r="172" spans="1:11" x14ac:dyDescent="0.3">
      <c r="A172" t="s">
        <v>1905</v>
      </c>
      <c r="B172" t="s">
        <v>1068</v>
      </c>
      <c r="C172">
        <v>40</v>
      </c>
      <c r="D172" t="s">
        <v>1029</v>
      </c>
      <c r="E172" s="1">
        <v>45220</v>
      </c>
      <c r="F172">
        <v>31</v>
      </c>
      <c r="G172">
        <v>4</v>
      </c>
      <c r="H172">
        <v>2024</v>
      </c>
      <c r="I172" t="s">
        <v>1062</v>
      </c>
      <c r="J172" t="s">
        <v>1034</v>
      </c>
      <c r="K172">
        <v>4</v>
      </c>
    </row>
    <row r="173" spans="1:11" x14ac:dyDescent="0.3">
      <c r="A173" t="s">
        <v>1918</v>
      </c>
      <c r="B173" t="s">
        <v>1055</v>
      </c>
      <c r="C173">
        <v>109</v>
      </c>
      <c r="D173" t="s">
        <v>1029</v>
      </c>
      <c r="E173" s="1">
        <v>45225</v>
      </c>
      <c r="F173">
        <v>180</v>
      </c>
      <c r="G173">
        <v>3.8</v>
      </c>
      <c r="H173">
        <v>2024</v>
      </c>
      <c r="I173" t="s">
        <v>1052</v>
      </c>
      <c r="J173" t="s">
        <v>1019</v>
      </c>
      <c r="K173">
        <v>4</v>
      </c>
    </row>
    <row r="174" spans="1:11" x14ac:dyDescent="0.3">
      <c r="A174" t="s">
        <v>1922</v>
      </c>
      <c r="B174" t="s">
        <v>1026</v>
      </c>
      <c r="C174">
        <v>97</v>
      </c>
      <c r="D174" t="s">
        <v>1029</v>
      </c>
      <c r="E174" s="1">
        <v>45226</v>
      </c>
      <c r="F174">
        <v>31</v>
      </c>
      <c r="G174">
        <v>2.2000000000000002</v>
      </c>
      <c r="H174">
        <v>2024</v>
      </c>
      <c r="I174" t="s">
        <v>411</v>
      </c>
      <c r="J174" t="s">
        <v>1019</v>
      </c>
      <c r="K174">
        <v>2</v>
      </c>
    </row>
    <row r="175" spans="1:11" x14ac:dyDescent="0.3">
      <c r="A175" t="s">
        <v>1923</v>
      </c>
      <c r="B175" t="s">
        <v>1047</v>
      </c>
      <c r="C175">
        <v>72</v>
      </c>
      <c r="D175" t="s">
        <v>1029</v>
      </c>
      <c r="E175" s="1">
        <v>45226</v>
      </c>
      <c r="F175">
        <v>108</v>
      </c>
      <c r="G175">
        <v>4.8</v>
      </c>
      <c r="H175">
        <v>2024</v>
      </c>
      <c r="I175" t="s">
        <v>411</v>
      </c>
      <c r="J175" t="s">
        <v>1019</v>
      </c>
      <c r="K175">
        <v>5</v>
      </c>
    </row>
    <row r="176" spans="1:11" x14ac:dyDescent="0.3">
      <c r="A176" t="s">
        <v>1925</v>
      </c>
      <c r="B176" t="s">
        <v>1045</v>
      </c>
      <c r="C176">
        <v>64</v>
      </c>
      <c r="D176" t="s">
        <v>1029</v>
      </c>
      <c r="E176" s="1">
        <v>45227</v>
      </c>
      <c r="F176">
        <v>185</v>
      </c>
      <c r="G176">
        <v>2.2000000000000002</v>
      </c>
      <c r="H176">
        <v>2024</v>
      </c>
      <c r="I176" t="s">
        <v>1062</v>
      </c>
      <c r="J176" t="s">
        <v>1019</v>
      </c>
      <c r="K176">
        <v>2</v>
      </c>
    </row>
    <row r="177" spans="1:11" x14ac:dyDescent="0.3">
      <c r="A177" t="s">
        <v>1926</v>
      </c>
      <c r="B177" t="s">
        <v>1045</v>
      </c>
      <c r="C177">
        <v>69</v>
      </c>
      <c r="D177" t="s">
        <v>1029</v>
      </c>
      <c r="E177" s="1">
        <v>45227</v>
      </c>
      <c r="F177">
        <v>40</v>
      </c>
      <c r="G177">
        <v>4.8</v>
      </c>
      <c r="H177">
        <v>2024</v>
      </c>
      <c r="I177" t="s">
        <v>1062</v>
      </c>
      <c r="J177" t="s">
        <v>1019</v>
      </c>
      <c r="K177">
        <v>5</v>
      </c>
    </row>
    <row r="178" spans="1:11" x14ac:dyDescent="0.3">
      <c r="A178" t="s">
        <v>1941</v>
      </c>
      <c r="B178" t="s">
        <v>1078</v>
      </c>
      <c r="C178">
        <v>112</v>
      </c>
      <c r="D178" t="s">
        <v>1029</v>
      </c>
      <c r="E178" s="1">
        <v>45234</v>
      </c>
      <c r="F178">
        <v>200</v>
      </c>
      <c r="G178">
        <v>4.5999999999999996</v>
      </c>
      <c r="H178">
        <v>2024</v>
      </c>
      <c r="I178" t="s">
        <v>1062</v>
      </c>
      <c r="J178" t="s">
        <v>1019</v>
      </c>
      <c r="K178">
        <v>5</v>
      </c>
    </row>
    <row r="179" spans="1:11" x14ac:dyDescent="0.3">
      <c r="A179" t="s">
        <v>1948</v>
      </c>
      <c r="B179" t="s">
        <v>1065</v>
      </c>
      <c r="C179">
        <v>151</v>
      </c>
      <c r="D179" t="s">
        <v>1029</v>
      </c>
      <c r="E179" s="1">
        <v>45238</v>
      </c>
      <c r="F179">
        <v>84</v>
      </c>
      <c r="G179">
        <v>4.5999999999999996</v>
      </c>
      <c r="H179">
        <v>2024</v>
      </c>
      <c r="I179" t="s">
        <v>1048</v>
      </c>
      <c r="J179" t="s">
        <v>1031</v>
      </c>
      <c r="K179">
        <v>5</v>
      </c>
    </row>
    <row r="180" spans="1:11" x14ac:dyDescent="0.3">
      <c r="A180" t="s">
        <v>1959</v>
      </c>
      <c r="B180" t="s">
        <v>1055</v>
      </c>
      <c r="C180">
        <v>91</v>
      </c>
      <c r="D180" t="s">
        <v>1029</v>
      </c>
      <c r="E180" s="1">
        <v>45243</v>
      </c>
      <c r="F180">
        <v>108</v>
      </c>
      <c r="G180">
        <v>3.8</v>
      </c>
      <c r="H180">
        <v>2024</v>
      </c>
      <c r="I180" t="s">
        <v>1030</v>
      </c>
      <c r="J180" t="s">
        <v>1019</v>
      </c>
      <c r="K180">
        <v>4</v>
      </c>
    </row>
    <row r="181" spans="1:11" x14ac:dyDescent="0.3">
      <c r="A181" t="s">
        <v>1973</v>
      </c>
      <c r="B181" t="s">
        <v>1047</v>
      </c>
      <c r="C181">
        <v>31</v>
      </c>
      <c r="D181" t="s">
        <v>1029</v>
      </c>
      <c r="E181" s="1">
        <v>45248</v>
      </c>
      <c r="F181">
        <v>88</v>
      </c>
      <c r="G181">
        <v>3.4</v>
      </c>
      <c r="H181">
        <v>2024</v>
      </c>
      <c r="I181" t="s">
        <v>1062</v>
      </c>
      <c r="J181" t="s">
        <v>1034</v>
      </c>
      <c r="K181">
        <v>3</v>
      </c>
    </row>
    <row r="182" spans="1:11" x14ac:dyDescent="0.3">
      <c r="A182" t="s">
        <v>1975</v>
      </c>
      <c r="B182" t="s">
        <v>1023</v>
      </c>
      <c r="C182">
        <v>50</v>
      </c>
      <c r="D182" t="s">
        <v>1029</v>
      </c>
      <c r="E182" s="1">
        <v>45249</v>
      </c>
      <c r="F182">
        <v>180</v>
      </c>
      <c r="G182">
        <v>1.8</v>
      </c>
      <c r="H182">
        <v>2024</v>
      </c>
      <c r="I182" t="s">
        <v>1018</v>
      </c>
      <c r="J182" t="s">
        <v>1034</v>
      </c>
      <c r="K182">
        <v>2</v>
      </c>
    </row>
    <row r="183" spans="1:11" x14ac:dyDescent="0.3">
      <c r="A183" t="s">
        <v>1980</v>
      </c>
      <c r="B183" t="s">
        <v>1026</v>
      </c>
      <c r="C183">
        <v>78</v>
      </c>
      <c r="D183" t="s">
        <v>1029</v>
      </c>
      <c r="E183" s="1">
        <v>45253</v>
      </c>
      <c r="F183">
        <v>140</v>
      </c>
      <c r="G183">
        <v>4</v>
      </c>
      <c r="H183">
        <v>2024</v>
      </c>
      <c r="I183" t="s">
        <v>1052</v>
      </c>
      <c r="J183" t="s">
        <v>1019</v>
      </c>
      <c r="K183">
        <v>4</v>
      </c>
    </row>
    <row r="184" spans="1:11" x14ac:dyDescent="0.3">
      <c r="A184" t="s">
        <v>1986</v>
      </c>
      <c r="B184" t="s">
        <v>1065</v>
      </c>
      <c r="C184">
        <v>96</v>
      </c>
      <c r="D184" t="s">
        <v>1029</v>
      </c>
      <c r="E184" s="1">
        <v>45256</v>
      </c>
      <c r="F184">
        <v>136</v>
      </c>
      <c r="G184">
        <v>5</v>
      </c>
      <c r="H184">
        <v>2024</v>
      </c>
      <c r="I184" t="s">
        <v>1018</v>
      </c>
      <c r="J184" t="s">
        <v>1019</v>
      </c>
      <c r="K184">
        <v>5</v>
      </c>
    </row>
    <row r="185" spans="1:11" x14ac:dyDescent="0.3">
      <c r="A185" t="s">
        <v>1990</v>
      </c>
      <c r="B185" t="s">
        <v>1041</v>
      </c>
      <c r="C185">
        <v>34</v>
      </c>
      <c r="D185" t="s">
        <v>1029</v>
      </c>
      <c r="E185" s="1">
        <v>45258</v>
      </c>
      <c r="F185">
        <v>25</v>
      </c>
      <c r="G185">
        <v>4.0999999999999996</v>
      </c>
      <c r="H185">
        <v>2024</v>
      </c>
      <c r="I185" t="s">
        <v>1033</v>
      </c>
      <c r="J185" t="s">
        <v>1034</v>
      </c>
      <c r="K185">
        <v>4</v>
      </c>
    </row>
    <row r="186" spans="1:11" x14ac:dyDescent="0.3">
      <c r="A186" t="s">
        <v>1992</v>
      </c>
      <c r="B186" t="s">
        <v>1023</v>
      </c>
      <c r="C186">
        <v>140</v>
      </c>
      <c r="D186" t="s">
        <v>1029</v>
      </c>
      <c r="E186" s="1">
        <v>45260</v>
      </c>
      <c r="F186">
        <v>90</v>
      </c>
      <c r="G186">
        <v>4.5999999999999996</v>
      </c>
      <c r="H186">
        <v>2024</v>
      </c>
      <c r="I186" t="s">
        <v>1052</v>
      </c>
      <c r="J186" t="s">
        <v>1031</v>
      </c>
      <c r="K186">
        <v>5</v>
      </c>
    </row>
    <row r="187" spans="1:11" x14ac:dyDescent="0.3">
      <c r="A187" t="s">
        <v>2008</v>
      </c>
      <c r="B187" t="s">
        <v>1055</v>
      </c>
      <c r="C187">
        <v>63</v>
      </c>
      <c r="D187" t="s">
        <v>1029</v>
      </c>
      <c r="E187" s="1">
        <v>45269</v>
      </c>
      <c r="F187">
        <v>82</v>
      </c>
      <c r="G187">
        <v>3.7</v>
      </c>
      <c r="H187">
        <v>2024</v>
      </c>
      <c r="I187" t="s">
        <v>1062</v>
      </c>
      <c r="J187" t="s">
        <v>1019</v>
      </c>
      <c r="K187">
        <v>4</v>
      </c>
    </row>
    <row r="188" spans="1:11" x14ac:dyDescent="0.3">
      <c r="A188" t="s">
        <v>2020</v>
      </c>
      <c r="B188" t="s">
        <v>1023</v>
      </c>
      <c r="C188">
        <v>126</v>
      </c>
      <c r="D188" t="s">
        <v>1029</v>
      </c>
      <c r="E188" s="1">
        <v>45277</v>
      </c>
      <c r="F188">
        <v>80</v>
      </c>
      <c r="G188">
        <v>4.7</v>
      </c>
      <c r="H188">
        <v>2024</v>
      </c>
      <c r="I188" t="s">
        <v>1018</v>
      </c>
      <c r="J188" t="s">
        <v>1031</v>
      </c>
      <c r="K188">
        <v>5</v>
      </c>
    </row>
    <row r="189" spans="1:11" x14ac:dyDescent="0.3">
      <c r="A189" t="s">
        <v>2023</v>
      </c>
      <c r="B189" t="s">
        <v>1055</v>
      </c>
      <c r="C189">
        <v>120</v>
      </c>
      <c r="D189" t="s">
        <v>1029</v>
      </c>
      <c r="E189" s="1">
        <v>45280</v>
      </c>
      <c r="F189">
        <v>190</v>
      </c>
      <c r="G189">
        <v>3.7</v>
      </c>
      <c r="H189">
        <v>2024</v>
      </c>
      <c r="I189" t="s">
        <v>1048</v>
      </c>
      <c r="J189" t="s">
        <v>1019</v>
      </c>
      <c r="K189">
        <v>4</v>
      </c>
    </row>
    <row r="190" spans="1:11" x14ac:dyDescent="0.3">
      <c r="A190" t="s">
        <v>2030</v>
      </c>
      <c r="B190" t="s">
        <v>1021</v>
      </c>
      <c r="C190">
        <v>58</v>
      </c>
      <c r="D190" t="s">
        <v>1029</v>
      </c>
      <c r="E190" s="1">
        <v>45285</v>
      </c>
      <c r="F190">
        <v>25</v>
      </c>
      <c r="G190">
        <v>3.6</v>
      </c>
      <c r="H190">
        <v>2024</v>
      </c>
      <c r="I190" t="s">
        <v>1030</v>
      </c>
      <c r="J190" t="s">
        <v>1034</v>
      </c>
      <c r="K190">
        <v>4</v>
      </c>
    </row>
    <row r="191" spans="1:11" x14ac:dyDescent="0.3">
      <c r="A191" t="s">
        <v>2038</v>
      </c>
      <c r="B191" t="s">
        <v>1026</v>
      </c>
      <c r="C191">
        <v>76</v>
      </c>
      <c r="D191" t="s">
        <v>1029</v>
      </c>
      <c r="E191" s="1">
        <v>45289</v>
      </c>
      <c r="F191">
        <v>80</v>
      </c>
      <c r="G191">
        <v>3.5</v>
      </c>
      <c r="H191">
        <v>2024</v>
      </c>
      <c r="I191" t="s">
        <v>411</v>
      </c>
      <c r="J191" t="s">
        <v>1019</v>
      </c>
      <c r="K191">
        <v>4</v>
      </c>
    </row>
    <row r="192" spans="1:11" x14ac:dyDescent="0.3">
      <c r="A192" t="s">
        <v>2045</v>
      </c>
      <c r="B192" t="s">
        <v>1055</v>
      </c>
      <c r="C192">
        <v>114</v>
      </c>
      <c r="D192" t="s">
        <v>1029</v>
      </c>
      <c r="E192" s="1">
        <v>45291</v>
      </c>
      <c r="F192">
        <v>40</v>
      </c>
      <c r="G192">
        <v>3.9</v>
      </c>
      <c r="H192">
        <v>2024</v>
      </c>
      <c r="I192" t="s">
        <v>1018</v>
      </c>
      <c r="J192" t="s">
        <v>1019</v>
      </c>
      <c r="K192">
        <v>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ECC32-52F1-424A-8F43-91CFECB6FAFF}">
  <dimension ref="A1:S189"/>
  <sheetViews>
    <sheetView workbookViewId="0">
      <selection activeCell="G28" sqref="G28"/>
    </sheetView>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s>
  <sheetData>
    <row r="1" spans="1:19" x14ac:dyDescent="0.3">
      <c r="A1" s="15" t="s">
        <v>2106</v>
      </c>
    </row>
    <row r="3" spans="1:19"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row>
    <row r="4" spans="1:19" x14ac:dyDescent="0.3">
      <c r="A4" t="s">
        <v>1037</v>
      </c>
      <c r="B4" t="s">
        <v>1016</v>
      </c>
      <c r="C4">
        <v>103</v>
      </c>
      <c r="D4" t="s">
        <v>1038</v>
      </c>
      <c r="E4" s="1">
        <v>44929</v>
      </c>
      <c r="F4">
        <v>148</v>
      </c>
      <c r="G4">
        <v>4.4000000000000004</v>
      </c>
      <c r="H4">
        <v>2023</v>
      </c>
      <c r="I4" t="s">
        <v>1033</v>
      </c>
      <c r="J4" t="s">
        <v>1019</v>
      </c>
      <c r="K4">
        <v>4</v>
      </c>
      <c r="P4" t="s">
        <v>1098</v>
      </c>
      <c r="Q4" t="s">
        <v>11</v>
      </c>
      <c r="R4">
        <v>42</v>
      </c>
      <c r="S4" t="s">
        <v>2057</v>
      </c>
    </row>
    <row r="5" spans="1:19" x14ac:dyDescent="0.3">
      <c r="A5" t="s">
        <v>1061</v>
      </c>
      <c r="B5" t="s">
        <v>1021</v>
      </c>
      <c r="C5">
        <v>38</v>
      </c>
      <c r="D5" t="s">
        <v>1038</v>
      </c>
      <c r="E5" s="1">
        <v>44933</v>
      </c>
      <c r="F5">
        <v>92</v>
      </c>
      <c r="G5">
        <v>4.9000000000000004</v>
      </c>
      <c r="H5">
        <v>2023</v>
      </c>
      <c r="I5" t="s">
        <v>1062</v>
      </c>
      <c r="J5" t="s">
        <v>1034</v>
      </c>
      <c r="K5">
        <v>5</v>
      </c>
    </row>
    <row r="6" spans="1:19" x14ac:dyDescent="0.3">
      <c r="A6" t="s">
        <v>1063</v>
      </c>
      <c r="B6" t="s">
        <v>1016</v>
      </c>
      <c r="C6">
        <v>67</v>
      </c>
      <c r="D6" t="s">
        <v>1038</v>
      </c>
      <c r="E6" s="1">
        <v>44934</v>
      </c>
      <c r="F6">
        <v>165</v>
      </c>
      <c r="G6">
        <v>4.5</v>
      </c>
      <c r="H6">
        <v>2023</v>
      </c>
      <c r="I6" t="s">
        <v>1018</v>
      </c>
      <c r="J6" t="s">
        <v>1019</v>
      </c>
      <c r="K6">
        <v>5</v>
      </c>
    </row>
    <row r="7" spans="1:19" x14ac:dyDescent="0.3">
      <c r="A7" t="s">
        <v>1071</v>
      </c>
      <c r="B7" t="s">
        <v>1055</v>
      </c>
      <c r="C7">
        <v>31</v>
      </c>
      <c r="D7" t="s">
        <v>1038</v>
      </c>
      <c r="E7" s="1">
        <v>44936</v>
      </c>
      <c r="F7">
        <v>123</v>
      </c>
      <c r="G7">
        <v>2.9</v>
      </c>
      <c r="H7">
        <v>2023</v>
      </c>
      <c r="I7" t="s">
        <v>1033</v>
      </c>
      <c r="J7" t="s">
        <v>1034</v>
      </c>
      <c r="K7">
        <v>3</v>
      </c>
    </row>
    <row r="8" spans="1:19" x14ac:dyDescent="0.3">
      <c r="A8" t="s">
        <v>1082</v>
      </c>
      <c r="B8" t="s">
        <v>1065</v>
      </c>
      <c r="C8">
        <v>81</v>
      </c>
      <c r="D8" t="s">
        <v>1038</v>
      </c>
      <c r="E8" s="1">
        <v>44943</v>
      </c>
      <c r="F8">
        <v>86</v>
      </c>
      <c r="G8">
        <v>2.4</v>
      </c>
      <c r="H8">
        <v>2023</v>
      </c>
      <c r="I8" t="s">
        <v>1033</v>
      </c>
      <c r="J8" t="s">
        <v>1019</v>
      </c>
      <c r="K8">
        <v>2</v>
      </c>
    </row>
    <row r="9" spans="1:19" x14ac:dyDescent="0.3">
      <c r="A9" t="s">
        <v>1084</v>
      </c>
      <c r="B9" t="s">
        <v>1021</v>
      </c>
      <c r="C9">
        <v>74</v>
      </c>
      <c r="D9" t="s">
        <v>1038</v>
      </c>
      <c r="E9" s="1">
        <v>44943</v>
      </c>
      <c r="F9">
        <v>96</v>
      </c>
      <c r="G9">
        <v>4.7</v>
      </c>
      <c r="H9">
        <v>2023</v>
      </c>
      <c r="I9" t="s">
        <v>1033</v>
      </c>
      <c r="J9" t="s">
        <v>1019</v>
      </c>
      <c r="K9">
        <v>5</v>
      </c>
    </row>
    <row r="10" spans="1:19" x14ac:dyDescent="0.3">
      <c r="A10" t="s">
        <v>1095</v>
      </c>
      <c r="B10" t="s">
        <v>1045</v>
      </c>
      <c r="C10">
        <v>100</v>
      </c>
      <c r="D10" t="s">
        <v>1038</v>
      </c>
      <c r="E10" s="1">
        <v>44947</v>
      </c>
      <c r="F10">
        <v>135</v>
      </c>
      <c r="G10">
        <v>3.8</v>
      </c>
      <c r="H10">
        <v>2023</v>
      </c>
      <c r="I10" t="s">
        <v>1062</v>
      </c>
      <c r="J10" t="s">
        <v>1019</v>
      </c>
      <c r="K10">
        <v>4</v>
      </c>
    </row>
    <row r="11" spans="1:19" x14ac:dyDescent="0.3">
      <c r="A11" t="s">
        <v>1106</v>
      </c>
      <c r="B11" t="s">
        <v>1041</v>
      </c>
      <c r="C11">
        <v>130</v>
      </c>
      <c r="D11" t="s">
        <v>1038</v>
      </c>
      <c r="E11" s="1">
        <v>44950</v>
      </c>
      <c r="F11">
        <v>126</v>
      </c>
      <c r="G11">
        <v>2.5</v>
      </c>
      <c r="H11">
        <v>2023</v>
      </c>
      <c r="I11" t="s">
        <v>1033</v>
      </c>
      <c r="J11" t="s">
        <v>1031</v>
      </c>
      <c r="K11">
        <v>3</v>
      </c>
    </row>
    <row r="12" spans="1:19" x14ac:dyDescent="0.3">
      <c r="A12" t="s">
        <v>1109</v>
      </c>
      <c r="B12" t="s">
        <v>1078</v>
      </c>
      <c r="C12">
        <v>147</v>
      </c>
      <c r="D12" t="s">
        <v>1038</v>
      </c>
      <c r="E12" s="1">
        <v>44951</v>
      </c>
      <c r="F12">
        <v>105</v>
      </c>
      <c r="G12">
        <v>4.4000000000000004</v>
      </c>
      <c r="H12">
        <v>2023</v>
      </c>
      <c r="I12" t="s">
        <v>1048</v>
      </c>
      <c r="J12" t="s">
        <v>1031</v>
      </c>
      <c r="K12">
        <v>4</v>
      </c>
    </row>
    <row r="13" spans="1:19" x14ac:dyDescent="0.3">
      <c r="A13" t="s">
        <v>1112</v>
      </c>
      <c r="B13" t="s">
        <v>1041</v>
      </c>
      <c r="C13">
        <v>124</v>
      </c>
      <c r="D13" t="s">
        <v>1038</v>
      </c>
      <c r="E13" s="1">
        <v>44953</v>
      </c>
      <c r="F13">
        <v>215</v>
      </c>
      <c r="G13">
        <v>4.0999999999999996</v>
      </c>
      <c r="H13">
        <v>2023</v>
      </c>
      <c r="I13" t="s">
        <v>411</v>
      </c>
      <c r="J13" t="s">
        <v>1031</v>
      </c>
      <c r="K13">
        <v>4</v>
      </c>
    </row>
    <row r="14" spans="1:19" x14ac:dyDescent="0.3">
      <c r="A14" t="s">
        <v>1125</v>
      </c>
      <c r="B14" t="s">
        <v>1041</v>
      </c>
      <c r="C14">
        <v>45</v>
      </c>
      <c r="D14" t="s">
        <v>1038</v>
      </c>
      <c r="E14" s="1">
        <v>44958</v>
      </c>
      <c r="F14">
        <v>34</v>
      </c>
      <c r="G14">
        <v>3.7</v>
      </c>
      <c r="H14">
        <v>2023</v>
      </c>
      <c r="I14" t="s">
        <v>1048</v>
      </c>
      <c r="J14" t="s">
        <v>1034</v>
      </c>
      <c r="K14">
        <v>4</v>
      </c>
    </row>
    <row r="15" spans="1:19" x14ac:dyDescent="0.3">
      <c r="A15" t="s">
        <v>1129</v>
      </c>
      <c r="B15" t="s">
        <v>1028</v>
      </c>
      <c r="C15">
        <v>137</v>
      </c>
      <c r="D15" t="s">
        <v>1038</v>
      </c>
      <c r="E15" s="1">
        <v>44958</v>
      </c>
      <c r="F15">
        <v>90</v>
      </c>
      <c r="G15">
        <v>4.0999999999999996</v>
      </c>
      <c r="H15">
        <v>2023</v>
      </c>
      <c r="I15" t="s">
        <v>1048</v>
      </c>
      <c r="J15" t="s">
        <v>1031</v>
      </c>
      <c r="K15">
        <v>4</v>
      </c>
    </row>
    <row r="16" spans="1:19" x14ac:dyDescent="0.3">
      <c r="A16" t="s">
        <v>1137</v>
      </c>
      <c r="B16" t="s">
        <v>1036</v>
      </c>
      <c r="C16">
        <v>135</v>
      </c>
      <c r="D16" t="s">
        <v>1038</v>
      </c>
      <c r="E16" s="1">
        <v>44964</v>
      </c>
      <c r="F16">
        <v>35</v>
      </c>
      <c r="G16">
        <v>4.8</v>
      </c>
      <c r="H16">
        <v>2023</v>
      </c>
      <c r="I16" t="s">
        <v>1033</v>
      </c>
      <c r="J16" t="s">
        <v>1031</v>
      </c>
      <c r="K16">
        <v>5</v>
      </c>
    </row>
    <row r="17" spans="1:11" x14ac:dyDescent="0.3">
      <c r="A17" t="s">
        <v>1147</v>
      </c>
      <c r="B17" t="s">
        <v>1055</v>
      </c>
      <c r="C17">
        <v>67</v>
      </c>
      <c r="D17" t="s">
        <v>1038</v>
      </c>
      <c r="E17" s="1">
        <v>44968</v>
      </c>
      <c r="F17">
        <v>24</v>
      </c>
      <c r="G17">
        <v>4.3</v>
      </c>
      <c r="H17">
        <v>2023</v>
      </c>
      <c r="I17" t="s">
        <v>1062</v>
      </c>
      <c r="J17" t="s">
        <v>1019</v>
      </c>
      <c r="K17">
        <v>4</v>
      </c>
    </row>
    <row r="18" spans="1:11" x14ac:dyDescent="0.3">
      <c r="A18" t="s">
        <v>1151</v>
      </c>
      <c r="B18" t="s">
        <v>1021</v>
      </c>
      <c r="C18">
        <v>127</v>
      </c>
      <c r="D18" t="s">
        <v>1038</v>
      </c>
      <c r="E18" s="1">
        <v>44970</v>
      </c>
      <c r="F18">
        <v>165</v>
      </c>
      <c r="G18">
        <v>4.7</v>
      </c>
      <c r="H18">
        <v>2023</v>
      </c>
      <c r="I18" t="s">
        <v>1030</v>
      </c>
      <c r="J18" t="s">
        <v>1031</v>
      </c>
      <c r="K18">
        <v>5</v>
      </c>
    </row>
    <row r="19" spans="1:11" x14ac:dyDescent="0.3">
      <c r="A19" t="s">
        <v>1154</v>
      </c>
      <c r="B19" t="s">
        <v>1023</v>
      </c>
      <c r="C19">
        <v>80</v>
      </c>
      <c r="D19" t="s">
        <v>1038</v>
      </c>
      <c r="E19" s="1">
        <v>44971</v>
      </c>
      <c r="F19">
        <v>155</v>
      </c>
      <c r="G19">
        <v>3.2</v>
      </c>
      <c r="H19">
        <v>2023</v>
      </c>
      <c r="I19" t="s">
        <v>1033</v>
      </c>
      <c r="J19" t="s">
        <v>1019</v>
      </c>
      <c r="K19">
        <v>3</v>
      </c>
    </row>
    <row r="20" spans="1:11" x14ac:dyDescent="0.3">
      <c r="A20" t="s">
        <v>1158</v>
      </c>
      <c r="B20" t="s">
        <v>1041</v>
      </c>
      <c r="C20">
        <v>38</v>
      </c>
      <c r="D20" t="s">
        <v>1038</v>
      </c>
      <c r="E20" s="1">
        <v>44972</v>
      </c>
      <c r="F20">
        <v>100</v>
      </c>
      <c r="G20">
        <v>4.8</v>
      </c>
      <c r="H20">
        <v>2023</v>
      </c>
      <c r="I20" t="s">
        <v>1048</v>
      </c>
      <c r="J20" t="s">
        <v>1034</v>
      </c>
      <c r="K20">
        <v>5</v>
      </c>
    </row>
    <row r="21" spans="1:11" x14ac:dyDescent="0.3">
      <c r="A21" t="s">
        <v>1173</v>
      </c>
      <c r="B21" t="s">
        <v>1036</v>
      </c>
      <c r="C21">
        <v>130</v>
      </c>
      <c r="D21" t="s">
        <v>1038</v>
      </c>
      <c r="E21" s="1">
        <v>44978</v>
      </c>
      <c r="F21">
        <v>150</v>
      </c>
      <c r="G21">
        <v>1</v>
      </c>
      <c r="H21">
        <v>2023</v>
      </c>
      <c r="I21" t="s">
        <v>1033</v>
      </c>
      <c r="J21" t="s">
        <v>1031</v>
      </c>
      <c r="K21">
        <v>1</v>
      </c>
    </row>
    <row r="22" spans="1:11" x14ac:dyDescent="0.3">
      <c r="A22" t="s">
        <v>1177</v>
      </c>
      <c r="B22" t="s">
        <v>1065</v>
      </c>
      <c r="C22">
        <v>115</v>
      </c>
      <c r="D22" t="s">
        <v>1038</v>
      </c>
      <c r="E22" s="1">
        <v>44980</v>
      </c>
      <c r="F22">
        <v>150</v>
      </c>
      <c r="G22">
        <v>4.0999999999999996</v>
      </c>
      <c r="H22">
        <v>2023</v>
      </c>
      <c r="I22" t="s">
        <v>1052</v>
      </c>
      <c r="J22" t="s">
        <v>1019</v>
      </c>
      <c r="K22">
        <v>4</v>
      </c>
    </row>
    <row r="23" spans="1:11" x14ac:dyDescent="0.3">
      <c r="A23" t="s">
        <v>1182</v>
      </c>
      <c r="B23" t="s">
        <v>1078</v>
      </c>
      <c r="C23">
        <v>151</v>
      </c>
      <c r="D23" t="s">
        <v>1038</v>
      </c>
      <c r="E23" s="1">
        <v>44983</v>
      </c>
      <c r="F23">
        <v>46</v>
      </c>
      <c r="G23">
        <v>4.9000000000000004</v>
      </c>
      <c r="H23">
        <v>2023</v>
      </c>
      <c r="I23" t="s">
        <v>1018</v>
      </c>
      <c r="J23" t="s">
        <v>1031</v>
      </c>
      <c r="K23">
        <v>5</v>
      </c>
    </row>
    <row r="24" spans="1:11" x14ac:dyDescent="0.3">
      <c r="A24" t="s">
        <v>1188</v>
      </c>
      <c r="B24" t="s">
        <v>1055</v>
      </c>
      <c r="C24">
        <v>42</v>
      </c>
      <c r="D24" t="s">
        <v>1038</v>
      </c>
      <c r="E24" s="1">
        <v>44985</v>
      </c>
      <c r="F24">
        <v>111</v>
      </c>
      <c r="G24">
        <v>3</v>
      </c>
      <c r="H24">
        <v>2023</v>
      </c>
      <c r="I24" t="s">
        <v>1033</v>
      </c>
      <c r="J24" t="s">
        <v>1034</v>
      </c>
      <c r="K24">
        <v>3</v>
      </c>
    </row>
    <row r="25" spans="1:11" x14ac:dyDescent="0.3">
      <c r="A25" t="s">
        <v>1192</v>
      </c>
      <c r="B25" t="s">
        <v>1028</v>
      </c>
      <c r="C25">
        <v>90</v>
      </c>
      <c r="D25" t="s">
        <v>1038</v>
      </c>
      <c r="E25" s="1">
        <v>44986</v>
      </c>
      <c r="F25">
        <v>170</v>
      </c>
      <c r="G25">
        <v>3.7</v>
      </c>
      <c r="H25">
        <v>2023</v>
      </c>
      <c r="I25" t="s">
        <v>1048</v>
      </c>
      <c r="J25" t="s">
        <v>1019</v>
      </c>
      <c r="K25">
        <v>4</v>
      </c>
    </row>
    <row r="26" spans="1:11" x14ac:dyDescent="0.3">
      <c r="A26" t="s">
        <v>1196</v>
      </c>
      <c r="B26" t="s">
        <v>1047</v>
      </c>
      <c r="C26">
        <v>137</v>
      </c>
      <c r="D26" t="s">
        <v>1038</v>
      </c>
      <c r="E26" s="1">
        <v>44986</v>
      </c>
      <c r="F26">
        <v>114</v>
      </c>
      <c r="G26">
        <v>3.2</v>
      </c>
      <c r="H26">
        <v>2023</v>
      </c>
      <c r="I26" t="s">
        <v>1048</v>
      </c>
      <c r="J26" t="s">
        <v>1031</v>
      </c>
      <c r="K26">
        <v>3</v>
      </c>
    </row>
    <row r="27" spans="1:11" x14ac:dyDescent="0.3">
      <c r="A27" t="s">
        <v>1197</v>
      </c>
      <c r="B27" t="s">
        <v>1047</v>
      </c>
      <c r="C27">
        <v>43</v>
      </c>
      <c r="D27" t="s">
        <v>1038</v>
      </c>
      <c r="E27" s="1">
        <v>44986</v>
      </c>
      <c r="F27">
        <v>99</v>
      </c>
      <c r="G27">
        <v>4.7</v>
      </c>
      <c r="H27">
        <v>2023</v>
      </c>
      <c r="I27" t="s">
        <v>1048</v>
      </c>
      <c r="J27" t="s">
        <v>1034</v>
      </c>
      <c r="K27">
        <v>5</v>
      </c>
    </row>
    <row r="28" spans="1:11" x14ac:dyDescent="0.3">
      <c r="A28" t="s">
        <v>1198</v>
      </c>
      <c r="B28" t="s">
        <v>1041</v>
      </c>
      <c r="C28">
        <v>114</v>
      </c>
      <c r="D28" t="s">
        <v>1038</v>
      </c>
      <c r="E28" s="1">
        <v>44987</v>
      </c>
      <c r="F28">
        <v>23</v>
      </c>
      <c r="G28">
        <v>4.8</v>
      </c>
      <c r="H28">
        <v>2023</v>
      </c>
      <c r="I28" t="s">
        <v>1052</v>
      </c>
      <c r="J28" t="s">
        <v>1019</v>
      </c>
      <c r="K28">
        <v>5</v>
      </c>
    </row>
    <row r="29" spans="1:11" x14ac:dyDescent="0.3">
      <c r="A29" t="s">
        <v>1216</v>
      </c>
      <c r="B29" t="s">
        <v>1023</v>
      </c>
      <c r="C29">
        <v>75</v>
      </c>
      <c r="D29" t="s">
        <v>1038</v>
      </c>
      <c r="E29" s="1">
        <v>44989</v>
      </c>
      <c r="F29">
        <v>40</v>
      </c>
      <c r="G29">
        <v>3.4</v>
      </c>
      <c r="H29">
        <v>2023</v>
      </c>
      <c r="I29" t="s">
        <v>1062</v>
      </c>
      <c r="J29" t="s">
        <v>1019</v>
      </c>
      <c r="K29">
        <v>3</v>
      </c>
    </row>
    <row r="30" spans="1:11" x14ac:dyDescent="0.3">
      <c r="A30" t="s">
        <v>1225</v>
      </c>
      <c r="B30" t="s">
        <v>1068</v>
      </c>
      <c r="C30">
        <v>73</v>
      </c>
      <c r="D30" t="s">
        <v>1038</v>
      </c>
      <c r="E30" s="1">
        <v>44991</v>
      </c>
      <c r="F30">
        <v>215</v>
      </c>
      <c r="G30">
        <v>3.6</v>
      </c>
      <c r="H30">
        <v>2023</v>
      </c>
      <c r="I30" t="s">
        <v>1030</v>
      </c>
      <c r="J30" t="s">
        <v>1019</v>
      </c>
      <c r="K30">
        <v>4</v>
      </c>
    </row>
    <row r="31" spans="1:11" x14ac:dyDescent="0.3">
      <c r="A31" t="s">
        <v>1226</v>
      </c>
      <c r="B31" t="s">
        <v>1055</v>
      </c>
      <c r="C31">
        <v>62</v>
      </c>
      <c r="D31" t="s">
        <v>1038</v>
      </c>
      <c r="E31" s="1">
        <v>44991</v>
      </c>
      <c r="F31">
        <v>32</v>
      </c>
      <c r="G31">
        <v>0.7</v>
      </c>
      <c r="H31">
        <v>2023</v>
      </c>
      <c r="I31" t="s">
        <v>1030</v>
      </c>
      <c r="J31" t="s">
        <v>1019</v>
      </c>
      <c r="K31">
        <v>1</v>
      </c>
    </row>
    <row r="32" spans="1:11" x14ac:dyDescent="0.3">
      <c r="A32" t="s">
        <v>1232</v>
      </c>
      <c r="B32" t="s">
        <v>1045</v>
      </c>
      <c r="C32">
        <v>41</v>
      </c>
      <c r="D32" t="s">
        <v>1038</v>
      </c>
      <c r="E32" s="1">
        <v>44992</v>
      </c>
      <c r="F32">
        <v>68</v>
      </c>
      <c r="G32">
        <v>4</v>
      </c>
      <c r="H32">
        <v>2023</v>
      </c>
      <c r="I32" t="s">
        <v>1033</v>
      </c>
      <c r="J32" t="s">
        <v>1034</v>
      </c>
      <c r="K32">
        <v>4</v>
      </c>
    </row>
    <row r="33" spans="1:11" x14ac:dyDescent="0.3">
      <c r="A33" t="s">
        <v>1239</v>
      </c>
      <c r="B33" t="s">
        <v>1036</v>
      </c>
      <c r="C33">
        <v>85</v>
      </c>
      <c r="D33" t="s">
        <v>1038</v>
      </c>
      <c r="E33" s="1">
        <v>44995</v>
      </c>
      <c r="F33">
        <v>46</v>
      </c>
      <c r="G33">
        <v>4.9000000000000004</v>
      </c>
      <c r="H33">
        <v>2023</v>
      </c>
      <c r="I33" t="s">
        <v>411</v>
      </c>
      <c r="J33" t="s">
        <v>1019</v>
      </c>
      <c r="K33">
        <v>5</v>
      </c>
    </row>
    <row r="34" spans="1:11" x14ac:dyDescent="0.3">
      <c r="A34" t="s">
        <v>1241</v>
      </c>
      <c r="B34" t="s">
        <v>1036</v>
      </c>
      <c r="C34">
        <v>63</v>
      </c>
      <c r="D34" t="s">
        <v>1038</v>
      </c>
      <c r="E34" s="1">
        <v>44995</v>
      </c>
      <c r="F34">
        <v>48</v>
      </c>
      <c r="G34">
        <v>5</v>
      </c>
      <c r="H34">
        <v>2023</v>
      </c>
      <c r="I34" t="s">
        <v>411</v>
      </c>
      <c r="J34" t="s">
        <v>1019</v>
      </c>
      <c r="K34">
        <v>5</v>
      </c>
    </row>
    <row r="35" spans="1:11" x14ac:dyDescent="0.3">
      <c r="A35" t="s">
        <v>1243</v>
      </c>
      <c r="B35" t="s">
        <v>1036</v>
      </c>
      <c r="C35">
        <v>71</v>
      </c>
      <c r="D35" t="s">
        <v>1038</v>
      </c>
      <c r="E35" s="1">
        <v>44995</v>
      </c>
      <c r="F35">
        <v>105</v>
      </c>
      <c r="G35">
        <v>4</v>
      </c>
      <c r="H35">
        <v>2023</v>
      </c>
      <c r="I35" t="s">
        <v>411</v>
      </c>
      <c r="J35" t="s">
        <v>1019</v>
      </c>
      <c r="K35">
        <v>4</v>
      </c>
    </row>
    <row r="36" spans="1:11" x14ac:dyDescent="0.3">
      <c r="A36" t="s">
        <v>1244</v>
      </c>
      <c r="B36" t="s">
        <v>1021</v>
      </c>
      <c r="C36">
        <v>100</v>
      </c>
      <c r="D36" t="s">
        <v>1038</v>
      </c>
      <c r="E36" s="1">
        <v>44996</v>
      </c>
      <c r="F36">
        <v>44</v>
      </c>
      <c r="G36">
        <v>3.6</v>
      </c>
      <c r="H36">
        <v>2023</v>
      </c>
      <c r="I36" t="s">
        <v>1062</v>
      </c>
      <c r="J36" t="s">
        <v>1019</v>
      </c>
      <c r="K36">
        <v>4</v>
      </c>
    </row>
    <row r="37" spans="1:11" x14ac:dyDescent="0.3">
      <c r="A37" t="s">
        <v>1248</v>
      </c>
      <c r="B37" t="s">
        <v>1078</v>
      </c>
      <c r="C37">
        <v>63</v>
      </c>
      <c r="D37" t="s">
        <v>1038</v>
      </c>
      <c r="E37" s="1">
        <v>44996</v>
      </c>
      <c r="F37">
        <v>42</v>
      </c>
      <c r="G37">
        <v>4</v>
      </c>
      <c r="H37">
        <v>2023</v>
      </c>
      <c r="I37" t="s">
        <v>1062</v>
      </c>
      <c r="J37" t="s">
        <v>1019</v>
      </c>
      <c r="K37">
        <v>4</v>
      </c>
    </row>
    <row r="38" spans="1:11" x14ac:dyDescent="0.3">
      <c r="A38" t="s">
        <v>1249</v>
      </c>
      <c r="B38" t="s">
        <v>1055</v>
      </c>
      <c r="C38">
        <v>83</v>
      </c>
      <c r="D38" t="s">
        <v>1038</v>
      </c>
      <c r="E38" s="1">
        <v>44996</v>
      </c>
      <c r="F38">
        <v>42</v>
      </c>
      <c r="G38">
        <v>4.2</v>
      </c>
      <c r="H38">
        <v>2023</v>
      </c>
      <c r="I38" t="s">
        <v>1062</v>
      </c>
      <c r="J38" t="s">
        <v>1019</v>
      </c>
      <c r="K38">
        <v>4</v>
      </c>
    </row>
    <row r="39" spans="1:11" x14ac:dyDescent="0.3">
      <c r="A39" t="s">
        <v>1251</v>
      </c>
      <c r="B39" t="s">
        <v>1028</v>
      </c>
      <c r="C39">
        <v>73</v>
      </c>
      <c r="D39" t="s">
        <v>1038</v>
      </c>
      <c r="E39" s="1">
        <v>44997</v>
      </c>
      <c r="F39">
        <v>34</v>
      </c>
      <c r="G39">
        <v>4.8</v>
      </c>
      <c r="H39">
        <v>2023</v>
      </c>
      <c r="I39" t="s">
        <v>1018</v>
      </c>
      <c r="J39" t="s">
        <v>1019</v>
      </c>
      <c r="K39">
        <v>5</v>
      </c>
    </row>
    <row r="40" spans="1:11" x14ac:dyDescent="0.3">
      <c r="A40" t="s">
        <v>1254</v>
      </c>
      <c r="B40" t="s">
        <v>1098</v>
      </c>
      <c r="C40">
        <v>121</v>
      </c>
      <c r="D40" t="s">
        <v>1038</v>
      </c>
      <c r="E40" s="1">
        <v>44998</v>
      </c>
      <c r="F40">
        <v>32</v>
      </c>
      <c r="G40">
        <v>3.7</v>
      </c>
      <c r="H40">
        <v>2023</v>
      </c>
      <c r="I40" t="s">
        <v>1030</v>
      </c>
      <c r="J40" t="s">
        <v>1031</v>
      </c>
      <c r="K40">
        <v>4</v>
      </c>
    </row>
    <row r="41" spans="1:11" x14ac:dyDescent="0.3">
      <c r="A41" t="s">
        <v>1260</v>
      </c>
      <c r="B41" t="s">
        <v>1016</v>
      </c>
      <c r="C41">
        <v>142</v>
      </c>
      <c r="D41" t="s">
        <v>1038</v>
      </c>
      <c r="E41" s="1">
        <v>44999</v>
      </c>
      <c r="F41">
        <v>44</v>
      </c>
      <c r="G41">
        <v>3.5</v>
      </c>
      <c r="H41">
        <v>2023</v>
      </c>
      <c r="I41" t="s">
        <v>1033</v>
      </c>
      <c r="J41" t="s">
        <v>1031</v>
      </c>
      <c r="K41">
        <v>4</v>
      </c>
    </row>
    <row r="42" spans="1:11" x14ac:dyDescent="0.3">
      <c r="A42" t="s">
        <v>1262</v>
      </c>
      <c r="B42" t="s">
        <v>1045</v>
      </c>
      <c r="C42">
        <v>119</v>
      </c>
      <c r="D42" t="s">
        <v>1038</v>
      </c>
      <c r="E42" s="1">
        <v>44999</v>
      </c>
      <c r="F42">
        <v>20</v>
      </c>
      <c r="G42">
        <v>3.9</v>
      </c>
      <c r="H42">
        <v>2023</v>
      </c>
      <c r="I42" t="s">
        <v>1033</v>
      </c>
      <c r="J42" t="s">
        <v>1019</v>
      </c>
      <c r="K42">
        <v>4</v>
      </c>
    </row>
    <row r="43" spans="1:11" x14ac:dyDescent="0.3">
      <c r="A43" t="s">
        <v>1267</v>
      </c>
      <c r="B43" t="s">
        <v>1021</v>
      </c>
      <c r="C43">
        <v>139</v>
      </c>
      <c r="D43" t="s">
        <v>1038</v>
      </c>
      <c r="E43" s="1">
        <v>45000</v>
      </c>
      <c r="F43">
        <v>48</v>
      </c>
      <c r="G43">
        <v>4.7</v>
      </c>
      <c r="H43">
        <v>2023</v>
      </c>
      <c r="I43" t="s">
        <v>1048</v>
      </c>
      <c r="J43" t="s">
        <v>1031</v>
      </c>
      <c r="K43">
        <v>5</v>
      </c>
    </row>
    <row r="44" spans="1:11" x14ac:dyDescent="0.3">
      <c r="A44" t="s">
        <v>1268</v>
      </c>
      <c r="B44" t="s">
        <v>1045</v>
      </c>
      <c r="C44">
        <v>59</v>
      </c>
      <c r="D44" t="s">
        <v>1038</v>
      </c>
      <c r="E44" s="1">
        <v>45000</v>
      </c>
      <c r="F44">
        <v>64</v>
      </c>
      <c r="G44">
        <v>4</v>
      </c>
      <c r="H44">
        <v>2023</v>
      </c>
      <c r="I44" t="s">
        <v>1048</v>
      </c>
      <c r="J44" t="s">
        <v>1034</v>
      </c>
      <c r="K44">
        <v>4</v>
      </c>
    </row>
    <row r="45" spans="1:11" x14ac:dyDescent="0.3">
      <c r="A45" t="s">
        <v>1274</v>
      </c>
      <c r="B45" t="s">
        <v>1055</v>
      </c>
      <c r="C45">
        <v>90</v>
      </c>
      <c r="D45" t="s">
        <v>1038</v>
      </c>
      <c r="E45" s="1">
        <v>45001</v>
      </c>
      <c r="F45">
        <v>72</v>
      </c>
      <c r="G45">
        <v>4.7</v>
      </c>
      <c r="H45">
        <v>2023</v>
      </c>
      <c r="I45" t="s">
        <v>1052</v>
      </c>
      <c r="J45" t="s">
        <v>1019</v>
      </c>
      <c r="K45">
        <v>5</v>
      </c>
    </row>
    <row r="46" spans="1:11" x14ac:dyDescent="0.3">
      <c r="A46" t="s">
        <v>1284</v>
      </c>
      <c r="B46" t="s">
        <v>1023</v>
      </c>
      <c r="C46">
        <v>89</v>
      </c>
      <c r="D46" t="s">
        <v>1038</v>
      </c>
      <c r="E46" s="1">
        <v>45003</v>
      </c>
      <c r="F46">
        <v>70</v>
      </c>
      <c r="G46">
        <v>4.9000000000000004</v>
      </c>
      <c r="H46">
        <v>2023</v>
      </c>
      <c r="I46" t="s">
        <v>1062</v>
      </c>
      <c r="J46" t="s">
        <v>1019</v>
      </c>
      <c r="K46">
        <v>5</v>
      </c>
    </row>
    <row r="47" spans="1:11" x14ac:dyDescent="0.3">
      <c r="A47" t="s">
        <v>1303</v>
      </c>
      <c r="B47" t="s">
        <v>1059</v>
      </c>
      <c r="C47">
        <v>113</v>
      </c>
      <c r="D47" t="s">
        <v>1038</v>
      </c>
      <c r="E47" s="1">
        <v>45006</v>
      </c>
      <c r="F47">
        <v>168</v>
      </c>
      <c r="G47">
        <v>4.0999999999999996</v>
      </c>
      <c r="H47">
        <v>2023</v>
      </c>
      <c r="I47" t="s">
        <v>1033</v>
      </c>
      <c r="J47" t="s">
        <v>1019</v>
      </c>
      <c r="K47">
        <v>4</v>
      </c>
    </row>
    <row r="48" spans="1:11" x14ac:dyDescent="0.3">
      <c r="A48" t="s">
        <v>1309</v>
      </c>
      <c r="B48" t="s">
        <v>1047</v>
      </c>
      <c r="C48">
        <v>101</v>
      </c>
      <c r="D48" t="s">
        <v>1038</v>
      </c>
      <c r="E48" s="1">
        <v>45007</v>
      </c>
      <c r="F48">
        <v>130</v>
      </c>
      <c r="G48">
        <v>4.8</v>
      </c>
      <c r="H48">
        <v>2023</v>
      </c>
      <c r="I48" t="s">
        <v>1048</v>
      </c>
      <c r="J48" t="s">
        <v>1019</v>
      </c>
      <c r="K48">
        <v>5</v>
      </c>
    </row>
    <row r="49" spans="1:11" x14ac:dyDescent="0.3">
      <c r="A49" t="s">
        <v>1312</v>
      </c>
      <c r="B49" t="s">
        <v>1036</v>
      </c>
      <c r="C49">
        <v>111</v>
      </c>
      <c r="D49" t="s">
        <v>1038</v>
      </c>
      <c r="E49" s="1">
        <v>45008</v>
      </c>
      <c r="F49">
        <v>86</v>
      </c>
      <c r="G49">
        <v>4.0999999999999996</v>
      </c>
      <c r="H49">
        <v>2023</v>
      </c>
      <c r="I49" t="s">
        <v>1052</v>
      </c>
      <c r="J49" t="s">
        <v>1019</v>
      </c>
      <c r="K49">
        <v>4</v>
      </c>
    </row>
    <row r="50" spans="1:11" x14ac:dyDescent="0.3">
      <c r="A50" t="s">
        <v>1313</v>
      </c>
      <c r="B50" t="s">
        <v>1068</v>
      </c>
      <c r="C50">
        <v>142</v>
      </c>
      <c r="D50" t="s">
        <v>1038</v>
      </c>
      <c r="E50" s="1">
        <v>45009</v>
      </c>
      <c r="F50">
        <v>31</v>
      </c>
      <c r="G50">
        <v>4.4000000000000004</v>
      </c>
      <c r="H50">
        <v>2023</v>
      </c>
      <c r="I50" t="s">
        <v>411</v>
      </c>
      <c r="J50" t="s">
        <v>1031</v>
      </c>
      <c r="K50">
        <v>4</v>
      </c>
    </row>
    <row r="51" spans="1:11" x14ac:dyDescent="0.3">
      <c r="A51" t="s">
        <v>1324</v>
      </c>
      <c r="B51" t="s">
        <v>1045</v>
      </c>
      <c r="C51">
        <v>118</v>
      </c>
      <c r="D51" t="s">
        <v>1038</v>
      </c>
      <c r="E51" s="1">
        <v>45011</v>
      </c>
      <c r="F51">
        <v>99</v>
      </c>
      <c r="G51">
        <v>5</v>
      </c>
      <c r="H51">
        <v>2023</v>
      </c>
      <c r="I51" t="s">
        <v>1018</v>
      </c>
      <c r="J51" t="s">
        <v>1019</v>
      </c>
      <c r="K51">
        <v>5</v>
      </c>
    </row>
    <row r="52" spans="1:11" x14ac:dyDescent="0.3">
      <c r="A52" t="s">
        <v>1327</v>
      </c>
      <c r="B52" t="s">
        <v>1059</v>
      </c>
      <c r="C52">
        <v>116</v>
      </c>
      <c r="D52" t="s">
        <v>1038</v>
      </c>
      <c r="E52" s="1">
        <v>45012</v>
      </c>
      <c r="F52">
        <v>63</v>
      </c>
      <c r="G52">
        <v>3.4</v>
      </c>
      <c r="H52">
        <v>2023</v>
      </c>
      <c r="I52" t="s">
        <v>1030</v>
      </c>
      <c r="J52" t="s">
        <v>1019</v>
      </c>
      <c r="K52">
        <v>3</v>
      </c>
    </row>
    <row r="53" spans="1:11" x14ac:dyDescent="0.3">
      <c r="A53" t="s">
        <v>1331</v>
      </c>
      <c r="B53" t="s">
        <v>1028</v>
      </c>
      <c r="C53">
        <v>95</v>
      </c>
      <c r="D53" t="s">
        <v>1038</v>
      </c>
      <c r="E53" s="1">
        <v>45012</v>
      </c>
      <c r="F53">
        <v>28</v>
      </c>
      <c r="G53">
        <v>2.7</v>
      </c>
      <c r="H53">
        <v>2023</v>
      </c>
      <c r="I53" t="s">
        <v>1030</v>
      </c>
      <c r="J53" t="s">
        <v>1019</v>
      </c>
      <c r="K53">
        <v>3</v>
      </c>
    </row>
    <row r="54" spans="1:11" x14ac:dyDescent="0.3">
      <c r="A54" t="s">
        <v>1340</v>
      </c>
      <c r="B54" t="s">
        <v>1023</v>
      </c>
      <c r="C54">
        <v>56</v>
      </c>
      <c r="D54" t="s">
        <v>1038</v>
      </c>
      <c r="E54" s="1">
        <v>45014</v>
      </c>
      <c r="F54">
        <v>88</v>
      </c>
      <c r="G54">
        <v>4.0999999999999996</v>
      </c>
      <c r="H54">
        <v>2023</v>
      </c>
      <c r="I54" t="s">
        <v>1048</v>
      </c>
      <c r="J54" t="s">
        <v>1034</v>
      </c>
      <c r="K54">
        <v>4</v>
      </c>
    </row>
    <row r="55" spans="1:11" x14ac:dyDescent="0.3">
      <c r="A55" t="s">
        <v>1353</v>
      </c>
      <c r="B55" t="s">
        <v>1023</v>
      </c>
      <c r="C55">
        <v>81</v>
      </c>
      <c r="D55" t="s">
        <v>1038</v>
      </c>
      <c r="E55" s="1">
        <v>45019</v>
      </c>
      <c r="F55">
        <v>160</v>
      </c>
      <c r="G55">
        <v>4.7</v>
      </c>
      <c r="H55">
        <v>2023</v>
      </c>
      <c r="I55" t="s">
        <v>1030</v>
      </c>
      <c r="J55" t="s">
        <v>1019</v>
      </c>
      <c r="K55">
        <v>5</v>
      </c>
    </row>
    <row r="56" spans="1:11" x14ac:dyDescent="0.3">
      <c r="A56" t="s">
        <v>1354</v>
      </c>
      <c r="B56" t="s">
        <v>1059</v>
      </c>
      <c r="C56">
        <v>137</v>
      </c>
      <c r="D56" t="s">
        <v>1038</v>
      </c>
      <c r="E56" s="1">
        <v>45019</v>
      </c>
      <c r="F56">
        <v>215</v>
      </c>
      <c r="G56">
        <v>4.7</v>
      </c>
      <c r="H56">
        <v>2023</v>
      </c>
      <c r="I56" t="s">
        <v>1030</v>
      </c>
      <c r="J56" t="s">
        <v>1031</v>
      </c>
      <c r="K56">
        <v>5</v>
      </c>
    </row>
    <row r="57" spans="1:11" x14ac:dyDescent="0.3">
      <c r="A57" t="s">
        <v>1372</v>
      </c>
      <c r="B57" t="s">
        <v>1098</v>
      </c>
      <c r="C57">
        <v>70</v>
      </c>
      <c r="D57" t="s">
        <v>1038</v>
      </c>
      <c r="E57" s="1">
        <v>45023</v>
      </c>
      <c r="F57">
        <v>42</v>
      </c>
      <c r="G57">
        <v>4.4000000000000004</v>
      </c>
      <c r="H57">
        <v>2023</v>
      </c>
      <c r="I57" t="s">
        <v>411</v>
      </c>
      <c r="J57" t="s">
        <v>1019</v>
      </c>
      <c r="K57">
        <v>4</v>
      </c>
    </row>
    <row r="58" spans="1:11" x14ac:dyDescent="0.3">
      <c r="A58" t="s">
        <v>1375</v>
      </c>
      <c r="B58" t="s">
        <v>1078</v>
      </c>
      <c r="C58">
        <v>95</v>
      </c>
      <c r="D58" t="s">
        <v>1038</v>
      </c>
      <c r="E58" s="1">
        <v>45024</v>
      </c>
      <c r="F58">
        <v>123</v>
      </c>
      <c r="G58">
        <v>4.4000000000000004</v>
      </c>
      <c r="H58">
        <v>2023</v>
      </c>
      <c r="I58" t="s">
        <v>1062</v>
      </c>
      <c r="J58" t="s">
        <v>1019</v>
      </c>
      <c r="K58">
        <v>4</v>
      </c>
    </row>
    <row r="59" spans="1:11" x14ac:dyDescent="0.3">
      <c r="A59" t="s">
        <v>1380</v>
      </c>
      <c r="B59" t="s">
        <v>1055</v>
      </c>
      <c r="C59">
        <v>72</v>
      </c>
      <c r="D59" t="s">
        <v>1038</v>
      </c>
      <c r="E59" s="1">
        <v>45024</v>
      </c>
      <c r="F59">
        <v>140</v>
      </c>
      <c r="G59">
        <v>3.2</v>
      </c>
      <c r="H59">
        <v>2023</v>
      </c>
      <c r="I59" t="s">
        <v>1062</v>
      </c>
      <c r="J59" t="s">
        <v>1019</v>
      </c>
      <c r="K59">
        <v>3</v>
      </c>
    </row>
    <row r="60" spans="1:11" x14ac:dyDescent="0.3">
      <c r="A60" t="s">
        <v>1386</v>
      </c>
      <c r="B60" t="s">
        <v>1023</v>
      </c>
      <c r="C60">
        <v>55</v>
      </c>
      <c r="D60" t="s">
        <v>1038</v>
      </c>
      <c r="E60" s="1">
        <v>45025</v>
      </c>
      <c r="F60">
        <v>27</v>
      </c>
      <c r="G60">
        <v>3.7</v>
      </c>
      <c r="H60">
        <v>2023</v>
      </c>
      <c r="I60" t="s">
        <v>1018</v>
      </c>
      <c r="J60" t="s">
        <v>1034</v>
      </c>
      <c r="K60">
        <v>4</v>
      </c>
    </row>
    <row r="61" spans="1:11" x14ac:dyDescent="0.3">
      <c r="A61" t="s">
        <v>1387</v>
      </c>
      <c r="B61" t="s">
        <v>1041</v>
      </c>
      <c r="C61">
        <v>104</v>
      </c>
      <c r="D61" t="s">
        <v>1038</v>
      </c>
      <c r="E61" s="1">
        <v>45026</v>
      </c>
      <c r="F61">
        <v>68</v>
      </c>
      <c r="G61">
        <v>3.6</v>
      </c>
      <c r="H61">
        <v>2023</v>
      </c>
      <c r="I61" t="s">
        <v>1030</v>
      </c>
      <c r="J61" t="s">
        <v>1019</v>
      </c>
      <c r="K61">
        <v>4</v>
      </c>
    </row>
    <row r="62" spans="1:11" x14ac:dyDescent="0.3">
      <c r="A62" t="s">
        <v>1389</v>
      </c>
      <c r="B62" t="s">
        <v>1065</v>
      </c>
      <c r="C62">
        <v>99</v>
      </c>
      <c r="D62" t="s">
        <v>1038</v>
      </c>
      <c r="E62" s="1">
        <v>45026</v>
      </c>
      <c r="F62">
        <v>42</v>
      </c>
      <c r="G62">
        <v>3.1</v>
      </c>
      <c r="H62">
        <v>2023</v>
      </c>
      <c r="I62" t="s">
        <v>1030</v>
      </c>
      <c r="J62" t="s">
        <v>1019</v>
      </c>
      <c r="K62">
        <v>3</v>
      </c>
    </row>
    <row r="63" spans="1:11" x14ac:dyDescent="0.3">
      <c r="A63" t="s">
        <v>1390</v>
      </c>
      <c r="B63" t="s">
        <v>1041</v>
      </c>
      <c r="C63">
        <v>84</v>
      </c>
      <c r="D63" t="s">
        <v>1038</v>
      </c>
      <c r="E63" s="1">
        <v>45027</v>
      </c>
      <c r="F63">
        <v>38</v>
      </c>
      <c r="G63">
        <v>3.3</v>
      </c>
      <c r="H63">
        <v>2023</v>
      </c>
      <c r="I63" t="s">
        <v>1033</v>
      </c>
      <c r="J63" t="s">
        <v>1019</v>
      </c>
      <c r="K63">
        <v>3</v>
      </c>
    </row>
    <row r="64" spans="1:11" x14ac:dyDescent="0.3">
      <c r="A64" t="s">
        <v>1391</v>
      </c>
      <c r="B64" t="s">
        <v>1068</v>
      </c>
      <c r="C64">
        <v>159</v>
      </c>
      <c r="D64" t="s">
        <v>1038</v>
      </c>
      <c r="E64" s="1">
        <v>45027</v>
      </c>
      <c r="F64">
        <v>42</v>
      </c>
      <c r="G64">
        <v>4.5</v>
      </c>
      <c r="H64">
        <v>2023</v>
      </c>
      <c r="I64" t="s">
        <v>1033</v>
      </c>
      <c r="J64" t="s">
        <v>1031</v>
      </c>
      <c r="K64">
        <v>5</v>
      </c>
    </row>
    <row r="65" spans="1:11" x14ac:dyDescent="0.3">
      <c r="A65" t="s">
        <v>1398</v>
      </c>
      <c r="B65" t="s">
        <v>1045</v>
      </c>
      <c r="C65">
        <v>114</v>
      </c>
      <c r="D65" t="s">
        <v>1038</v>
      </c>
      <c r="E65" s="1">
        <v>45030</v>
      </c>
      <c r="F65">
        <v>126</v>
      </c>
      <c r="G65">
        <v>4.4000000000000004</v>
      </c>
      <c r="H65">
        <v>2023</v>
      </c>
      <c r="I65" t="s">
        <v>411</v>
      </c>
      <c r="J65" t="s">
        <v>1019</v>
      </c>
      <c r="K65">
        <v>4</v>
      </c>
    </row>
    <row r="66" spans="1:11" x14ac:dyDescent="0.3">
      <c r="A66" t="s">
        <v>1399</v>
      </c>
      <c r="B66" t="s">
        <v>1059</v>
      </c>
      <c r="C66">
        <v>67</v>
      </c>
      <c r="D66" t="s">
        <v>1038</v>
      </c>
      <c r="E66" s="1">
        <v>45030</v>
      </c>
      <c r="F66">
        <v>35</v>
      </c>
      <c r="G66">
        <v>3</v>
      </c>
      <c r="H66">
        <v>2023</v>
      </c>
      <c r="I66" t="s">
        <v>411</v>
      </c>
      <c r="J66" t="s">
        <v>1019</v>
      </c>
      <c r="K66">
        <v>3</v>
      </c>
    </row>
    <row r="67" spans="1:11" x14ac:dyDescent="0.3">
      <c r="A67" t="s">
        <v>1413</v>
      </c>
      <c r="B67" t="s">
        <v>1021</v>
      </c>
      <c r="C67">
        <v>21</v>
      </c>
      <c r="D67" t="s">
        <v>1038</v>
      </c>
      <c r="E67" s="1">
        <v>45032</v>
      </c>
      <c r="F67">
        <v>74</v>
      </c>
      <c r="G67">
        <v>4.5999999999999996</v>
      </c>
      <c r="H67">
        <v>2023</v>
      </c>
      <c r="I67" t="s">
        <v>1018</v>
      </c>
      <c r="J67" t="s">
        <v>1056</v>
      </c>
      <c r="K67">
        <v>5</v>
      </c>
    </row>
    <row r="68" spans="1:11" x14ac:dyDescent="0.3">
      <c r="A68" t="s">
        <v>1417</v>
      </c>
      <c r="B68" t="s">
        <v>1041</v>
      </c>
      <c r="C68">
        <v>110</v>
      </c>
      <c r="D68" t="s">
        <v>1038</v>
      </c>
      <c r="E68" s="1">
        <v>45033</v>
      </c>
      <c r="F68">
        <v>21</v>
      </c>
      <c r="G68">
        <v>2.6</v>
      </c>
      <c r="H68">
        <v>2023</v>
      </c>
      <c r="I68" t="s">
        <v>1030</v>
      </c>
      <c r="J68" t="s">
        <v>1019</v>
      </c>
      <c r="K68">
        <v>3</v>
      </c>
    </row>
    <row r="69" spans="1:11" x14ac:dyDescent="0.3">
      <c r="A69" t="s">
        <v>1438</v>
      </c>
      <c r="B69" t="s">
        <v>1065</v>
      </c>
      <c r="C69">
        <v>36</v>
      </c>
      <c r="D69" t="s">
        <v>1038</v>
      </c>
      <c r="E69" s="1">
        <v>45037</v>
      </c>
      <c r="F69">
        <v>81</v>
      </c>
      <c r="G69">
        <v>3.7</v>
      </c>
      <c r="H69">
        <v>2023</v>
      </c>
      <c r="I69" t="s">
        <v>411</v>
      </c>
      <c r="J69" t="s">
        <v>1034</v>
      </c>
      <c r="K69">
        <v>4</v>
      </c>
    </row>
    <row r="70" spans="1:11" x14ac:dyDescent="0.3">
      <c r="A70" t="s">
        <v>1445</v>
      </c>
      <c r="B70" t="s">
        <v>1098</v>
      </c>
      <c r="C70">
        <v>89</v>
      </c>
      <c r="D70" t="s">
        <v>1038</v>
      </c>
      <c r="E70" s="1">
        <v>45038</v>
      </c>
      <c r="F70">
        <v>129</v>
      </c>
      <c r="G70">
        <v>4</v>
      </c>
      <c r="H70">
        <v>2023</v>
      </c>
      <c r="I70" t="s">
        <v>1062</v>
      </c>
      <c r="J70" t="s">
        <v>1019</v>
      </c>
      <c r="K70">
        <v>4</v>
      </c>
    </row>
    <row r="71" spans="1:11" x14ac:dyDescent="0.3">
      <c r="A71" t="s">
        <v>1448</v>
      </c>
      <c r="B71" t="s">
        <v>1026</v>
      </c>
      <c r="C71">
        <v>163</v>
      </c>
      <c r="D71" t="s">
        <v>1038</v>
      </c>
      <c r="E71" s="1">
        <v>45039</v>
      </c>
      <c r="F71">
        <v>62</v>
      </c>
      <c r="G71">
        <v>3.4</v>
      </c>
      <c r="H71">
        <v>2023</v>
      </c>
      <c r="I71" t="s">
        <v>1018</v>
      </c>
      <c r="J71" t="s">
        <v>1031</v>
      </c>
      <c r="K71">
        <v>3</v>
      </c>
    </row>
    <row r="72" spans="1:11" x14ac:dyDescent="0.3">
      <c r="A72" t="s">
        <v>1455</v>
      </c>
      <c r="B72" t="s">
        <v>1098</v>
      </c>
      <c r="C72">
        <v>26</v>
      </c>
      <c r="D72" t="s">
        <v>1038</v>
      </c>
      <c r="E72" s="1">
        <v>45040</v>
      </c>
      <c r="F72">
        <v>43</v>
      </c>
      <c r="G72">
        <v>4.2</v>
      </c>
      <c r="H72">
        <v>2023</v>
      </c>
      <c r="I72" t="s">
        <v>1030</v>
      </c>
      <c r="J72" t="s">
        <v>1056</v>
      </c>
      <c r="K72">
        <v>4</v>
      </c>
    </row>
    <row r="73" spans="1:11" x14ac:dyDescent="0.3">
      <c r="A73" t="s">
        <v>1470</v>
      </c>
      <c r="B73" t="s">
        <v>1016</v>
      </c>
      <c r="C73">
        <v>113</v>
      </c>
      <c r="D73" t="s">
        <v>1038</v>
      </c>
      <c r="E73" s="1">
        <v>45043</v>
      </c>
      <c r="F73">
        <v>42</v>
      </c>
      <c r="G73">
        <v>4.5999999999999996</v>
      </c>
      <c r="H73">
        <v>2023</v>
      </c>
      <c r="I73" t="s">
        <v>1052</v>
      </c>
      <c r="J73" t="s">
        <v>1019</v>
      </c>
      <c r="K73">
        <v>5</v>
      </c>
    </row>
    <row r="74" spans="1:11" x14ac:dyDescent="0.3">
      <c r="A74" t="s">
        <v>1473</v>
      </c>
      <c r="B74" t="s">
        <v>1023</v>
      </c>
      <c r="C74">
        <v>145</v>
      </c>
      <c r="D74" t="s">
        <v>1038</v>
      </c>
      <c r="E74" s="1">
        <v>45044</v>
      </c>
      <c r="F74">
        <v>110</v>
      </c>
      <c r="G74">
        <v>3.1</v>
      </c>
      <c r="H74">
        <v>2023</v>
      </c>
      <c r="I74" t="s">
        <v>411</v>
      </c>
      <c r="J74" t="s">
        <v>1031</v>
      </c>
      <c r="K74">
        <v>3</v>
      </c>
    </row>
    <row r="75" spans="1:11" x14ac:dyDescent="0.3">
      <c r="A75" t="s">
        <v>1477</v>
      </c>
      <c r="B75" t="s">
        <v>1036</v>
      </c>
      <c r="C75">
        <v>81</v>
      </c>
      <c r="D75" t="s">
        <v>1038</v>
      </c>
      <c r="E75" s="1">
        <v>45045</v>
      </c>
      <c r="F75">
        <v>40</v>
      </c>
      <c r="G75">
        <v>2.4</v>
      </c>
      <c r="H75">
        <v>2023</v>
      </c>
      <c r="I75" t="s">
        <v>1062</v>
      </c>
      <c r="J75" t="s">
        <v>1019</v>
      </c>
      <c r="K75">
        <v>2</v>
      </c>
    </row>
    <row r="76" spans="1:11" x14ac:dyDescent="0.3">
      <c r="A76" t="s">
        <v>1480</v>
      </c>
      <c r="B76" t="s">
        <v>1047</v>
      </c>
      <c r="C76">
        <v>95</v>
      </c>
      <c r="D76" t="s">
        <v>1038</v>
      </c>
      <c r="E76" s="1">
        <v>45046</v>
      </c>
      <c r="F76">
        <v>75</v>
      </c>
      <c r="G76">
        <v>4.8</v>
      </c>
      <c r="H76">
        <v>2023</v>
      </c>
      <c r="I76" t="s">
        <v>1018</v>
      </c>
      <c r="J76" t="s">
        <v>1019</v>
      </c>
      <c r="K76">
        <v>5</v>
      </c>
    </row>
    <row r="77" spans="1:11" x14ac:dyDescent="0.3">
      <c r="A77" t="s">
        <v>1481</v>
      </c>
      <c r="B77" t="s">
        <v>1055</v>
      </c>
      <c r="C77">
        <v>81</v>
      </c>
      <c r="D77" t="s">
        <v>1038</v>
      </c>
      <c r="E77" s="1">
        <v>45046</v>
      </c>
      <c r="F77">
        <v>60</v>
      </c>
      <c r="G77">
        <v>3.6</v>
      </c>
      <c r="H77">
        <v>2023</v>
      </c>
      <c r="I77" t="s">
        <v>1018</v>
      </c>
      <c r="J77" t="s">
        <v>1019</v>
      </c>
      <c r="K77">
        <v>4</v>
      </c>
    </row>
    <row r="78" spans="1:11" x14ac:dyDescent="0.3">
      <c r="A78" t="s">
        <v>1488</v>
      </c>
      <c r="B78" t="s">
        <v>1016</v>
      </c>
      <c r="C78">
        <v>135</v>
      </c>
      <c r="D78" t="s">
        <v>1038</v>
      </c>
      <c r="E78" s="1">
        <v>45048</v>
      </c>
      <c r="F78">
        <v>104</v>
      </c>
      <c r="G78">
        <v>4.0999999999999996</v>
      </c>
      <c r="H78">
        <v>2023</v>
      </c>
      <c r="I78" t="s">
        <v>1033</v>
      </c>
      <c r="J78" t="s">
        <v>1031</v>
      </c>
      <c r="K78">
        <v>4</v>
      </c>
    </row>
    <row r="79" spans="1:11" x14ac:dyDescent="0.3">
      <c r="A79" t="s">
        <v>1490</v>
      </c>
      <c r="B79" t="s">
        <v>1023</v>
      </c>
      <c r="C79">
        <v>35</v>
      </c>
      <c r="D79" t="s">
        <v>1038</v>
      </c>
      <c r="E79" s="1">
        <v>45049</v>
      </c>
      <c r="F79">
        <v>215</v>
      </c>
      <c r="G79">
        <v>4.3</v>
      </c>
      <c r="H79">
        <v>2023</v>
      </c>
      <c r="I79" t="s">
        <v>1048</v>
      </c>
      <c r="J79" t="s">
        <v>1034</v>
      </c>
      <c r="K79">
        <v>4</v>
      </c>
    </row>
    <row r="80" spans="1:11" x14ac:dyDescent="0.3">
      <c r="A80" t="s">
        <v>1497</v>
      </c>
      <c r="B80" t="s">
        <v>1047</v>
      </c>
      <c r="C80">
        <v>40</v>
      </c>
      <c r="D80" t="s">
        <v>1038</v>
      </c>
      <c r="E80" s="1">
        <v>45052</v>
      </c>
      <c r="F80">
        <v>108</v>
      </c>
      <c r="G80">
        <v>4.2</v>
      </c>
      <c r="H80">
        <v>2023</v>
      </c>
      <c r="I80" t="s">
        <v>1062</v>
      </c>
      <c r="J80" t="s">
        <v>1034</v>
      </c>
      <c r="K80">
        <v>4</v>
      </c>
    </row>
    <row r="81" spans="1:11" x14ac:dyDescent="0.3">
      <c r="A81" t="s">
        <v>1498</v>
      </c>
      <c r="B81" t="s">
        <v>1098</v>
      </c>
      <c r="C81">
        <v>143</v>
      </c>
      <c r="D81" t="s">
        <v>1038</v>
      </c>
      <c r="E81" s="1">
        <v>45052</v>
      </c>
      <c r="F81">
        <v>54</v>
      </c>
      <c r="G81">
        <v>4.4000000000000004</v>
      </c>
      <c r="H81">
        <v>2023</v>
      </c>
      <c r="I81" t="s">
        <v>1062</v>
      </c>
      <c r="J81" t="s">
        <v>1031</v>
      </c>
      <c r="K81">
        <v>4</v>
      </c>
    </row>
    <row r="82" spans="1:11" x14ac:dyDescent="0.3">
      <c r="A82" t="s">
        <v>1499</v>
      </c>
      <c r="B82" t="s">
        <v>1047</v>
      </c>
      <c r="C82">
        <v>70</v>
      </c>
      <c r="D82" t="s">
        <v>1038</v>
      </c>
      <c r="E82" s="1">
        <v>45053</v>
      </c>
      <c r="F82">
        <v>44</v>
      </c>
      <c r="G82">
        <v>3.5</v>
      </c>
      <c r="H82">
        <v>2023</v>
      </c>
      <c r="I82" t="s">
        <v>1018</v>
      </c>
      <c r="J82" t="s">
        <v>1019</v>
      </c>
      <c r="K82">
        <v>4</v>
      </c>
    </row>
    <row r="83" spans="1:11" x14ac:dyDescent="0.3">
      <c r="A83" t="s">
        <v>1500</v>
      </c>
      <c r="B83" t="s">
        <v>1065</v>
      </c>
      <c r="C83">
        <v>137</v>
      </c>
      <c r="D83" t="s">
        <v>1038</v>
      </c>
      <c r="E83" s="1">
        <v>45053</v>
      </c>
      <c r="F83">
        <v>44</v>
      </c>
      <c r="G83">
        <v>4.7</v>
      </c>
      <c r="H83">
        <v>2023</v>
      </c>
      <c r="I83" t="s">
        <v>1018</v>
      </c>
      <c r="J83" t="s">
        <v>1031</v>
      </c>
      <c r="K83">
        <v>5</v>
      </c>
    </row>
    <row r="84" spans="1:11" x14ac:dyDescent="0.3">
      <c r="A84" t="s">
        <v>1508</v>
      </c>
      <c r="B84" t="s">
        <v>1098</v>
      </c>
      <c r="C84">
        <v>89</v>
      </c>
      <c r="D84" t="s">
        <v>1038</v>
      </c>
      <c r="E84" s="1">
        <v>45056</v>
      </c>
      <c r="F84">
        <v>176</v>
      </c>
      <c r="G84">
        <v>4.5</v>
      </c>
      <c r="H84">
        <v>2023</v>
      </c>
      <c r="I84" t="s">
        <v>1048</v>
      </c>
      <c r="J84" t="s">
        <v>1019</v>
      </c>
      <c r="K84">
        <v>5</v>
      </c>
    </row>
    <row r="85" spans="1:11" x14ac:dyDescent="0.3">
      <c r="A85" t="s">
        <v>1511</v>
      </c>
      <c r="B85" t="s">
        <v>1045</v>
      </c>
      <c r="C85">
        <v>91</v>
      </c>
      <c r="D85" t="s">
        <v>1038</v>
      </c>
      <c r="E85" s="1">
        <v>45058</v>
      </c>
      <c r="F85">
        <v>76</v>
      </c>
      <c r="G85">
        <v>4.9000000000000004</v>
      </c>
      <c r="H85">
        <v>2023</v>
      </c>
      <c r="I85" t="s">
        <v>411</v>
      </c>
      <c r="J85" t="s">
        <v>1019</v>
      </c>
      <c r="K85">
        <v>5</v>
      </c>
    </row>
    <row r="86" spans="1:11" x14ac:dyDescent="0.3">
      <c r="A86" t="s">
        <v>1515</v>
      </c>
      <c r="B86" t="s">
        <v>1023</v>
      </c>
      <c r="C86">
        <v>115</v>
      </c>
      <c r="D86" t="s">
        <v>1038</v>
      </c>
      <c r="E86" s="1">
        <v>45060</v>
      </c>
      <c r="F86">
        <v>168</v>
      </c>
      <c r="G86">
        <v>3.4</v>
      </c>
      <c r="H86">
        <v>2023</v>
      </c>
      <c r="I86" t="s">
        <v>1018</v>
      </c>
      <c r="J86" t="s">
        <v>1019</v>
      </c>
      <c r="K86">
        <v>3</v>
      </c>
    </row>
    <row r="87" spans="1:11" x14ac:dyDescent="0.3">
      <c r="A87" t="s">
        <v>1516</v>
      </c>
      <c r="B87" t="s">
        <v>1036</v>
      </c>
      <c r="C87">
        <v>56</v>
      </c>
      <c r="D87" t="s">
        <v>1038</v>
      </c>
      <c r="E87" s="1">
        <v>45061</v>
      </c>
      <c r="F87">
        <v>200</v>
      </c>
      <c r="G87">
        <v>4.5999999999999996</v>
      </c>
      <c r="H87">
        <v>2023</v>
      </c>
      <c r="I87" t="s">
        <v>1030</v>
      </c>
      <c r="J87" t="s">
        <v>1034</v>
      </c>
      <c r="K87">
        <v>5</v>
      </c>
    </row>
    <row r="88" spans="1:11" x14ac:dyDescent="0.3">
      <c r="A88" t="s">
        <v>1518</v>
      </c>
      <c r="B88" t="s">
        <v>1098</v>
      </c>
      <c r="C88">
        <v>51</v>
      </c>
      <c r="D88" t="s">
        <v>1038</v>
      </c>
      <c r="E88" s="1">
        <v>45062</v>
      </c>
      <c r="F88">
        <v>117</v>
      </c>
      <c r="G88">
        <v>2.7</v>
      </c>
      <c r="H88">
        <v>2023</v>
      </c>
      <c r="I88" t="s">
        <v>1033</v>
      </c>
      <c r="J88" t="s">
        <v>1034</v>
      </c>
      <c r="K88">
        <v>3</v>
      </c>
    </row>
    <row r="89" spans="1:11" x14ac:dyDescent="0.3">
      <c r="A89" t="s">
        <v>1520</v>
      </c>
      <c r="B89" t="s">
        <v>1023</v>
      </c>
      <c r="C89">
        <v>80</v>
      </c>
      <c r="D89" t="s">
        <v>1038</v>
      </c>
      <c r="E89" s="1">
        <v>45063</v>
      </c>
      <c r="F89">
        <v>145</v>
      </c>
      <c r="G89">
        <v>4.9000000000000004</v>
      </c>
      <c r="H89">
        <v>2023</v>
      </c>
      <c r="I89" t="s">
        <v>1048</v>
      </c>
      <c r="J89" t="s">
        <v>1019</v>
      </c>
      <c r="K89">
        <v>5</v>
      </c>
    </row>
    <row r="90" spans="1:11" x14ac:dyDescent="0.3">
      <c r="A90" t="s">
        <v>1523</v>
      </c>
      <c r="B90" t="s">
        <v>1023</v>
      </c>
      <c r="C90">
        <v>88</v>
      </c>
      <c r="D90" t="s">
        <v>1038</v>
      </c>
      <c r="E90" s="1">
        <v>45063</v>
      </c>
      <c r="F90">
        <v>78</v>
      </c>
      <c r="G90">
        <v>4.3</v>
      </c>
      <c r="H90">
        <v>2023</v>
      </c>
      <c r="I90" t="s">
        <v>1048</v>
      </c>
      <c r="J90" t="s">
        <v>1019</v>
      </c>
      <c r="K90">
        <v>4</v>
      </c>
    </row>
    <row r="91" spans="1:11" x14ac:dyDescent="0.3">
      <c r="A91" t="s">
        <v>1530</v>
      </c>
      <c r="B91" t="s">
        <v>1047</v>
      </c>
      <c r="C91">
        <v>76</v>
      </c>
      <c r="D91" t="s">
        <v>1038</v>
      </c>
      <c r="E91" s="1">
        <v>45068</v>
      </c>
      <c r="F91">
        <v>39</v>
      </c>
      <c r="G91">
        <v>4.5999999999999996</v>
      </c>
      <c r="H91">
        <v>2023</v>
      </c>
      <c r="I91" t="s">
        <v>1030</v>
      </c>
      <c r="J91" t="s">
        <v>1019</v>
      </c>
      <c r="K91">
        <v>5</v>
      </c>
    </row>
    <row r="92" spans="1:11" x14ac:dyDescent="0.3">
      <c r="A92" t="s">
        <v>1534</v>
      </c>
      <c r="B92" t="s">
        <v>1026</v>
      </c>
      <c r="C92">
        <v>155</v>
      </c>
      <c r="D92" t="s">
        <v>1038</v>
      </c>
      <c r="E92" s="1">
        <v>45069</v>
      </c>
      <c r="F92">
        <v>37</v>
      </c>
      <c r="G92">
        <v>4</v>
      </c>
      <c r="H92">
        <v>2023</v>
      </c>
      <c r="I92" t="s">
        <v>1033</v>
      </c>
      <c r="J92" t="s">
        <v>1031</v>
      </c>
      <c r="K92">
        <v>4</v>
      </c>
    </row>
    <row r="93" spans="1:11" x14ac:dyDescent="0.3">
      <c r="A93" t="s">
        <v>1535</v>
      </c>
      <c r="B93" t="s">
        <v>1021</v>
      </c>
      <c r="C93">
        <v>117</v>
      </c>
      <c r="D93" t="s">
        <v>1038</v>
      </c>
      <c r="E93" s="1">
        <v>45069</v>
      </c>
      <c r="F93">
        <v>88</v>
      </c>
      <c r="G93">
        <v>4.7</v>
      </c>
      <c r="H93">
        <v>2023</v>
      </c>
      <c r="I93" t="s">
        <v>1033</v>
      </c>
      <c r="J93" t="s">
        <v>1019</v>
      </c>
      <c r="K93">
        <v>5</v>
      </c>
    </row>
    <row r="94" spans="1:11" x14ac:dyDescent="0.3">
      <c r="A94" t="s">
        <v>1536</v>
      </c>
      <c r="B94" t="s">
        <v>1098</v>
      </c>
      <c r="C94">
        <v>63</v>
      </c>
      <c r="D94" t="s">
        <v>1038</v>
      </c>
      <c r="E94" s="1">
        <v>45069</v>
      </c>
      <c r="F94">
        <v>80</v>
      </c>
      <c r="G94">
        <v>2.5</v>
      </c>
      <c r="H94">
        <v>2023</v>
      </c>
      <c r="I94" t="s">
        <v>1033</v>
      </c>
      <c r="J94" t="s">
        <v>1019</v>
      </c>
      <c r="K94">
        <v>3</v>
      </c>
    </row>
    <row r="95" spans="1:11" x14ac:dyDescent="0.3">
      <c r="A95" t="s">
        <v>1540</v>
      </c>
      <c r="B95" t="s">
        <v>1045</v>
      </c>
      <c r="C95">
        <v>151</v>
      </c>
      <c r="D95" t="s">
        <v>1038</v>
      </c>
      <c r="E95" s="1">
        <v>45071</v>
      </c>
      <c r="F95">
        <v>123</v>
      </c>
      <c r="G95">
        <v>3.7</v>
      </c>
      <c r="H95">
        <v>2023</v>
      </c>
      <c r="I95" t="s">
        <v>1052</v>
      </c>
      <c r="J95" t="s">
        <v>1031</v>
      </c>
      <c r="K95">
        <v>4</v>
      </c>
    </row>
    <row r="96" spans="1:11" x14ac:dyDescent="0.3">
      <c r="A96" t="s">
        <v>1545</v>
      </c>
      <c r="B96" t="s">
        <v>1055</v>
      </c>
      <c r="C96">
        <v>117</v>
      </c>
      <c r="D96" t="s">
        <v>1038</v>
      </c>
      <c r="E96" s="1">
        <v>45071</v>
      </c>
      <c r="F96">
        <v>40</v>
      </c>
      <c r="G96">
        <v>4</v>
      </c>
      <c r="H96">
        <v>2023</v>
      </c>
      <c r="I96" t="s">
        <v>1052</v>
      </c>
      <c r="J96" t="s">
        <v>1019</v>
      </c>
      <c r="K96">
        <v>4</v>
      </c>
    </row>
    <row r="97" spans="1:11" x14ac:dyDescent="0.3">
      <c r="A97" t="s">
        <v>1551</v>
      </c>
      <c r="B97" t="s">
        <v>1078</v>
      </c>
      <c r="C97">
        <v>104</v>
      </c>
      <c r="D97" t="s">
        <v>1038</v>
      </c>
      <c r="E97" s="1">
        <v>45073</v>
      </c>
      <c r="F97">
        <v>56</v>
      </c>
      <c r="G97">
        <v>3.4</v>
      </c>
      <c r="H97">
        <v>2023</v>
      </c>
      <c r="I97" t="s">
        <v>1062</v>
      </c>
      <c r="J97" t="s">
        <v>1019</v>
      </c>
      <c r="K97">
        <v>3</v>
      </c>
    </row>
    <row r="98" spans="1:11" x14ac:dyDescent="0.3">
      <c r="A98" t="s">
        <v>1552</v>
      </c>
      <c r="B98" t="s">
        <v>1078</v>
      </c>
      <c r="C98">
        <v>101</v>
      </c>
      <c r="D98" t="s">
        <v>1038</v>
      </c>
      <c r="E98" s="1">
        <v>45073</v>
      </c>
      <c r="F98">
        <v>185</v>
      </c>
      <c r="G98">
        <v>5</v>
      </c>
      <c r="H98">
        <v>2023</v>
      </c>
      <c r="I98" t="s">
        <v>1062</v>
      </c>
      <c r="J98" t="s">
        <v>1019</v>
      </c>
      <c r="K98">
        <v>5</v>
      </c>
    </row>
    <row r="99" spans="1:11" x14ac:dyDescent="0.3">
      <c r="A99" t="s">
        <v>1556</v>
      </c>
      <c r="B99" t="s">
        <v>1028</v>
      </c>
      <c r="C99">
        <v>98</v>
      </c>
      <c r="D99" t="s">
        <v>1038</v>
      </c>
      <c r="E99" s="1">
        <v>45075</v>
      </c>
      <c r="F99">
        <v>35</v>
      </c>
      <c r="G99">
        <v>4.5</v>
      </c>
      <c r="H99">
        <v>2023</v>
      </c>
      <c r="I99" t="s">
        <v>1030</v>
      </c>
      <c r="J99" t="s">
        <v>1019</v>
      </c>
      <c r="K99">
        <v>5</v>
      </c>
    </row>
    <row r="100" spans="1:11" x14ac:dyDescent="0.3">
      <c r="A100" t="s">
        <v>1583</v>
      </c>
      <c r="B100" t="s">
        <v>1098</v>
      </c>
      <c r="C100">
        <v>111</v>
      </c>
      <c r="D100" t="s">
        <v>1038</v>
      </c>
      <c r="E100" s="1">
        <v>45088</v>
      </c>
      <c r="F100">
        <v>22</v>
      </c>
      <c r="G100">
        <v>4.0999999999999996</v>
      </c>
      <c r="H100">
        <v>2023</v>
      </c>
      <c r="I100" t="s">
        <v>1018</v>
      </c>
      <c r="J100" t="s">
        <v>1019</v>
      </c>
      <c r="K100">
        <v>4</v>
      </c>
    </row>
    <row r="101" spans="1:11" x14ac:dyDescent="0.3">
      <c r="A101" t="s">
        <v>1592</v>
      </c>
      <c r="B101" t="s">
        <v>1068</v>
      </c>
      <c r="C101">
        <v>78</v>
      </c>
      <c r="D101" t="s">
        <v>1038</v>
      </c>
      <c r="E101" s="1">
        <v>45092</v>
      </c>
      <c r="F101">
        <v>28</v>
      </c>
      <c r="G101">
        <v>3.9</v>
      </c>
      <c r="H101">
        <v>2023</v>
      </c>
      <c r="I101" t="s">
        <v>1052</v>
      </c>
      <c r="J101" t="s">
        <v>1019</v>
      </c>
      <c r="K101">
        <v>4</v>
      </c>
    </row>
    <row r="102" spans="1:11" x14ac:dyDescent="0.3">
      <c r="A102" t="s">
        <v>1598</v>
      </c>
      <c r="B102" t="s">
        <v>1016</v>
      </c>
      <c r="C102">
        <v>106</v>
      </c>
      <c r="D102" t="s">
        <v>1038</v>
      </c>
      <c r="E102" s="1">
        <v>45094</v>
      </c>
      <c r="F102">
        <v>112</v>
      </c>
      <c r="G102">
        <v>3.7</v>
      </c>
      <c r="H102">
        <v>2023</v>
      </c>
      <c r="I102" t="s">
        <v>1062</v>
      </c>
      <c r="J102" t="s">
        <v>1019</v>
      </c>
      <c r="K102">
        <v>4</v>
      </c>
    </row>
    <row r="103" spans="1:11" x14ac:dyDescent="0.3">
      <c r="A103" t="s">
        <v>1600</v>
      </c>
      <c r="B103" t="s">
        <v>1041</v>
      </c>
      <c r="C103">
        <v>85</v>
      </c>
      <c r="D103" t="s">
        <v>1038</v>
      </c>
      <c r="E103" s="1">
        <v>45095</v>
      </c>
      <c r="F103">
        <v>38</v>
      </c>
      <c r="G103">
        <v>4.8</v>
      </c>
      <c r="H103">
        <v>2023</v>
      </c>
      <c r="I103" t="s">
        <v>1018</v>
      </c>
      <c r="J103" t="s">
        <v>1019</v>
      </c>
      <c r="K103">
        <v>5</v>
      </c>
    </row>
    <row r="104" spans="1:11" x14ac:dyDescent="0.3">
      <c r="A104" t="s">
        <v>1603</v>
      </c>
      <c r="B104" t="s">
        <v>1098</v>
      </c>
      <c r="C104">
        <v>136</v>
      </c>
      <c r="D104" t="s">
        <v>1038</v>
      </c>
      <c r="E104" s="1">
        <v>45097</v>
      </c>
      <c r="F104">
        <v>37</v>
      </c>
      <c r="G104">
        <v>0.9</v>
      </c>
      <c r="H104">
        <v>2023</v>
      </c>
      <c r="I104" t="s">
        <v>1033</v>
      </c>
      <c r="J104" t="s">
        <v>1031</v>
      </c>
      <c r="K104">
        <v>1</v>
      </c>
    </row>
    <row r="105" spans="1:11" x14ac:dyDescent="0.3">
      <c r="A105" t="s">
        <v>1615</v>
      </c>
      <c r="B105" t="s">
        <v>1055</v>
      </c>
      <c r="C105">
        <v>100</v>
      </c>
      <c r="D105" t="s">
        <v>1038</v>
      </c>
      <c r="E105" s="1">
        <v>45101</v>
      </c>
      <c r="F105">
        <v>69</v>
      </c>
      <c r="G105">
        <v>3</v>
      </c>
      <c r="H105">
        <v>2023</v>
      </c>
      <c r="I105" t="s">
        <v>1062</v>
      </c>
      <c r="J105" t="s">
        <v>1019</v>
      </c>
      <c r="K105">
        <v>3</v>
      </c>
    </row>
    <row r="106" spans="1:11" x14ac:dyDescent="0.3">
      <c r="A106" t="s">
        <v>1623</v>
      </c>
      <c r="B106" t="s">
        <v>1021</v>
      </c>
      <c r="C106">
        <v>132</v>
      </c>
      <c r="D106" t="s">
        <v>1038</v>
      </c>
      <c r="E106" s="1">
        <v>45104</v>
      </c>
      <c r="F106">
        <v>42</v>
      </c>
      <c r="G106">
        <v>5</v>
      </c>
      <c r="H106">
        <v>2023</v>
      </c>
      <c r="I106" t="s">
        <v>1033</v>
      </c>
      <c r="J106" t="s">
        <v>1031</v>
      </c>
      <c r="K106">
        <v>5</v>
      </c>
    </row>
    <row r="107" spans="1:11" x14ac:dyDescent="0.3">
      <c r="A107" t="s">
        <v>1625</v>
      </c>
      <c r="B107" t="s">
        <v>1055</v>
      </c>
      <c r="C107">
        <v>135</v>
      </c>
      <c r="D107" t="s">
        <v>1038</v>
      </c>
      <c r="E107" s="1">
        <v>45104</v>
      </c>
      <c r="F107">
        <v>60</v>
      </c>
      <c r="G107">
        <v>4.3</v>
      </c>
      <c r="H107">
        <v>2023</v>
      </c>
      <c r="I107" t="s">
        <v>1033</v>
      </c>
      <c r="J107" t="s">
        <v>1031</v>
      </c>
      <c r="K107">
        <v>4</v>
      </c>
    </row>
    <row r="108" spans="1:11" x14ac:dyDescent="0.3">
      <c r="A108" t="s">
        <v>1629</v>
      </c>
      <c r="B108" t="s">
        <v>1041</v>
      </c>
      <c r="C108">
        <v>102</v>
      </c>
      <c r="D108" t="s">
        <v>1038</v>
      </c>
      <c r="E108" s="1">
        <v>45106</v>
      </c>
      <c r="F108">
        <v>99</v>
      </c>
      <c r="G108">
        <v>3.2</v>
      </c>
      <c r="H108">
        <v>2023</v>
      </c>
      <c r="I108" t="s">
        <v>1052</v>
      </c>
      <c r="J108" t="s">
        <v>1019</v>
      </c>
      <c r="K108">
        <v>3</v>
      </c>
    </row>
    <row r="109" spans="1:11" x14ac:dyDescent="0.3">
      <c r="A109" t="s">
        <v>1630</v>
      </c>
      <c r="B109" t="s">
        <v>1045</v>
      </c>
      <c r="C109">
        <v>60</v>
      </c>
      <c r="D109" t="s">
        <v>1038</v>
      </c>
      <c r="E109" s="1">
        <v>45107</v>
      </c>
      <c r="F109">
        <v>66</v>
      </c>
      <c r="G109">
        <v>3.2</v>
      </c>
      <c r="H109">
        <v>2023</v>
      </c>
      <c r="I109" t="s">
        <v>411</v>
      </c>
      <c r="J109" t="s">
        <v>1034</v>
      </c>
      <c r="K109">
        <v>3</v>
      </c>
    </row>
    <row r="110" spans="1:11" x14ac:dyDescent="0.3">
      <c r="A110" t="s">
        <v>1631</v>
      </c>
      <c r="B110" t="s">
        <v>1026</v>
      </c>
      <c r="C110">
        <v>103</v>
      </c>
      <c r="D110" t="s">
        <v>1038</v>
      </c>
      <c r="E110" s="1">
        <v>45107</v>
      </c>
      <c r="F110">
        <v>102</v>
      </c>
      <c r="G110">
        <v>4.5</v>
      </c>
      <c r="H110">
        <v>2023</v>
      </c>
      <c r="I110" t="s">
        <v>411</v>
      </c>
      <c r="J110" t="s">
        <v>1019</v>
      </c>
      <c r="K110">
        <v>5</v>
      </c>
    </row>
    <row r="111" spans="1:11" x14ac:dyDescent="0.3">
      <c r="A111" t="s">
        <v>1633</v>
      </c>
      <c r="B111" t="s">
        <v>1068</v>
      </c>
      <c r="C111">
        <v>88</v>
      </c>
      <c r="D111" t="s">
        <v>1038</v>
      </c>
      <c r="E111" s="1">
        <v>45108</v>
      </c>
      <c r="F111">
        <v>80</v>
      </c>
      <c r="G111">
        <v>4.2</v>
      </c>
      <c r="H111">
        <v>2024</v>
      </c>
      <c r="I111" t="s">
        <v>1062</v>
      </c>
      <c r="J111" t="s">
        <v>1019</v>
      </c>
      <c r="K111">
        <v>4</v>
      </c>
    </row>
    <row r="112" spans="1:11" x14ac:dyDescent="0.3">
      <c r="A112" t="s">
        <v>1634</v>
      </c>
      <c r="B112" t="s">
        <v>1026</v>
      </c>
      <c r="C112">
        <v>37</v>
      </c>
      <c r="D112" t="s">
        <v>1038</v>
      </c>
      <c r="E112" s="1">
        <v>45108</v>
      </c>
      <c r="F112">
        <v>54</v>
      </c>
      <c r="G112">
        <v>1.8</v>
      </c>
      <c r="H112">
        <v>2024</v>
      </c>
      <c r="I112" t="s">
        <v>1062</v>
      </c>
      <c r="J112" t="s">
        <v>1034</v>
      </c>
      <c r="K112">
        <v>2</v>
      </c>
    </row>
    <row r="113" spans="1:11" x14ac:dyDescent="0.3">
      <c r="A113" t="s">
        <v>1639</v>
      </c>
      <c r="B113" t="s">
        <v>1059</v>
      </c>
      <c r="C113">
        <v>139</v>
      </c>
      <c r="D113" t="s">
        <v>1038</v>
      </c>
      <c r="E113" s="1">
        <v>45109</v>
      </c>
      <c r="F113">
        <v>81</v>
      </c>
      <c r="G113">
        <v>4.4000000000000004</v>
      </c>
      <c r="H113">
        <v>2024</v>
      </c>
      <c r="I113" t="s">
        <v>1018</v>
      </c>
      <c r="J113" t="s">
        <v>1031</v>
      </c>
      <c r="K113">
        <v>4</v>
      </c>
    </row>
    <row r="114" spans="1:11" x14ac:dyDescent="0.3">
      <c r="A114" t="s">
        <v>1642</v>
      </c>
      <c r="B114" t="s">
        <v>1041</v>
      </c>
      <c r="C114">
        <v>68</v>
      </c>
      <c r="D114" t="s">
        <v>1038</v>
      </c>
      <c r="E114" s="1">
        <v>45112</v>
      </c>
      <c r="F114">
        <v>41</v>
      </c>
      <c r="G114">
        <v>3.1</v>
      </c>
      <c r="H114">
        <v>2024</v>
      </c>
      <c r="I114" t="s">
        <v>1048</v>
      </c>
      <c r="J114" t="s">
        <v>1019</v>
      </c>
      <c r="K114">
        <v>3</v>
      </c>
    </row>
    <row r="115" spans="1:11" x14ac:dyDescent="0.3">
      <c r="A115" t="s">
        <v>1643</v>
      </c>
      <c r="B115" t="s">
        <v>1028</v>
      </c>
      <c r="C115">
        <v>128</v>
      </c>
      <c r="D115" t="s">
        <v>1038</v>
      </c>
      <c r="E115" s="1">
        <v>45112</v>
      </c>
      <c r="F115">
        <v>116</v>
      </c>
      <c r="G115">
        <v>2.2999999999999998</v>
      </c>
      <c r="H115">
        <v>2024</v>
      </c>
      <c r="I115" t="s">
        <v>1048</v>
      </c>
      <c r="J115" t="s">
        <v>1031</v>
      </c>
      <c r="K115">
        <v>2</v>
      </c>
    </row>
    <row r="116" spans="1:11" x14ac:dyDescent="0.3">
      <c r="A116" t="s">
        <v>1647</v>
      </c>
      <c r="B116" t="s">
        <v>1026</v>
      </c>
      <c r="C116">
        <v>107</v>
      </c>
      <c r="D116" t="s">
        <v>1038</v>
      </c>
      <c r="E116" s="1">
        <v>45114</v>
      </c>
      <c r="F116">
        <v>20</v>
      </c>
      <c r="G116">
        <v>4.5</v>
      </c>
      <c r="H116">
        <v>2024</v>
      </c>
      <c r="I116" t="s">
        <v>411</v>
      </c>
      <c r="J116" t="s">
        <v>1019</v>
      </c>
      <c r="K116">
        <v>5</v>
      </c>
    </row>
    <row r="117" spans="1:11" x14ac:dyDescent="0.3">
      <c r="A117" t="s">
        <v>1652</v>
      </c>
      <c r="B117" t="s">
        <v>1047</v>
      </c>
      <c r="C117">
        <v>52</v>
      </c>
      <c r="D117" t="s">
        <v>1038</v>
      </c>
      <c r="E117" s="1">
        <v>45115</v>
      </c>
      <c r="F117">
        <v>42</v>
      </c>
      <c r="G117">
        <v>4.8</v>
      </c>
      <c r="H117">
        <v>2024</v>
      </c>
      <c r="I117" t="s">
        <v>1062</v>
      </c>
      <c r="J117" t="s">
        <v>1034</v>
      </c>
      <c r="K117">
        <v>5</v>
      </c>
    </row>
    <row r="118" spans="1:11" x14ac:dyDescent="0.3">
      <c r="A118" t="s">
        <v>1660</v>
      </c>
      <c r="B118" t="s">
        <v>1059</v>
      </c>
      <c r="C118">
        <v>114</v>
      </c>
      <c r="D118" t="s">
        <v>1038</v>
      </c>
      <c r="E118" s="1">
        <v>45119</v>
      </c>
      <c r="F118">
        <v>114</v>
      </c>
      <c r="G118">
        <v>3.9</v>
      </c>
      <c r="H118">
        <v>2024</v>
      </c>
      <c r="I118" t="s">
        <v>1048</v>
      </c>
      <c r="J118" t="s">
        <v>1019</v>
      </c>
      <c r="K118">
        <v>4</v>
      </c>
    </row>
    <row r="119" spans="1:11" x14ac:dyDescent="0.3">
      <c r="A119" t="s">
        <v>1665</v>
      </c>
      <c r="B119" t="s">
        <v>1023</v>
      </c>
      <c r="C119">
        <v>111</v>
      </c>
      <c r="D119" t="s">
        <v>1038</v>
      </c>
      <c r="E119" s="1">
        <v>45122</v>
      </c>
      <c r="F119">
        <v>126</v>
      </c>
      <c r="G119">
        <v>4.2</v>
      </c>
      <c r="H119">
        <v>2024</v>
      </c>
      <c r="I119" t="s">
        <v>1062</v>
      </c>
      <c r="J119" t="s">
        <v>1019</v>
      </c>
      <c r="K119">
        <v>4</v>
      </c>
    </row>
    <row r="120" spans="1:11" x14ac:dyDescent="0.3">
      <c r="A120" t="s">
        <v>1669</v>
      </c>
      <c r="B120" t="s">
        <v>1055</v>
      </c>
      <c r="C120">
        <v>123</v>
      </c>
      <c r="D120" t="s">
        <v>1038</v>
      </c>
      <c r="E120" s="1">
        <v>45124</v>
      </c>
      <c r="F120">
        <v>80</v>
      </c>
      <c r="G120">
        <v>2.7</v>
      </c>
      <c r="H120">
        <v>2024</v>
      </c>
      <c r="I120" t="s">
        <v>1030</v>
      </c>
      <c r="J120" t="s">
        <v>1031</v>
      </c>
      <c r="K120">
        <v>3</v>
      </c>
    </row>
    <row r="121" spans="1:11" x14ac:dyDescent="0.3">
      <c r="A121" t="s">
        <v>1670</v>
      </c>
      <c r="B121" t="s">
        <v>1068</v>
      </c>
      <c r="C121">
        <v>105</v>
      </c>
      <c r="D121" t="s">
        <v>1038</v>
      </c>
      <c r="E121" s="1">
        <v>45125</v>
      </c>
      <c r="F121">
        <v>176</v>
      </c>
      <c r="G121">
        <v>4.7</v>
      </c>
      <c r="H121">
        <v>2024</v>
      </c>
      <c r="I121" t="s">
        <v>1033</v>
      </c>
      <c r="J121" t="s">
        <v>1019</v>
      </c>
      <c r="K121">
        <v>5</v>
      </c>
    </row>
    <row r="122" spans="1:11" x14ac:dyDescent="0.3">
      <c r="A122" t="s">
        <v>1675</v>
      </c>
      <c r="B122" t="s">
        <v>1021</v>
      </c>
      <c r="C122">
        <v>56</v>
      </c>
      <c r="D122" t="s">
        <v>1038</v>
      </c>
      <c r="E122" s="1">
        <v>45127</v>
      </c>
      <c r="F122">
        <v>27</v>
      </c>
      <c r="G122">
        <v>4.3</v>
      </c>
      <c r="H122">
        <v>2024</v>
      </c>
      <c r="I122" t="s">
        <v>1052</v>
      </c>
      <c r="J122" t="s">
        <v>1034</v>
      </c>
      <c r="K122">
        <v>4</v>
      </c>
    </row>
    <row r="123" spans="1:11" x14ac:dyDescent="0.3">
      <c r="A123" t="s">
        <v>1677</v>
      </c>
      <c r="B123" t="s">
        <v>1055</v>
      </c>
      <c r="C123">
        <v>41</v>
      </c>
      <c r="D123" t="s">
        <v>1038</v>
      </c>
      <c r="E123" s="1">
        <v>45128</v>
      </c>
      <c r="F123">
        <v>112</v>
      </c>
      <c r="G123">
        <v>2.2999999999999998</v>
      </c>
      <c r="H123">
        <v>2024</v>
      </c>
      <c r="I123" t="s">
        <v>411</v>
      </c>
      <c r="J123" t="s">
        <v>1034</v>
      </c>
      <c r="K123">
        <v>2</v>
      </c>
    </row>
    <row r="124" spans="1:11" x14ac:dyDescent="0.3">
      <c r="A124" t="s">
        <v>1688</v>
      </c>
      <c r="B124" t="s">
        <v>1023</v>
      </c>
      <c r="C124">
        <v>106</v>
      </c>
      <c r="D124" t="s">
        <v>1038</v>
      </c>
      <c r="E124" s="1">
        <v>45135</v>
      </c>
      <c r="F124">
        <v>105</v>
      </c>
      <c r="G124">
        <v>4.2</v>
      </c>
      <c r="H124">
        <v>2024</v>
      </c>
      <c r="I124" t="s">
        <v>411</v>
      </c>
      <c r="J124" t="s">
        <v>1019</v>
      </c>
      <c r="K124">
        <v>4</v>
      </c>
    </row>
    <row r="125" spans="1:11" x14ac:dyDescent="0.3">
      <c r="A125" t="s">
        <v>1689</v>
      </c>
      <c r="B125" t="s">
        <v>1016</v>
      </c>
      <c r="C125">
        <v>107</v>
      </c>
      <c r="D125" t="s">
        <v>1038</v>
      </c>
      <c r="E125" s="1">
        <v>45136</v>
      </c>
      <c r="F125">
        <v>78</v>
      </c>
      <c r="G125">
        <v>3.4</v>
      </c>
      <c r="H125">
        <v>2024</v>
      </c>
      <c r="I125" t="s">
        <v>1062</v>
      </c>
      <c r="J125" t="s">
        <v>1019</v>
      </c>
      <c r="K125">
        <v>3</v>
      </c>
    </row>
    <row r="126" spans="1:11" x14ac:dyDescent="0.3">
      <c r="A126" t="s">
        <v>1690</v>
      </c>
      <c r="B126" t="s">
        <v>1078</v>
      </c>
      <c r="C126">
        <v>78</v>
      </c>
      <c r="D126" t="s">
        <v>1038</v>
      </c>
      <c r="E126" s="1">
        <v>45138</v>
      </c>
      <c r="F126">
        <v>205</v>
      </c>
      <c r="G126">
        <v>4.4000000000000004</v>
      </c>
      <c r="H126">
        <v>2024</v>
      </c>
      <c r="I126" t="s">
        <v>1030</v>
      </c>
      <c r="J126" t="s">
        <v>1019</v>
      </c>
      <c r="K126">
        <v>4</v>
      </c>
    </row>
    <row r="127" spans="1:11" x14ac:dyDescent="0.3">
      <c r="A127" t="s">
        <v>1691</v>
      </c>
      <c r="B127" t="s">
        <v>1047</v>
      </c>
      <c r="C127">
        <v>122</v>
      </c>
      <c r="D127" t="s">
        <v>1038</v>
      </c>
      <c r="E127" s="1">
        <v>45138</v>
      </c>
      <c r="F127">
        <v>78</v>
      </c>
      <c r="G127">
        <v>2.7</v>
      </c>
      <c r="H127">
        <v>2024</v>
      </c>
      <c r="I127" t="s">
        <v>1030</v>
      </c>
      <c r="J127" t="s">
        <v>1031</v>
      </c>
      <c r="K127">
        <v>3</v>
      </c>
    </row>
    <row r="128" spans="1:11" x14ac:dyDescent="0.3">
      <c r="A128" t="s">
        <v>1701</v>
      </c>
      <c r="B128" t="s">
        <v>1045</v>
      </c>
      <c r="C128">
        <v>144</v>
      </c>
      <c r="D128" t="s">
        <v>1038</v>
      </c>
      <c r="E128" s="1">
        <v>45142</v>
      </c>
      <c r="F128">
        <v>195</v>
      </c>
      <c r="G128">
        <v>3.4</v>
      </c>
      <c r="H128">
        <v>2024</v>
      </c>
      <c r="I128" t="s">
        <v>411</v>
      </c>
      <c r="J128" t="s">
        <v>1031</v>
      </c>
      <c r="K128">
        <v>3</v>
      </c>
    </row>
    <row r="129" spans="1:11" x14ac:dyDescent="0.3">
      <c r="A129" t="s">
        <v>1703</v>
      </c>
      <c r="B129" t="s">
        <v>1045</v>
      </c>
      <c r="C129">
        <v>132</v>
      </c>
      <c r="D129" t="s">
        <v>1038</v>
      </c>
      <c r="E129" s="1">
        <v>45144</v>
      </c>
      <c r="F129">
        <v>195</v>
      </c>
      <c r="G129">
        <v>4.9000000000000004</v>
      </c>
      <c r="H129">
        <v>2024</v>
      </c>
      <c r="I129" t="s">
        <v>1018</v>
      </c>
      <c r="J129" t="s">
        <v>1031</v>
      </c>
      <c r="K129">
        <v>5</v>
      </c>
    </row>
    <row r="130" spans="1:11" x14ac:dyDescent="0.3">
      <c r="A130" t="s">
        <v>1713</v>
      </c>
      <c r="B130" t="s">
        <v>1059</v>
      </c>
      <c r="C130">
        <v>134</v>
      </c>
      <c r="D130" t="s">
        <v>1038</v>
      </c>
      <c r="E130" s="1">
        <v>45151</v>
      </c>
      <c r="F130">
        <v>160</v>
      </c>
      <c r="G130">
        <v>4.7</v>
      </c>
      <c r="H130">
        <v>2024</v>
      </c>
      <c r="I130" t="s">
        <v>1018</v>
      </c>
      <c r="J130" t="s">
        <v>1031</v>
      </c>
      <c r="K130">
        <v>5</v>
      </c>
    </row>
    <row r="131" spans="1:11" x14ac:dyDescent="0.3">
      <c r="A131" t="s">
        <v>1717</v>
      </c>
      <c r="B131" t="s">
        <v>1041</v>
      </c>
      <c r="C131">
        <v>89</v>
      </c>
      <c r="D131" t="s">
        <v>1038</v>
      </c>
      <c r="E131" s="1">
        <v>45156</v>
      </c>
      <c r="F131">
        <v>164</v>
      </c>
      <c r="G131">
        <v>4.5</v>
      </c>
      <c r="H131">
        <v>2024</v>
      </c>
      <c r="I131" t="s">
        <v>411</v>
      </c>
      <c r="J131" t="s">
        <v>1019</v>
      </c>
      <c r="K131">
        <v>5</v>
      </c>
    </row>
    <row r="132" spans="1:11" x14ac:dyDescent="0.3">
      <c r="A132" t="s">
        <v>1719</v>
      </c>
      <c r="B132" t="s">
        <v>1041</v>
      </c>
      <c r="C132">
        <v>66</v>
      </c>
      <c r="D132" t="s">
        <v>1038</v>
      </c>
      <c r="E132" s="1">
        <v>45157</v>
      </c>
      <c r="F132">
        <v>120</v>
      </c>
      <c r="G132">
        <v>4.5</v>
      </c>
      <c r="H132">
        <v>2024</v>
      </c>
      <c r="I132" t="s">
        <v>1062</v>
      </c>
      <c r="J132" t="s">
        <v>1019</v>
      </c>
      <c r="K132">
        <v>5</v>
      </c>
    </row>
    <row r="133" spans="1:11" x14ac:dyDescent="0.3">
      <c r="A133" t="s">
        <v>1726</v>
      </c>
      <c r="B133" t="s">
        <v>1078</v>
      </c>
      <c r="C133">
        <v>116</v>
      </c>
      <c r="D133" t="s">
        <v>1038</v>
      </c>
      <c r="E133" s="1">
        <v>45159</v>
      </c>
      <c r="F133">
        <v>44</v>
      </c>
      <c r="G133">
        <v>3.8</v>
      </c>
      <c r="H133">
        <v>2024</v>
      </c>
      <c r="I133" t="s">
        <v>1030</v>
      </c>
      <c r="J133" t="s">
        <v>1019</v>
      </c>
      <c r="K133">
        <v>4</v>
      </c>
    </row>
    <row r="134" spans="1:11" x14ac:dyDescent="0.3">
      <c r="A134" t="s">
        <v>1727</v>
      </c>
      <c r="B134" t="s">
        <v>1026</v>
      </c>
      <c r="C134">
        <v>111</v>
      </c>
      <c r="D134" t="s">
        <v>1038</v>
      </c>
      <c r="E134" s="1">
        <v>45161</v>
      </c>
      <c r="F134">
        <v>120</v>
      </c>
      <c r="G134">
        <v>1.8</v>
      </c>
      <c r="H134">
        <v>2024</v>
      </c>
      <c r="I134" t="s">
        <v>1048</v>
      </c>
      <c r="J134" t="s">
        <v>1019</v>
      </c>
      <c r="K134">
        <v>2</v>
      </c>
    </row>
    <row r="135" spans="1:11" x14ac:dyDescent="0.3">
      <c r="A135" t="s">
        <v>1728</v>
      </c>
      <c r="B135" t="s">
        <v>1028</v>
      </c>
      <c r="C135">
        <v>15</v>
      </c>
      <c r="D135" t="s">
        <v>1038</v>
      </c>
      <c r="E135" s="1">
        <v>45161</v>
      </c>
      <c r="F135">
        <v>120</v>
      </c>
      <c r="G135">
        <v>4.0999999999999996</v>
      </c>
      <c r="H135">
        <v>2024</v>
      </c>
      <c r="I135" t="s">
        <v>1048</v>
      </c>
      <c r="J135" t="s">
        <v>1056</v>
      </c>
      <c r="K135">
        <v>4</v>
      </c>
    </row>
    <row r="136" spans="1:11" x14ac:dyDescent="0.3">
      <c r="A136" t="s">
        <v>1731</v>
      </c>
      <c r="B136" t="s">
        <v>1068</v>
      </c>
      <c r="C136">
        <v>73</v>
      </c>
      <c r="D136" t="s">
        <v>1038</v>
      </c>
      <c r="E136" s="1">
        <v>45163</v>
      </c>
      <c r="F136">
        <v>44</v>
      </c>
      <c r="G136">
        <v>3.8</v>
      </c>
      <c r="H136">
        <v>2024</v>
      </c>
      <c r="I136" t="s">
        <v>411</v>
      </c>
      <c r="J136" t="s">
        <v>1019</v>
      </c>
      <c r="K136">
        <v>4</v>
      </c>
    </row>
    <row r="137" spans="1:11" x14ac:dyDescent="0.3">
      <c r="A137" t="s">
        <v>1735</v>
      </c>
      <c r="B137" t="s">
        <v>1036</v>
      </c>
      <c r="C137">
        <v>104</v>
      </c>
      <c r="D137" t="s">
        <v>1038</v>
      </c>
      <c r="E137" s="1">
        <v>45164</v>
      </c>
      <c r="F137">
        <v>66</v>
      </c>
      <c r="G137">
        <v>4.8</v>
      </c>
      <c r="H137">
        <v>2024</v>
      </c>
      <c r="I137" t="s">
        <v>1062</v>
      </c>
      <c r="J137" t="s">
        <v>1019</v>
      </c>
      <c r="K137">
        <v>5</v>
      </c>
    </row>
    <row r="138" spans="1:11" x14ac:dyDescent="0.3">
      <c r="A138" t="s">
        <v>1738</v>
      </c>
      <c r="B138" t="s">
        <v>1028</v>
      </c>
      <c r="C138">
        <v>49</v>
      </c>
      <c r="D138" t="s">
        <v>1038</v>
      </c>
      <c r="E138" s="1">
        <v>45165</v>
      </c>
      <c r="F138">
        <v>105</v>
      </c>
      <c r="G138">
        <v>3.3</v>
      </c>
      <c r="H138">
        <v>2024</v>
      </c>
      <c r="I138" t="s">
        <v>1018</v>
      </c>
      <c r="J138" t="s">
        <v>1034</v>
      </c>
      <c r="K138">
        <v>3</v>
      </c>
    </row>
    <row r="139" spans="1:11" x14ac:dyDescent="0.3">
      <c r="A139" t="s">
        <v>1739</v>
      </c>
      <c r="B139" t="s">
        <v>1078</v>
      </c>
      <c r="C139">
        <v>73</v>
      </c>
      <c r="D139" t="s">
        <v>1038</v>
      </c>
      <c r="E139" s="1">
        <v>45165</v>
      </c>
      <c r="F139">
        <v>100</v>
      </c>
      <c r="G139">
        <v>2.8</v>
      </c>
      <c r="H139">
        <v>2024</v>
      </c>
      <c r="I139" t="s">
        <v>1018</v>
      </c>
      <c r="J139" t="s">
        <v>1019</v>
      </c>
      <c r="K139">
        <v>3</v>
      </c>
    </row>
    <row r="140" spans="1:11" x14ac:dyDescent="0.3">
      <c r="A140" t="s">
        <v>1748</v>
      </c>
      <c r="B140" t="s">
        <v>1041</v>
      </c>
      <c r="C140">
        <v>96</v>
      </c>
      <c r="D140" t="s">
        <v>1038</v>
      </c>
      <c r="E140" s="1">
        <v>45170</v>
      </c>
      <c r="F140">
        <v>36</v>
      </c>
      <c r="G140">
        <v>3.4</v>
      </c>
      <c r="H140">
        <v>2024</v>
      </c>
      <c r="I140" t="s">
        <v>411</v>
      </c>
      <c r="J140" t="s">
        <v>1019</v>
      </c>
      <c r="K140">
        <v>3</v>
      </c>
    </row>
    <row r="141" spans="1:11" x14ac:dyDescent="0.3">
      <c r="A141" t="s">
        <v>1753</v>
      </c>
      <c r="B141" t="s">
        <v>1068</v>
      </c>
      <c r="C141">
        <v>113</v>
      </c>
      <c r="D141" t="s">
        <v>1038</v>
      </c>
      <c r="E141" s="1">
        <v>45173</v>
      </c>
      <c r="F141">
        <v>46</v>
      </c>
      <c r="G141">
        <v>4.4000000000000004</v>
      </c>
      <c r="H141">
        <v>2024</v>
      </c>
      <c r="I141" t="s">
        <v>1030</v>
      </c>
      <c r="J141" t="s">
        <v>1019</v>
      </c>
      <c r="K141">
        <v>4</v>
      </c>
    </row>
    <row r="142" spans="1:11" x14ac:dyDescent="0.3">
      <c r="A142" t="s">
        <v>1754</v>
      </c>
      <c r="B142" t="s">
        <v>1068</v>
      </c>
      <c r="C142">
        <v>96</v>
      </c>
      <c r="D142" t="s">
        <v>1038</v>
      </c>
      <c r="E142" s="1">
        <v>45173</v>
      </c>
      <c r="F142">
        <v>96</v>
      </c>
      <c r="G142">
        <v>2.9</v>
      </c>
      <c r="H142">
        <v>2024</v>
      </c>
      <c r="I142" t="s">
        <v>1030</v>
      </c>
      <c r="J142" t="s">
        <v>1019</v>
      </c>
      <c r="K142">
        <v>3</v>
      </c>
    </row>
    <row r="143" spans="1:11" x14ac:dyDescent="0.3">
      <c r="A143" t="s">
        <v>1756</v>
      </c>
      <c r="B143" t="s">
        <v>1036</v>
      </c>
      <c r="C143">
        <v>52</v>
      </c>
      <c r="D143" t="s">
        <v>1038</v>
      </c>
      <c r="E143" s="1">
        <v>45175</v>
      </c>
      <c r="F143">
        <v>88</v>
      </c>
      <c r="G143">
        <v>4.3</v>
      </c>
      <c r="H143">
        <v>2024</v>
      </c>
      <c r="I143" t="s">
        <v>1048</v>
      </c>
      <c r="J143" t="s">
        <v>1034</v>
      </c>
      <c r="K143">
        <v>4</v>
      </c>
    </row>
    <row r="144" spans="1:11" x14ac:dyDescent="0.3">
      <c r="A144" t="s">
        <v>1765</v>
      </c>
      <c r="B144" t="s">
        <v>1028</v>
      </c>
      <c r="C144">
        <v>74</v>
      </c>
      <c r="D144" t="s">
        <v>1038</v>
      </c>
      <c r="E144" s="1">
        <v>45178</v>
      </c>
      <c r="F144">
        <v>75</v>
      </c>
      <c r="G144">
        <v>2.8</v>
      </c>
      <c r="H144">
        <v>2024</v>
      </c>
      <c r="I144" t="s">
        <v>1062</v>
      </c>
      <c r="J144" t="s">
        <v>1019</v>
      </c>
      <c r="K144">
        <v>3</v>
      </c>
    </row>
    <row r="145" spans="1:11" x14ac:dyDescent="0.3">
      <c r="A145" t="s">
        <v>1795</v>
      </c>
      <c r="B145" t="s">
        <v>1068</v>
      </c>
      <c r="C145">
        <v>95</v>
      </c>
      <c r="D145" t="s">
        <v>1038</v>
      </c>
      <c r="E145" s="1">
        <v>45193</v>
      </c>
      <c r="F145">
        <v>23</v>
      </c>
      <c r="G145">
        <v>2.4</v>
      </c>
      <c r="H145">
        <v>2024</v>
      </c>
      <c r="I145" t="s">
        <v>1018</v>
      </c>
      <c r="J145" t="s">
        <v>1019</v>
      </c>
      <c r="K145">
        <v>2</v>
      </c>
    </row>
    <row r="146" spans="1:11" x14ac:dyDescent="0.3">
      <c r="A146" t="s">
        <v>1802</v>
      </c>
      <c r="B146" t="s">
        <v>1059</v>
      </c>
      <c r="C146">
        <v>71</v>
      </c>
      <c r="D146" t="s">
        <v>1038</v>
      </c>
      <c r="E146" s="1">
        <v>45196</v>
      </c>
      <c r="F146">
        <v>135</v>
      </c>
      <c r="G146">
        <v>3.9</v>
      </c>
      <c r="H146">
        <v>2024</v>
      </c>
      <c r="I146" t="s">
        <v>1048</v>
      </c>
      <c r="J146" t="s">
        <v>1019</v>
      </c>
      <c r="K146">
        <v>4</v>
      </c>
    </row>
    <row r="147" spans="1:11" x14ac:dyDescent="0.3">
      <c r="A147" t="s">
        <v>1803</v>
      </c>
      <c r="B147" t="s">
        <v>1047</v>
      </c>
      <c r="C147">
        <v>152</v>
      </c>
      <c r="D147" t="s">
        <v>1038</v>
      </c>
      <c r="E147" s="1">
        <v>45196</v>
      </c>
      <c r="F147">
        <v>88</v>
      </c>
      <c r="G147">
        <v>4.7</v>
      </c>
      <c r="H147">
        <v>2024</v>
      </c>
      <c r="I147" t="s">
        <v>1048</v>
      </c>
      <c r="J147" t="s">
        <v>1031</v>
      </c>
      <c r="K147">
        <v>5</v>
      </c>
    </row>
    <row r="148" spans="1:11" x14ac:dyDescent="0.3">
      <c r="A148" t="s">
        <v>1805</v>
      </c>
      <c r="B148" t="s">
        <v>1078</v>
      </c>
      <c r="C148">
        <v>156</v>
      </c>
      <c r="D148" t="s">
        <v>1038</v>
      </c>
      <c r="E148" s="1">
        <v>45196</v>
      </c>
      <c r="F148">
        <v>81</v>
      </c>
      <c r="G148">
        <v>5</v>
      </c>
      <c r="H148">
        <v>2024</v>
      </c>
      <c r="I148" t="s">
        <v>1048</v>
      </c>
      <c r="J148" t="s">
        <v>1031</v>
      </c>
      <c r="K148">
        <v>5</v>
      </c>
    </row>
    <row r="149" spans="1:11" x14ac:dyDescent="0.3">
      <c r="A149" t="s">
        <v>1807</v>
      </c>
      <c r="B149" t="s">
        <v>1023</v>
      </c>
      <c r="C149">
        <v>135</v>
      </c>
      <c r="D149" t="s">
        <v>1038</v>
      </c>
      <c r="E149" s="1">
        <v>45197</v>
      </c>
      <c r="F149">
        <v>92</v>
      </c>
      <c r="G149">
        <v>3.9</v>
      </c>
      <c r="H149">
        <v>2024</v>
      </c>
      <c r="I149" t="s">
        <v>1052</v>
      </c>
      <c r="J149" t="s">
        <v>1031</v>
      </c>
      <c r="K149">
        <v>4</v>
      </c>
    </row>
    <row r="150" spans="1:11" x14ac:dyDescent="0.3">
      <c r="A150" t="s">
        <v>1809</v>
      </c>
      <c r="B150" t="s">
        <v>1065</v>
      </c>
      <c r="C150">
        <v>64</v>
      </c>
      <c r="D150" t="s">
        <v>1038</v>
      </c>
      <c r="E150" s="1">
        <v>45198</v>
      </c>
      <c r="F150">
        <v>112</v>
      </c>
      <c r="G150">
        <v>2</v>
      </c>
      <c r="H150">
        <v>2024</v>
      </c>
      <c r="I150" t="s">
        <v>411</v>
      </c>
      <c r="J150" t="s">
        <v>1019</v>
      </c>
      <c r="K150">
        <v>2</v>
      </c>
    </row>
    <row r="151" spans="1:11" x14ac:dyDescent="0.3">
      <c r="A151" t="s">
        <v>1814</v>
      </c>
      <c r="B151" t="s">
        <v>1055</v>
      </c>
      <c r="C151">
        <v>93</v>
      </c>
      <c r="D151" t="s">
        <v>1038</v>
      </c>
      <c r="E151" s="1">
        <v>45199</v>
      </c>
      <c r="F151">
        <v>170</v>
      </c>
      <c r="G151">
        <v>2.2000000000000002</v>
      </c>
      <c r="H151">
        <v>2024</v>
      </c>
      <c r="I151" t="s">
        <v>1062</v>
      </c>
      <c r="J151" t="s">
        <v>1019</v>
      </c>
      <c r="K151">
        <v>2</v>
      </c>
    </row>
    <row r="152" spans="1:11" x14ac:dyDescent="0.3">
      <c r="A152" t="s">
        <v>1820</v>
      </c>
      <c r="B152" t="s">
        <v>1028</v>
      </c>
      <c r="C152">
        <v>29</v>
      </c>
      <c r="D152" t="s">
        <v>1038</v>
      </c>
      <c r="E152" s="1">
        <v>45199</v>
      </c>
      <c r="F152">
        <v>80</v>
      </c>
      <c r="G152">
        <v>4.8</v>
      </c>
      <c r="H152">
        <v>2024</v>
      </c>
      <c r="I152" t="s">
        <v>1062</v>
      </c>
      <c r="J152" t="s">
        <v>1056</v>
      </c>
      <c r="K152">
        <v>5</v>
      </c>
    </row>
    <row r="153" spans="1:11" x14ac:dyDescent="0.3">
      <c r="A153" t="s">
        <v>1824</v>
      </c>
      <c r="B153" t="s">
        <v>1045</v>
      </c>
      <c r="C153">
        <v>78</v>
      </c>
      <c r="D153" t="s">
        <v>1038</v>
      </c>
      <c r="E153" s="1">
        <v>45200</v>
      </c>
      <c r="F153">
        <v>135</v>
      </c>
      <c r="G153">
        <v>4.0999999999999996</v>
      </c>
      <c r="H153">
        <v>2024</v>
      </c>
      <c r="I153" t="s">
        <v>1018</v>
      </c>
      <c r="J153" t="s">
        <v>1019</v>
      </c>
      <c r="K153">
        <v>4</v>
      </c>
    </row>
    <row r="154" spans="1:11" x14ac:dyDescent="0.3">
      <c r="A154" t="s">
        <v>1835</v>
      </c>
      <c r="B154" t="s">
        <v>1047</v>
      </c>
      <c r="C154">
        <v>78</v>
      </c>
      <c r="D154" t="s">
        <v>1038</v>
      </c>
      <c r="E154" s="1">
        <v>45202</v>
      </c>
      <c r="F154">
        <v>84</v>
      </c>
      <c r="G154">
        <v>4.5999999999999996</v>
      </c>
      <c r="H154">
        <v>2024</v>
      </c>
      <c r="I154" t="s">
        <v>1033</v>
      </c>
      <c r="J154" t="s">
        <v>1019</v>
      </c>
      <c r="K154">
        <v>5</v>
      </c>
    </row>
    <row r="155" spans="1:11" x14ac:dyDescent="0.3">
      <c r="A155" t="s">
        <v>1839</v>
      </c>
      <c r="B155" t="s">
        <v>1068</v>
      </c>
      <c r="C155">
        <v>57</v>
      </c>
      <c r="D155" t="s">
        <v>1038</v>
      </c>
      <c r="E155" s="1">
        <v>45203</v>
      </c>
      <c r="F155">
        <v>48</v>
      </c>
      <c r="G155">
        <v>4.5</v>
      </c>
      <c r="H155">
        <v>2024</v>
      </c>
      <c r="I155" t="s">
        <v>1048</v>
      </c>
      <c r="J155" t="s">
        <v>1034</v>
      </c>
      <c r="K155">
        <v>5</v>
      </c>
    </row>
    <row r="156" spans="1:11" x14ac:dyDescent="0.3">
      <c r="A156" t="s">
        <v>1841</v>
      </c>
      <c r="B156" t="s">
        <v>1045</v>
      </c>
      <c r="C156">
        <v>138</v>
      </c>
      <c r="D156" t="s">
        <v>1038</v>
      </c>
      <c r="E156" s="1">
        <v>45204</v>
      </c>
      <c r="F156">
        <v>155</v>
      </c>
      <c r="G156">
        <v>2.7</v>
      </c>
      <c r="H156">
        <v>2024</v>
      </c>
      <c r="I156" t="s">
        <v>1052</v>
      </c>
      <c r="J156" t="s">
        <v>1031</v>
      </c>
      <c r="K156">
        <v>3</v>
      </c>
    </row>
    <row r="157" spans="1:11" x14ac:dyDescent="0.3">
      <c r="A157" t="s">
        <v>1847</v>
      </c>
      <c r="B157" t="s">
        <v>1036</v>
      </c>
      <c r="C157">
        <v>90</v>
      </c>
      <c r="D157" t="s">
        <v>1038</v>
      </c>
      <c r="E157" s="1">
        <v>45205</v>
      </c>
      <c r="F157">
        <v>84</v>
      </c>
      <c r="G157">
        <v>3.9</v>
      </c>
      <c r="H157">
        <v>2024</v>
      </c>
      <c r="I157" t="s">
        <v>411</v>
      </c>
      <c r="J157" t="s">
        <v>1019</v>
      </c>
      <c r="K157">
        <v>4</v>
      </c>
    </row>
    <row r="158" spans="1:11" x14ac:dyDescent="0.3">
      <c r="A158" t="s">
        <v>1859</v>
      </c>
      <c r="B158" t="s">
        <v>1028</v>
      </c>
      <c r="C158">
        <v>119</v>
      </c>
      <c r="D158" t="s">
        <v>1038</v>
      </c>
      <c r="E158" s="1">
        <v>45209</v>
      </c>
      <c r="F158">
        <v>111</v>
      </c>
      <c r="G158">
        <v>3.9</v>
      </c>
      <c r="H158">
        <v>2024</v>
      </c>
      <c r="I158" t="s">
        <v>1033</v>
      </c>
      <c r="J158" t="s">
        <v>1019</v>
      </c>
      <c r="K158">
        <v>4</v>
      </c>
    </row>
    <row r="159" spans="1:11" x14ac:dyDescent="0.3">
      <c r="A159" t="s">
        <v>1865</v>
      </c>
      <c r="B159" t="s">
        <v>1026</v>
      </c>
      <c r="C159">
        <v>84</v>
      </c>
      <c r="D159" t="s">
        <v>1038</v>
      </c>
      <c r="E159" s="1">
        <v>45210</v>
      </c>
      <c r="F159">
        <v>54</v>
      </c>
      <c r="G159">
        <v>3.3</v>
      </c>
      <c r="H159">
        <v>2024</v>
      </c>
      <c r="I159" t="s">
        <v>1048</v>
      </c>
      <c r="J159" t="s">
        <v>1019</v>
      </c>
      <c r="K159">
        <v>3</v>
      </c>
    </row>
    <row r="160" spans="1:11" x14ac:dyDescent="0.3">
      <c r="A160" t="s">
        <v>1869</v>
      </c>
      <c r="B160" t="s">
        <v>1023</v>
      </c>
      <c r="C160">
        <v>126</v>
      </c>
      <c r="D160" t="s">
        <v>1038</v>
      </c>
      <c r="E160" s="1">
        <v>45211</v>
      </c>
      <c r="F160">
        <v>50</v>
      </c>
      <c r="G160">
        <v>4.8</v>
      </c>
      <c r="H160">
        <v>2024</v>
      </c>
      <c r="I160" t="s">
        <v>1052</v>
      </c>
      <c r="J160" t="s">
        <v>1031</v>
      </c>
      <c r="K160">
        <v>5</v>
      </c>
    </row>
    <row r="161" spans="1:11" x14ac:dyDescent="0.3">
      <c r="A161" t="s">
        <v>1888</v>
      </c>
      <c r="B161" t="s">
        <v>1023</v>
      </c>
      <c r="C161">
        <v>87</v>
      </c>
      <c r="D161" t="s">
        <v>1038</v>
      </c>
      <c r="E161" s="1">
        <v>45215</v>
      </c>
      <c r="F161">
        <v>27</v>
      </c>
      <c r="G161">
        <v>4.2</v>
      </c>
      <c r="H161">
        <v>2024</v>
      </c>
      <c r="I161" t="s">
        <v>1030</v>
      </c>
      <c r="J161" t="s">
        <v>1019</v>
      </c>
      <c r="K161">
        <v>4</v>
      </c>
    </row>
    <row r="162" spans="1:11" x14ac:dyDescent="0.3">
      <c r="A162" t="s">
        <v>1896</v>
      </c>
      <c r="B162" t="s">
        <v>1047</v>
      </c>
      <c r="C162">
        <v>166</v>
      </c>
      <c r="D162" t="s">
        <v>1038</v>
      </c>
      <c r="E162" s="1">
        <v>45218</v>
      </c>
      <c r="F162">
        <v>29</v>
      </c>
      <c r="G162">
        <v>4.3</v>
      </c>
      <c r="H162">
        <v>2024</v>
      </c>
      <c r="I162" t="s">
        <v>1052</v>
      </c>
      <c r="J162" t="s">
        <v>1031</v>
      </c>
      <c r="K162">
        <v>4</v>
      </c>
    </row>
    <row r="163" spans="1:11" x14ac:dyDescent="0.3">
      <c r="A163" t="s">
        <v>1901</v>
      </c>
      <c r="B163" t="s">
        <v>1065</v>
      </c>
      <c r="C163">
        <v>126</v>
      </c>
      <c r="D163" t="s">
        <v>1038</v>
      </c>
      <c r="E163" s="1">
        <v>45219</v>
      </c>
      <c r="F163">
        <v>80</v>
      </c>
      <c r="G163">
        <v>4.7</v>
      </c>
      <c r="H163">
        <v>2024</v>
      </c>
      <c r="I163" t="s">
        <v>411</v>
      </c>
      <c r="J163" t="s">
        <v>1031</v>
      </c>
      <c r="K163">
        <v>5</v>
      </c>
    </row>
    <row r="164" spans="1:11" x14ac:dyDescent="0.3">
      <c r="A164" t="s">
        <v>1906</v>
      </c>
      <c r="B164" t="s">
        <v>1098</v>
      </c>
      <c r="C164">
        <v>54</v>
      </c>
      <c r="D164" t="s">
        <v>1038</v>
      </c>
      <c r="E164" s="1">
        <v>45221</v>
      </c>
      <c r="F164">
        <v>120</v>
      </c>
      <c r="G164">
        <v>4.7</v>
      </c>
      <c r="H164">
        <v>2024</v>
      </c>
      <c r="I164" t="s">
        <v>1018</v>
      </c>
      <c r="J164" t="s">
        <v>1034</v>
      </c>
      <c r="K164">
        <v>5</v>
      </c>
    </row>
    <row r="165" spans="1:11" x14ac:dyDescent="0.3">
      <c r="A165" t="s">
        <v>1910</v>
      </c>
      <c r="B165" t="s">
        <v>1047</v>
      </c>
      <c r="C165">
        <v>96</v>
      </c>
      <c r="D165" t="s">
        <v>1038</v>
      </c>
      <c r="E165" s="1">
        <v>45222</v>
      </c>
      <c r="F165">
        <v>60</v>
      </c>
      <c r="G165">
        <v>4.5</v>
      </c>
      <c r="H165">
        <v>2024</v>
      </c>
      <c r="I165" t="s">
        <v>1030</v>
      </c>
      <c r="J165" t="s">
        <v>1019</v>
      </c>
      <c r="K165">
        <v>5</v>
      </c>
    </row>
    <row r="166" spans="1:11" x14ac:dyDescent="0.3">
      <c r="A166" t="s">
        <v>1924</v>
      </c>
      <c r="B166" t="s">
        <v>1045</v>
      </c>
      <c r="C166">
        <v>143</v>
      </c>
      <c r="D166" t="s">
        <v>1038</v>
      </c>
      <c r="E166" s="1">
        <v>45227</v>
      </c>
      <c r="F166">
        <v>58</v>
      </c>
      <c r="G166">
        <v>4.3</v>
      </c>
      <c r="H166">
        <v>2024</v>
      </c>
      <c r="I166" t="s">
        <v>1062</v>
      </c>
      <c r="J166" t="s">
        <v>1031</v>
      </c>
      <c r="K166">
        <v>4</v>
      </c>
    </row>
    <row r="167" spans="1:11" x14ac:dyDescent="0.3">
      <c r="A167" t="s">
        <v>1928</v>
      </c>
      <c r="B167" t="s">
        <v>1026</v>
      </c>
      <c r="C167">
        <v>100</v>
      </c>
      <c r="D167" t="s">
        <v>1038</v>
      </c>
      <c r="E167" s="1">
        <v>45227</v>
      </c>
      <c r="F167">
        <v>150</v>
      </c>
      <c r="G167">
        <v>2.6</v>
      </c>
      <c r="H167">
        <v>2024</v>
      </c>
      <c r="I167" t="s">
        <v>1062</v>
      </c>
      <c r="J167" t="s">
        <v>1019</v>
      </c>
      <c r="K167">
        <v>3</v>
      </c>
    </row>
    <row r="168" spans="1:11" x14ac:dyDescent="0.3">
      <c r="A168" t="s">
        <v>1936</v>
      </c>
      <c r="B168" t="s">
        <v>1023</v>
      </c>
      <c r="C168">
        <v>165</v>
      </c>
      <c r="D168" t="s">
        <v>1038</v>
      </c>
      <c r="E168" s="1">
        <v>45231</v>
      </c>
      <c r="F168">
        <v>66</v>
      </c>
      <c r="G168">
        <v>4.8</v>
      </c>
      <c r="H168">
        <v>2024</v>
      </c>
      <c r="I168" t="s">
        <v>1048</v>
      </c>
      <c r="J168" t="s">
        <v>1031</v>
      </c>
      <c r="K168">
        <v>5</v>
      </c>
    </row>
    <row r="169" spans="1:11" x14ac:dyDescent="0.3">
      <c r="A169" t="s">
        <v>1938</v>
      </c>
      <c r="B169" t="s">
        <v>1026</v>
      </c>
      <c r="C169">
        <v>103</v>
      </c>
      <c r="D169" t="s">
        <v>1038</v>
      </c>
      <c r="E169" s="1">
        <v>45232</v>
      </c>
      <c r="F169">
        <v>66</v>
      </c>
      <c r="G169">
        <v>4.4000000000000004</v>
      </c>
      <c r="H169">
        <v>2024</v>
      </c>
      <c r="I169" t="s">
        <v>1052</v>
      </c>
      <c r="J169" t="s">
        <v>1019</v>
      </c>
      <c r="K169">
        <v>4</v>
      </c>
    </row>
    <row r="170" spans="1:11" x14ac:dyDescent="0.3">
      <c r="A170" t="s">
        <v>1943</v>
      </c>
      <c r="B170" t="s">
        <v>1026</v>
      </c>
      <c r="C170">
        <v>105</v>
      </c>
      <c r="D170" t="s">
        <v>1038</v>
      </c>
      <c r="E170" s="1">
        <v>45237</v>
      </c>
      <c r="F170">
        <v>112</v>
      </c>
      <c r="G170">
        <v>3.2</v>
      </c>
      <c r="H170">
        <v>2024</v>
      </c>
      <c r="I170" t="s">
        <v>1033</v>
      </c>
      <c r="J170" t="s">
        <v>1019</v>
      </c>
      <c r="K170">
        <v>3</v>
      </c>
    </row>
    <row r="171" spans="1:11" x14ac:dyDescent="0.3">
      <c r="A171" t="s">
        <v>1949</v>
      </c>
      <c r="B171" t="s">
        <v>1021</v>
      </c>
      <c r="C171">
        <v>108</v>
      </c>
      <c r="D171" t="s">
        <v>1038</v>
      </c>
      <c r="E171" s="1">
        <v>45239</v>
      </c>
      <c r="F171">
        <v>130</v>
      </c>
      <c r="G171">
        <v>2.7</v>
      </c>
      <c r="H171">
        <v>2024</v>
      </c>
      <c r="I171" t="s">
        <v>1052</v>
      </c>
      <c r="J171" t="s">
        <v>1019</v>
      </c>
      <c r="K171">
        <v>3</v>
      </c>
    </row>
    <row r="172" spans="1:11" x14ac:dyDescent="0.3">
      <c r="A172" t="s">
        <v>1952</v>
      </c>
      <c r="B172" t="s">
        <v>1041</v>
      </c>
      <c r="C172">
        <v>89</v>
      </c>
      <c r="D172" t="s">
        <v>1038</v>
      </c>
      <c r="E172" s="1">
        <v>45240</v>
      </c>
      <c r="F172">
        <v>88</v>
      </c>
      <c r="G172">
        <v>4.9000000000000004</v>
      </c>
      <c r="H172">
        <v>2024</v>
      </c>
      <c r="I172" t="s">
        <v>411</v>
      </c>
      <c r="J172" t="s">
        <v>1019</v>
      </c>
      <c r="K172">
        <v>5</v>
      </c>
    </row>
    <row r="173" spans="1:11" x14ac:dyDescent="0.3">
      <c r="A173" t="s">
        <v>1954</v>
      </c>
      <c r="B173" t="s">
        <v>1065</v>
      </c>
      <c r="C173">
        <v>84</v>
      </c>
      <c r="D173" t="s">
        <v>1038</v>
      </c>
      <c r="E173" s="1">
        <v>45241</v>
      </c>
      <c r="F173">
        <v>66</v>
      </c>
      <c r="G173">
        <v>4.7</v>
      </c>
      <c r="H173">
        <v>2024</v>
      </c>
      <c r="I173" t="s">
        <v>1062</v>
      </c>
      <c r="J173" t="s">
        <v>1019</v>
      </c>
      <c r="K173">
        <v>5</v>
      </c>
    </row>
    <row r="174" spans="1:11" x14ac:dyDescent="0.3">
      <c r="A174" t="s">
        <v>1982</v>
      </c>
      <c r="B174" t="s">
        <v>1036</v>
      </c>
      <c r="C174">
        <v>158</v>
      </c>
      <c r="D174" t="s">
        <v>1038</v>
      </c>
      <c r="E174" s="1">
        <v>45254</v>
      </c>
      <c r="F174">
        <v>148</v>
      </c>
      <c r="G174">
        <v>4</v>
      </c>
      <c r="H174">
        <v>2024</v>
      </c>
      <c r="I174" t="s">
        <v>411</v>
      </c>
      <c r="J174" t="s">
        <v>1031</v>
      </c>
      <c r="K174">
        <v>4</v>
      </c>
    </row>
    <row r="175" spans="1:11" x14ac:dyDescent="0.3">
      <c r="A175" t="s">
        <v>1985</v>
      </c>
      <c r="B175" t="s">
        <v>1028</v>
      </c>
      <c r="C175">
        <v>104</v>
      </c>
      <c r="D175" t="s">
        <v>1038</v>
      </c>
      <c r="E175" s="1">
        <v>45256</v>
      </c>
      <c r="F175">
        <v>41</v>
      </c>
      <c r="G175">
        <v>4.7</v>
      </c>
      <c r="H175">
        <v>2024</v>
      </c>
      <c r="I175" t="s">
        <v>1018</v>
      </c>
      <c r="J175" t="s">
        <v>1019</v>
      </c>
      <c r="K175">
        <v>5</v>
      </c>
    </row>
    <row r="176" spans="1:11" x14ac:dyDescent="0.3">
      <c r="A176" t="s">
        <v>1993</v>
      </c>
      <c r="B176" t="s">
        <v>1021</v>
      </c>
      <c r="C176">
        <v>126</v>
      </c>
      <c r="D176" t="s">
        <v>1038</v>
      </c>
      <c r="E176" s="1">
        <v>45261</v>
      </c>
      <c r="F176">
        <v>33</v>
      </c>
      <c r="G176">
        <v>4.8</v>
      </c>
      <c r="H176">
        <v>2024</v>
      </c>
      <c r="I176" t="s">
        <v>411</v>
      </c>
      <c r="J176" t="s">
        <v>1031</v>
      </c>
      <c r="K176">
        <v>5</v>
      </c>
    </row>
    <row r="177" spans="1:11" x14ac:dyDescent="0.3">
      <c r="A177" t="s">
        <v>1995</v>
      </c>
      <c r="B177" t="s">
        <v>1021</v>
      </c>
      <c r="C177">
        <v>133</v>
      </c>
      <c r="D177" t="s">
        <v>1038</v>
      </c>
      <c r="E177" s="1">
        <v>45261</v>
      </c>
      <c r="F177">
        <v>45</v>
      </c>
      <c r="G177">
        <v>2.6</v>
      </c>
      <c r="H177">
        <v>2024</v>
      </c>
      <c r="I177" t="s">
        <v>411</v>
      </c>
      <c r="J177" t="s">
        <v>1031</v>
      </c>
      <c r="K177">
        <v>3</v>
      </c>
    </row>
    <row r="178" spans="1:11" x14ac:dyDescent="0.3">
      <c r="A178" t="s">
        <v>2003</v>
      </c>
      <c r="B178" t="s">
        <v>1041</v>
      </c>
      <c r="C178">
        <v>38</v>
      </c>
      <c r="D178" t="s">
        <v>1038</v>
      </c>
      <c r="E178" s="1">
        <v>45265</v>
      </c>
      <c r="F178">
        <v>27</v>
      </c>
      <c r="G178">
        <v>3.1</v>
      </c>
      <c r="H178">
        <v>2024</v>
      </c>
      <c r="I178" t="s">
        <v>1033</v>
      </c>
      <c r="J178" t="s">
        <v>1034</v>
      </c>
      <c r="K178">
        <v>3</v>
      </c>
    </row>
    <row r="179" spans="1:11" x14ac:dyDescent="0.3">
      <c r="A179" t="s">
        <v>2004</v>
      </c>
      <c r="B179" t="s">
        <v>1045</v>
      </c>
      <c r="C179">
        <v>78</v>
      </c>
      <c r="D179" t="s">
        <v>1038</v>
      </c>
      <c r="E179" s="1">
        <v>45267</v>
      </c>
      <c r="F179">
        <v>200</v>
      </c>
      <c r="G179">
        <v>2.4</v>
      </c>
      <c r="H179">
        <v>2024</v>
      </c>
      <c r="I179" t="s">
        <v>1052</v>
      </c>
      <c r="J179" t="s">
        <v>1019</v>
      </c>
      <c r="K179">
        <v>2</v>
      </c>
    </row>
    <row r="180" spans="1:11" x14ac:dyDescent="0.3">
      <c r="A180" t="s">
        <v>2011</v>
      </c>
      <c r="B180" t="s">
        <v>1059</v>
      </c>
      <c r="C180">
        <v>46</v>
      </c>
      <c r="D180" t="s">
        <v>1038</v>
      </c>
      <c r="E180" s="1">
        <v>45274</v>
      </c>
      <c r="F180">
        <v>135</v>
      </c>
      <c r="G180">
        <v>4.2</v>
      </c>
      <c r="H180">
        <v>2024</v>
      </c>
      <c r="I180" t="s">
        <v>1052</v>
      </c>
      <c r="J180" t="s">
        <v>1034</v>
      </c>
      <c r="K180">
        <v>4</v>
      </c>
    </row>
    <row r="181" spans="1:11" x14ac:dyDescent="0.3">
      <c r="A181" t="s">
        <v>2013</v>
      </c>
      <c r="B181" t="s">
        <v>1036</v>
      </c>
      <c r="C181">
        <v>96</v>
      </c>
      <c r="D181" t="s">
        <v>1038</v>
      </c>
      <c r="E181" s="1">
        <v>45275</v>
      </c>
      <c r="F181">
        <v>115</v>
      </c>
      <c r="G181">
        <v>4.9000000000000004</v>
      </c>
      <c r="H181">
        <v>2024</v>
      </c>
      <c r="I181" t="s">
        <v>411</v>
      </c>
      <c r="J181" t="s">
        <v>1019</v>
      </c>
      <c r="K181">
        <v>5</v>
      </c>
    </row>
    <row r="182" spans="1:11" x14ac:dyDescent="0.3">
      <c r="A182" t="s">
        <v>2018</v>
      </c>
      <c r="B182" t="s">
        <v>1041</v>
      </c>
      <c r="C182">
        <v>147</v>
      </c>
      <c r="D182" t="s">
        <v>1038</v>
      </c>
      <c r="E182" s="1">
        <v>45276</v>
      </c>
      <c r="F182">
        <v>76</v>
      </c>
      <c r="G182">
        <v>4.7</v>
      </c>
      <c r="H182">
        <v>2024</v>
      </c>
      <c r="I182" t="s">
        <v>1062</v>
      </c>
      <c r="J182" t="s">
        <v>1031</v>
      </c>
      <c r="K182">
        <v>5</v>
      </c>
    </row>
    <row r="183" spans="1:11" x14ac:dyDescent="0.3">
      <c r="A183" t="s">
        <v>2019</v>
      </c>
      <c r="B183" t="s">
        <v>1065</v>
      </c>
      <c r="C183">
        <v>126</v>
      </c>
      <c r="D183" t="s">
        <v>1038</v>
      </c>
      <c r="E183" s="1">
        <v>45276</v>
      </c>
      <c r="F183">
        <v>185</v>
      </c>
      <c r="G183">
        <v>4.8</v>
      </c>
      <c r="H183">
        <v>2024</v>
      </c>
      <c r="I183" t="s">
        <v>1062</v>
      </c>
      <c r="J183" t="s">
        <v>1031</v>
      </c>
      <c r="K183">
        <v>5</v>
      </c>
    </row>
    <row r="184" spans="1:11" x14ac:dyDescent="0.3">
      <c r="A184" t="s">
        <v>2021</v>
      </c>
      <c r="B184" t="s">
        <v>1045</v>
      </c>
      <c r="C184">
        <v>32</v>
      </c>
      <c r="D184" t="s">
        <v>1038</v>
      </c>
      <c r="E184" s="1">
        <v>45277</v>
      </c>
      <c r="F184">
        <v>148</v>
      </c>
      <c r="G184">
        <v>4</v>
      </c>
      <c r="H184">
        <v>2024</v>
      </c>
      <c r="I184" t="s">
        <v>1018</v>
      </c>
      <c r="J184" t="s">
        <v>1034</v>
      </c>
      <c r="K184">
        <v>4</v>
      </c>
    </row>
    <row r="185" spans="1:11" x14ac:dyDescent="0.3">
      <c r="A185" t="s">
        <v>2024</v>
      </c>
      <c r="B185" t="s">
        <v>1028</v>
      </c>
      <c r="C185">
        <v>93</v>
      </c>
      <c r="D185" t="s">
        <v>1038</v>
      </c>
      <c r="E185" s="1">
        <v>45280</v>
      </c>
      <c r="F185">
        <v>38</v>
      </c>
      <c r="G185">
        <v>4.5</v>
      </c>
      <c r="H185">
        <v>2024</v>
      </c>
      <c r="I185" t="s">
        <v>1048</v>
      </c>
      <c r="J185" t="s">
        <v>1019</v>
      </c>
      <c r="K185">
        <v>5</v>
      </c>
    </row>
    <row r="186" spans="1:11" x14ac:dyDescent="0.3">
      <c r="A186" t="s">
        <v>2026</v>
      </c>
      <c r="B186" t="s">
        <v>1098</v>
      </c>
      <c r="C186">
        <v>89</v>
      </c>
      <c r="D186" t="s">
        <v>1038</v>
      </c>
      <c r="E186" s="1">
        <v>45284</v>
      </c>
      <c r="F186">
        <v>88</v>
      </c>
      <c r="G186">
        <v>2.8</v>
      </c>
      <c r="H186">
        <v>2024</v>
      </c>
      <c r="I186" t="s">
        <v>1018</v>
      </c>
      <c r="J186" t="s">
        <v>1019</v>
      </c>
      <c r="K186">
        <v>3</v>
      </c>
    </row>
    <row r="187" spans="1:11" x14ac:dyDescent="0.3">
      <c r="A187" t="s">
        <v>2032</v>
      </c>
      <c r="B187" t="s">
        <v>1016</v>
      </c>
      <c r="C187">
        <v>106</v>
      </c>
      <c r="D187" t="s">
        <v>1038</v>
      </c>
      <c r="E187" s="1">
        <v>45287</v>
      </c>
      <c r="F187">
        <v>46</v>
      </c>
      <c r="G187">
        <v>4.5999999999999996</v>
      </c>
      <c r="H187">
        <v>2024</v>
      </c>
      <c r="I187" t="s">
        <v>1048</v>
      </c>
      <c r="J187" t="s">
        <v>1019</v>
      </c>
      <c r="K187">
        <v>5</v>
      </c>
    </row>
    <row r="188" spans="1:11" x14ac:dyDescent="0.3">
      <c r="A188" t="s">
        <v>2039</v>
      </c>
      <c r="B188" t="s">
        <v>1059</v>
      </c>
      <c r="C188">
        <v>95</v>
      </c>
      <c r="D188" t="s">
        <v>1038</v>
      </c>
      <c r="E188" s="1">
        <v>45289</v>
      </c>
      <c r="F188">
        <v>50</v>
      </c>
      <c r="G188">
        <v>2.9</v>
      </c>
      <c r="H188">
        <v>2024</v>
      </c>
      <c r="I188" t="s">
        <v>411</v>
      </c>
      <c r="J188" t="s">
        <v>1019</v>
      </c>
      <c r="K188">
        <v>3</v>
      </c>
    </row>
    <row r="189" spans="1:11" x14ac:dyDescent="0.3">
      <c r="A189" t="s">
        <v>2042</v>
      </c>
      <c r="B189" t="s">
        <v>1036</v>
      </c>
      <c r="C189">
        <v>127</v>
      </c>
      <c r="D189" t="s">
        <v>1038</v>
      </c>
      <c r="E189" s="1">
        <v>45290</v>
      </c>
      <c r="F189">
        <v>215</v>
      </c>
      <c r="G189">
        <v>3.8</v>
      </c>
      <c r="H189">
        <v>2024</v>
      </c>
      <c r="I189" t="s">
        <v>1062</v>
      </c>
      <c r="J189" t="s">
        <v>1031</v>
      </c>
      <c r="K189">
        <v>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9B6D-99CE-4D8C-9AFC-4B234891D766}">
  <dimension ref="A1:U30"/>
  <sheetViews>
    <sheetView workbookViewId="0">
      <selection activeCell="G28" sqref="G28"/>
    </sheetView>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 min="20" max="20" width="27.33203125" bestFit="1" customWidth="1"/>
    <col min="21" max="21" width="32.44140625" bestFit="1" customWidth="1"/>
  </cols>
  <sheetData>
    <row r="1" spans="1:21" x14ac:dyDescent="0.3">
      <c r="A1" s="15" t="s">
        <v>2109</v>
      </c>
    </row>
    <row r="3" spans="1:21"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c r="T3" t="s">
        <v>2107</v>
      </c>
      <c r="U3" t="s">
        <v>2108</v>
      </c>
    </row>
    <row r="4" spans="1:21" x14ac:dyDescent="0.3">
      <c r="A4" t="s">
        <v>1035</v>
      </c>
      <c r="B4" t="s">
        <v>1036</v>
      </c>
      <c r="C4">
        <v>84</v>
      </c>
      <c r="D4" t="s">
        <v>1017</v>
      </c>
      <c r="E4" s="1">
        <v>44929</v>
      </c>
      <c r="F4">
        <v>60</v>
      </c>
      <c r="G4">
        <v>4.7</v>
      </c>
      <c r="H4">
        <v>2023</v>
      </c>
      <c r="I4" t="s">
        <v>1033</v>
      </c>
      <c r="J4" t="s">
        <v>1019</v>
      </c>
      <c r="K4">
        <v>5</v>
      </c>
      <c r="P4" t="s">
        <v>1036</v>
      </c>
      <c r="Q4" t="s">
        <v>11</v>
      </c>
      <c r="R4">
        <v>22</v>
      </c>
      <c r="S4" t="s">
        <v>2057</v>
      </c>
      <c r="T4" t="s">
        <v>2069</v>
      </c>
      <c r="U4">
        <v>1</v>
      </c>
    </row>
    <row r="5" spans="1:21" x14ac:dyDescent="0.3">
      <c r="A5" t="s">
        <v>1044</v>
      </c>
      <c r="B5" t="s">
        <v>1045</v>
      </c>
      <c r="C5">
        <v>135</v>
      </c>
      <c r="D5" t="s">
        <v>1017</v>
      </c>
      <c r="E5" s="1">
        <v>44929</v>
      </c>
      <c r="F5">
        <v>46</v>
      </c>
      <c r="G5">
        <v>3.4</v>
      </c>
      <c r="H5">
        <v>2023</v>
      </c>
      <c r="I5" t="s">
        <v>1033</v>
      </c>
      <c r="J5" t="s">
        <v>1031</v>
      </c>
      <c r="K5">
        <v>3</v>
      </c>
      <c r="P5" t="s">
        <v>1068</v>
      </c>
      <c r="Q5" t="s">
        <v>11</v>
      </c>
      <c r="R5">
        <v>28</v>
      </c>
      <c r="S5" t="s">
        <v>2058</v>
      </c>
      <c r="T5" t="s">
        <v>2069</v>
      </c>
      <c r="U5">
        <v>1</v>
      </c>
    </row>
    <row r="6" spans="1:21" x14ac:dyDescent="0.3">
      <c r="A6" t="s">
        <v>1070</v>
      </c>
      <c r="B6" t="s">
        <v>1028</v>
      </c>
      <c r="C6">
        <v>81</v>
      </c>
      <c r="D6" t="s">
        <v>1017</v>
      </c>
      <c r="E6" s="1">
        <v>44936</v>
      </c>
      <c r="F6">
        <v>50</v>
      </c>
      <c r="G6">
        <v>4.5999999999999996</v>
      </c>
      <c r="H6">
        <v>2023</v>
      </c>
      <c r="I6" t="s">
        <v>1033</v>
      </c>
      <c r="J6" t="s">
        <v>1019</v>
      </c>
      <c r="K6">
        <v>5</v>
      </c>
      <c r="T6" t="s">
        <v>2069</v>
      </c>
      <c r="U6">
        <v>1</v>
      </c>
    </row>
    <row r="7" spans="1:21" x14ac:dyDescent="0.3">
      <c r="A7" t="s">
        <v>1073</v>
      </c>
      <c r="B7" t="s">
        <v>1055</v>
      </c>
      <c r="C7">
        <v>80</v>
      </c>
      <c r="D7" t="s">
        <v>1017</v>
      </c>
      <c r="E7" s="1">
        <v>44936</v>
      </c>
      <c r="F7">
        <v>140</v>
      </c>
      <c r="G7">
        <v>4.2</v>
      </c>
      <c r="H7">
        <v>2023</v>
      </c>
      <c r="I7" t="s">
        <v>1033</v>
      </c>
      <c r="J7" t="s">
        <v>1019</v>
      </c>
      <c r="K7">
        <v>4</v>
      </c>
      <c r="T7" t="s">
        <v>2069</v>
      </c>
      <c r="U7">
        <v>1</v>
      </c>
    </row>
    <row r="8" spans="1:21" x14ac:dyDescent="0.3">
      <c r="A8" t="s">
        <v>1083</v>
      </c>
      <c r="B8" t="s">
        <v>1055</v>
      </c>
      <c r="C8">
        <v>106</v>
      </c>
      <c r="D8" t="s">
        <v>1017</v>
      </c>
      <c r="E8" s="1">
        <v>44943</v>
      </c>
      <c r="F8">
        <v>108</v>
      </c>
      <c r="G8">
        <v>5</v>
      </c>
      <c r="H8">
        <v>2023</v>
      </c>
      <c r="I8" t="s">
        <v>1033</v>
      </c>
      <c r="J8" t="s">
        <v>1019</v>
      </c>
      <c r="K8">
        <v>5</v>
      </c>
      <c r="T8" t="s">
        <v>2069</v>
      </c>
      <c r="U8">
        <v>1</v>
      </c>
    </row>
    <row r="9" spans="1:21" x14ac:dyDescent="0.3">
      <c r="A9" t="s">
        <v>1123</v>
      </c>
      <c r="B9" t="s">
        <v>1028</v>
      </c>
      <c r="C9">
        <v>62</v>
      </c>
      <c r="D9" t="s">
        <v>1017</v>
      </c>
      <c r="E9" s="1">
        <v>44957</v>
      </c>
      <c r="F9">
        <v>99</v>
      </c>
      <c r="G9">
        <v>3.6</v>
      </c>
      <c r="H9">
        <v>2023</v>
      </c>
      <c r="I9" t="s">
        <v>1033</v>
      </c>
      <c r="J9" t="s">
        <v>1019</v>
      </c>
      <c r="K9">
        <v>4</v>
      </c>
      <c r="T9" t="s">
        <v>2069</v>
      </c>
      <c r="U9">
        <v>1</v>
      </c>
    </row>
    <row r="10" spans="1:21" x14ac:dyDescent="0.3">
      <c r="A10" t="s">
        <v>1172</v>
      </c>
      <c r="B10" t="s">
        <v>1065</v>
      </c>
      <c r="C10">
        <v>114</v>
      </c>
      <c r="D10" t="s">
        <v>1017</v>
      </c>
      <c r="E10" s="1">
        <v>44978</v>
      </c>
      <c r="F10">
        <v>120</v>
      </c>
      <c r="G10">
        <v>1.8</v>
      </c>
      <c r="H10">
        <v>2023</v>
      </c>
      <c r="I10" t="s">
        <v>1033</v>
      </c>
      <c r="J10" t="s">
        <v>1019</v>
      </c>
      <c r="K10">
        <v>2</v>
      </c>
      <c r="T10" t="s">
        <v>2070</v>
      </c>
      <c r="U10">
        <v>2</v>
      </c>
    </row>
    <row r="11" spans="1:21" x14ac:dyDescent="0.3">
      <c r="A11" t="s">
        <v>1174</v>
      </c>
      <c r="B11" t="s">
        <v>1021</v>
      </c>
      <c r="C11">
        <v>89</v>
      </c>
      <c r="D11" t="s">
        <v>1017</v>
      </c>
      <c r="E11" s="1">
        <v>44978</v>
      </c>
      <c r="F11">
        <v>90</v>
      </c>
      <c r="G11">
        <v>4.3</v>
      </c>
      <c r="H11">
        <v>2023</v>
      </c>
      <c r="I11" t="s">
        <v>1033</v>
      </c>
      <c r="J11" t="s">
        <v>1019</v>
      </c>
      <c r="K11">
        <v>4</v>
      </c>
      <c r="T11" t="s">
        <v>2070</v>
      </c>
      <c r="U11">
        <v>2</v>
      </c>
    </row>
    <row r="12" spans="1:21" x14ac:dyDescent="0.3">
      <c r="A12" t="s">
        <v>1229</v>
      </c>
      <c r="B12" t="s">
        <v>1047</v>
      </c>
      <c r="C12">
        <v>103</v>
      </c>
      <c r="D12" t="s">
        <v>1017</v>
      </c>
      <c r="E12" s="1">
        <v>44992</v>
      </c>
      <c r="F12">
        <v>172</v>
      </c>
      <c r="G12">
        <v>4.3</v>
      </c>
      <c r="H12">
        <v>2023</v>
      </c>
      <c r="I12" t="s">
        <v>1033</v>
      </c>
      <c r="J12" t="s">
        <v>1019</v>
      </c>
      <c r="K12">
        <v>4</v>
      </c>
      <c r="T12" t="s">
        <v>2071</v>
      </c>
      <c r="U12">
        <v>3</v>
      </c>
    </row>
    <row r="13" spans="1:21" x14ac:dyDescent="0.3">
      <c r="A13" t="s">
        <v>1230</v>
      </c>
      <c r="B13" t="s">
        <v>1047</v>
      </c>
      <c r="C13">
        <v>75</v>
      </c>
      <c r="D13" t="s">
        <v>1017</v>
      </c>
      <c r="E13" s="1">
        <v>44992</v>
      </c>
      <c r="F13">
        <v>111</v>
      </c>
      <c r="G13">
        <v>3.4</v>
      </c>
      <c r="H13">
        <v>2023</v>
      </c>
      <c r="I13" t="s">
        <v>1033</v>
      </c>
      <c r="J13" t="s">
        <v>1019</v>
      </c>
      <c r="K13">
        <v>3</v>
      </c>
      <c r="T13" t="s">
        <v>2071</v>
      </c>
      <c r="U13">
        <v>3</v>
      </c>
    </row>
    <row r="14" spans="1:21" x14ac:dyDescent="0.3">
      <c r="A14" t="s">
        <v>1231</v>
      </c>
      <c r="B14" t="s">
        <v>1045</v>
      </c>
      <c r="C14">
        <v>92</v>
      </c>
      <c r="D14" t="s">
        <v>1017</v>
      </c>
      <c r="E14" s="1">
        <v>44992</v>
      </c>
      <c r="F14">
        <v>58</v>
      </c>
      <c r="G14">
        <v>3.6</v>
      </c>
      <c r="H14">
        <v>2023</v>
      </c>
      <c r="I14" t="s">
        <v>1033</v>
      </c>
      <c r="J14" t="s">
        <v>1019</v>
      </c>
      <c r="K14">
        <v>4</v>
      </c>
      <c r="T14" t="s">
        <v>2071</v>
      </c>
      <c r="U14">
        <v>3</v>
      </c>
    </row>
    <row r="15" spans="1:21" x14ac:dyDescent="0.3">
      <c r="A15" t="s">
        <v>1266</v>
      </c>
      <c r="B15" t="s">
        <v>1055</v>
      </c>
      <c r="C15">
        <v>63</v>
      </c>
      <c r="D15" t="s">
        <v>1017</v>
      </c>
      <c r="E15" s="1">
        <v>44999</v>
      </c>
      <c r="F15">
        <v>105</v>
      </c>
      <c r="G15">
        <v>3.3</v>
      </c>
      <c r="H15">
        <v>2023</v>
      </c>
      <c r="I15" t="s">
        <v>1033</v>
      </c>
      <c r="J15" t="s">
        <v>1019</v>
      </c>
      <c r="K15">
        <v>3</v>
      </c>
      <c r="T15" t="s">
        <v>2071</v>
      </c>
      <c r="U15">
        <v>3</v>
      </c>
    </row>
    <row r="16" spans="1:21" x14ac:dyDescent="0.3">
      <c r="A16" t="s">
        <v>1304</v>
      </c>
      <c r="B16" t="s">
        <v>1068</v>
      </c>
      <c r="C16">
        <v>154</v>
      </c>
      <c r="D16" t="s">
        <v>1017</v>
      </c>
      <c r="E16" s="1">
        <v>45006</v>
      </c>
      <c r="F16">
        <v>90</v>
      </c>
      <c r="G16">
        <v>4.5</v>
      </c>
      <c r="H16">
        <v>2023</v>
      </c>
      <c r="I16" t="s">
        <v>1033</v>
      </c>
      <c r="J16" t="s">
        <v>1031</v>
      </c>
      <c r="K16">
        <v>5</v>
      </c>
      <c r="T16" t="s">
        <v>2071</v>
      </c>
      <c r="U16">
        <v>3</v>
      </c>
    </row>
    <row r="17" spans="1:21" x14ac:dyDescent="0.3">
      <c r="A17" t="s">
        <v>1392</v>
      </c>
      <c r="B17" t="s">
        <v>1036</v>
      </c>
      <c r="C17">
        <v>25</v>
      </c>
      <c r="D17" t="s">
        <v>1017</v>
      </c>
      <c r="E17" s="1">
        <v>45027</v>
      </c>
      <c r="F17">
        <v>75</v>
      </c>
      <c r="G17">
        <v>3.9</v>
      </c>
      <c r="H17">
        <v>2023</v>
      </c>
      <c r="I17" t="s">
        <v>1033</v>
      </c>
      <c r="J17" t="s">
        <v>1056</v>
      </c>
      <c r="K17">
        <v>4</v>
      </c>
      <c r="T17" t="s">
        <v>2072</v>
      </c>
      <c r="U17">
        <v>4</v>
      </c>
    </row>
    <row r="18" spans="1:21" x14ac:dyDescent="0.3">
      <c r="A18" t="s">
        <v>1422</v>
      </c>
      <c r="B18" t="s">
        <v>1023</v>
      </c>
      <c r="C18">
        <v>88</v>
      </c>
      <c r="D18" t="s">
        <v>1017</v>
      </c>
      <c r="E18" s="1">
        <v>45034</v>
      </c>
      <c r="F18">
        <v>81</v>
      </c>
      <c r="G18">
        <v>4.2</v>
      </c>
      <c r="H18">
        <v>2023</v>
      </c>
      <c r="I18" t="s">
        <v>1033</v>
      </c>
      <c r="J18" t="s">
        <v>1019</v>
      </c>
      <c r="K18">
        <v>4</v>
      </c>
      <c r="T18" t="s">
        <v>2072</v>
      </c>
      <c r="U18">
        <v>4</v>
      </c>
    </row>
    <row r="19" spans="1:21" x14ac:dyDescent="0.3">
      <c r="A19" t="s">
        <v>1423</v>
      </c>
      <c r="B19" t="s">
        <v>1045</v>
      </c>
      <c r="C19">
        <v>6</v>
      </c>
      <c r="D19" t="s">
        <v>1017</v>
      </c>
      <c r="E19" s="1">
        <v>45034</v>
      </c>
      <c r="F19">
        <v>75</v>
      </c>
      <c r="G19">
        <v>3.9</v>
      </c>
      <c r="H19">
        <v>2023</v>
      </c>
      <c r="I19" t="s">
        <v>1033</v>
      </c>
      <c r="J19" t="s">
        <v>1186</v>
      </c>
      <c r="K19">
        <v>4</v>
      </c>
      <c r="T19" t="s">
        <v>2072</v>
      </c>
      <c r="U19">
        <v>4</v>
      </c>
    </row>
    <row r="20" spans="1:21" x14ac:dyDescent="0.3">
      <c r="A20" t="s">
        <v>1561</v>
      </c>
      <c r="B20" t="s">
        <v>1036</v>
      </c>
      <c r="C20">
        <v>63</v>
      </c>
      <c r="D20" t="s">
        <v>1017</v>
      </c>
      <c r="E20" s="1">
        <v>45076</v>
      </c>
      <c r="F20">
        <v>44</v>
      </c>
      <c r="G20">
        <v>3</v>
      </c>
      <c r="H20">
        <v>2023</v>
      </c>
      <c r="I20" t="s">
        <v>1033</v>
      </c>
      <c r="J20" t="s">
        <v>1019</v>
      </c>
      <c r="K20">
        <v>3</v>
      </c>
      <c r="T20" t="s">
        <v>2073</v>
      </c>
      <c r="U20">
        <v>5</v>
      </c>
    </row>
    <row r="21" spans="1:21" x14ac:dyDescent="0.3">
      <c r="A21" t="s">
        <v>1587</v>
      </c>
      <c r="B21" t="s">
        <v>1047</v>
      </c>
      <c r="C21">
        <v>121</v>
      </c>
      <c r="D21" t="s">
        <v>1017</v>
      </c>
      <c r="E21" s="1">
        <v>45090</v>
      </c>
      <c r="F21">
        <v>84</v>
      </c>
      <c r="G21">
        <v>4.5999999999999996</v>
      </c>
      <c r="H21">
        <v>2023</v>
      </c>
      <c r="I21" t="s">
        <v>1033</v>
      </c>
      <c r="J21" t="s">
        <v>1031</v>
      </c>
      <c r="K21">
        <v>5</v>
      </c>
      <c r="T21" t="s">
        <v>2074</v>
      </c>
      <c r="U21">
        <v>6</v>
      </c>
    </row>
    <row r="22" spans="1:21" x14ac:dyDescent="0.3">
      <c r="A22" t="s">
        <v>1588</v>
      </c>
      <c r="B22" t="s">
        <v>1047</v>
      </c>
      <c r="C22">
        <v>60</v>
      </c>
      <c r="D22" t="s">
        <v>1017</v>
      </c>
      <c r="E22" s="1">
        <v>45090</v>
      </c>
      <c r="F22">
        <v>37</v>
      </c>
      <c r="G22">
        <v>3.9</v>
      </c>
      <c r="H22">
        <v>2023</v>
      </c>
      <c r="I22" t="s">
        <v>1033</v>
      </c>
      <c r="J22" t="s">
        <v>1034</v>
      </c>
      <c r="K22">
        <v>4</v>
      </c>
      <c r="T22" t="s">
        <v>2074</v>
      </c>
      <c r="U22">
        <v>6</v>
      </c>
    </row>
    <row r="23" spans="1:21" x14ac:dyDescent="0.3">
      <c r="A23" t="s">
        <v>1755</v>
      </c>
      <c r="B23" t="s">
        <v>1047</v>
      </c>
      <c r="C23">
        <v>131</v>
      </c>
      <c r="D23" t="s">
        <v>1017</v>
      </c>
      <c r="E23" s="1">
        <v>45174</v>
      </c>
      <c r="F23">
        <v>75</v>
      </c>
      <c r="G23">
        <v>4.4000000000000004</v>
      </c>
      <c r="H23">
        <v>2024</v>
      </c>
      <c r="I23" t="s">
        <v>1033</v>
      </c>
      <c r="J23" t="s">
        <v>1031</v>
      </c>
      <c r="K23">
        <v>4</v>
      </c>
      <c r="T23" t="s">
        <v>2077</v>
      </c>
      <c r="U23">
        <v>9</v>
      </c>
    </row>
    <row r="24" spans="1:21" x14ac:dyDescent="0.3">
      <c r="A24" t="s">
        <v>1800</v>
      </c>
      <c r="B24" t="s">
        <v>1047</v>
      </c>
      <c r="C24">
        <v>96</v>
      </c>
      <c r="D24" t="s">
        <v>1017</v>
      </c>
      <c r="E24" s="1">
        <v>45195</v>
      </c>
      <c r="F24">
        <v>42</v>
      </c>
      <c r="G24">
        <v>4.5</v>
      </c>
      <c r="H24">
        <v>2024</v>
      </c>
      <c r="I24" t="s">
        <v>1033</v>
      </c>
      <c r="J24" t="s">
        <v>1019</v>
      </c>
      <c r="K24">
        <v>5</v>
      </c>
      <c r="T24" t="s">
        <v>2077</v>
      </c>
      <c r="U24">
        <v>9</v>
      </c>
    </row>
    <row r="25" spans="1:21" x14ac:dyDescent="0.3">
      <c r="A25" t="s">
        <v>1836</v>
      </c>
      <c r="B25" t="s">
        <v>1055</v>
      </c>
      <c r="C25">
        <v>89</v>
      </c>
      <c r="D25" t="s">
        <v>1017</v>
      </c>
      <c r="E25" s="1">
        <v>45202</v>
      </c>
      <c r="F25">
        <v>81</v>
      </c>
      <c r="G25">
        <v>3.8</v>
      </c>
      <c r="H25">
        <v>2024</v>
      </c>
      <c r="I25" t="s">
        <v>1033</v>
      </c>
      <c r="J25" t="s">
        <v>1019</v>
      </c>
      <c r="K25">
        <v>4</v>
      </c>
      <c r="T25" t="s">
        <v>2078</v>
      </c>
      <c r="U25">
        <v>10</v>
      </c>
    </row>
    <row r="26" spans="1:21" x14ac:dyDescent="0.3">
      <c r="A26" t="s">
        <v>1861</v>
      </c>
      <c r="B26" t="s">
        <v>1078</v>
      </c>
      <c r="C26">
        <v>63</v>
      </c>
      <c r="D26" t="s">
        <v>1017</v>
      </c>
      <c r="E26" s="1">
        <v>45209</v>
      </c>
      <c r="F26">
        <v>172</v>
      </c>
      <c r="G26">
        <v>4.9000000000000004</v>
      </c>
      <c r="H26">
        <v>2024</v>
      </c>
      <c r="I26" t="s">
        <v>1033</v>
      </c>
      <c r="J26" t="s">
        <v>1019</v>
      </c>
      <c r="K26">
        <v>5</v>
      </c>
      <c r="T26" t="s">
        <v>2078</v>
      </c>
      <c r="U26">
        <v>10</v>
      </c>
    </row>
    <row r="27" spans="1:21" x14ac:dyDescent="0.3">
      <c r="A27" t="s">
        <v>1889</v>
      </c>
      <c r="B27" t="s">
        <v>1036</v>
      </c>
      <c r="C27">
        <v>137</v>
      </c>
      <c r="D27" t="s">
        <v>1017</v>
      </c>
      <c r="E27" s="1">
        <v>45216</v>
      </c>
      <c r="F27">
        <v>45</v>
      </c>
      <c r="G27">
        <v>4.4000000000000004</v>
      </c>
      <c r="H27">
        <v>2024</v>
      </c>
      <c r="I27" t="s">
        <v>1033</v>
      </c>
      <c r="J27" t="s">
        <v>1031</v>
      </c>
      <c r="K27">
        <v>4</v>
      </c>
      <c r="T27" t="s">
        <v>2078</v>
      </c>
      <c r="U27">
        <v>10</v>
      </c>
    </row>
    <row r="28" spans="1:21" x14ac:dyDescent="0.3">
      <c r="A28" t="s">
        <v>1912</v>
      </c>
      <c r="B28" t="s">
        <v>1068</v>
      </c>
      <c r="C28">
        <v>72</v>
      </c>
      <c r="D28" t="s">
        <v>1017</v>
      </c>
      <c r="E28" s="1">
        <v>45223</v>
      </c>
      <c r="F28">
        <v>41</v>
      </c>
      <c r="G28">
        <v>4.3</v>
      </c>
      <c r="H28">
        <v>2024</v>
      </c>
      <c r="I28" t="s">
        <v>1033</v>
      </c>
      <c r="J28" t="s">
        <v>1019</v>
      </c>
      <c r="K28">
        <v>4</v>
      </c>
      <c r="T28" t="s">
        <v>2078</v>
      </c>
      <c r="U28">
        <v>10</v>
      </c>
    </row>
    <row r="29" spans="1:21" x14ac:dyDescent="0.3">
      <c r="A29" t="s">
        <v>1960</v>
      </c>
      <c r="B29" t="s">
        <v>1047</v>
      </c>
      <c r="C29">
        <v>39</v>
      </c>
      <c r="D29" t="s">
        <v>1017</v>
      </c>
      <c r="E29" s="1">
        <v>45244</v>
      </c>
      <c r="F29">
        <v>43</v>
      </c>
      <c r="G29">
        <v>4.2</v>
      </c>
      <c r="H29">
        <v>2024</v>
      </c>
      <c r="I29" t="s">
        <v>1033</v>
      </c>
      <c r="J29" t="s">
        <v>1034</v>
      </c>
      <c r="K29">
        <v>4</v>
      </c>
      <c r="T29" t="s">
        <v>2079</v>
      </c>
      <c r="U29">
        <v>11</v>
      </c>
    </row>
    <row r="30" spans="1:21" x14ac:dyDescent="0.3">
      <c r="A30" t="s">
        <v>1988</v>
      </c>
      <c r="B30" t="s">
        <v>1023</v>
      </c>
      <c r="C30">
        <v>80</v>
      </c>
      <c r="D30" t="s">
        <v>1017</v>
      </c>
      <c r="E30" s="1">
        <v>45258</v>
      </c>
      <c r="F30">
        <v>148</v>
      </c>
      <c r="G30">
        <v>4.0999999999999996</v>
      </c>
      <c r="H30">
        <v>2024</v>
      </c>
      <c r="I30" t="s">
        <v>1033</v>
      </c>
      <c r="J30" t="s">
        <v>1019</v>
      </c>
      <c r="K30">
        <v>4</v>
      </c>
      <c r="T30" t="s">
        <v>2079</v>
      </c>
      <c r="U30">
        <v>11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66F11-707C-4D01-BC13-0307563B921D}">
  <dimension ref="A1:U47"/>
  <sheetViews>
    <sheetView workbookViewId="0">
      <selection activeCell="G28" sqref="G28"/>
    </sheetView>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 min="20" max="20" width="27.33203125" bestFit="1" customWidth="1"/>
    <col min="21" max="21" width="32.44140625" bestFit="1" customWidth="1"/>
  </cols>
  <sheetData>
    <row r="1" spans="1:21" x14ac:dyDescent="0.3">
      <c r="A1" s="15" t="s">
        <v>2110</v>
      </c>
    </row>
    <row r="3" spans="1:21"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c r="T3" t="s">
        <v>2107</v>
      </c>
      <c r="U3" t="s">
        <v>2108</v>
      </c>
    </row>
    <row r="4" spans="1:21" x14ac:dyDescent="0.3">
      <c r="A4" t="s">
        <v>1020</v>
      </c>
      <c r="B4" t="s">
        <v>1021</v>
      </c>
      <c r="C4">
        <v>119</v>
      </c>
      <c r="D4" t="s">
        <v>1017</v>
      </c>
      <c r="E4" s="1">
        <v>44927</v>
      </c>
      <c r="F4">
        <v>135</v>
      </c>
      <c r="G4">
        <v>2.9</v>
      </c>
      <c r="H4">
        <v>2023</v>
      </c>
      <c r="I4" t="s">
        <v>1018</v>
      </c>
      <c r="J4" t="s">
        <v>1019</v>
      </c>
      <c r="K4">
        <v>3</v>
      </c>
      <c r="P4" t="s">
        <v>1047</v>
      </c>
      <c r="Q4" t="s">
        <v>24</v>
      </c>
      <c r="R4">
        <v>31</v>
      </c>
      <c r="S4" t="s">
        <v>2057</v>
      </c>
      <c r="T4" t="s">
        <v>2069</v>
      </c>
      <c r="U4">
        <v>1</v>
      </c>
    </row>
    <row r="5" spans="1:21" x14ac:dyDescent="0.3">
      <c r="A5" t="s">
        <v>1044</v>
      </c>
      <c r="B5" t="s">
        <v>1045</v>
      </c>
      <c r="C5">
        <v>135</v>
      </c>
      <c r="D5" t="s">
        <v>1017</v>
      </c>
      <c r="E5" s="1">
        <v>44929</v>
      </c>
      <c r="F5">
        <v>46</v>
      </c>
      <c r="G5">
        <v>3.4</v>
      </c>
      <c r="H5">
        <v>2023</v>
      </c>
      <c r="I5" t="s">
        <v>1033</v>
      </c>
      <c r="J5" t="s">
        <v>1031</v>
      </c>
      <c r="K5">
        <v>3</v>
      </c>
      <c r="P5" t="s">
        <v>1068</v>
      </c>
      <c r="Q5" t="s">
        <v>11</v>
      </c>
      <c r="R5">
        <v>28</v>
      </c>
      <c r="S5" t="s">
        <v>2058</v>
      </c>
      <c r="T5" t="s">
        <v>2069</v>
      </c>
      <c r="U5">
        <v>1</v>
      </c>
    </row>
    <row r="6" spans="1:21" x14ac:dyDescent="0.3">
      <c r="A6" t="s">
        <v>1127</v>
      </c>
      <c r="B6" t="s">
        <v>1098</v>
      </c>
      <c r="C6">
        <v>109</v>
      </c>
      <c r="D6" t="s">
        <v>1017</v>
      </c>
      <c r="E6" s="1">
        <v>44958</v>
      </c>
      <c r="F6">
        <v>105</v>
      </c>
      <c r="G6">
        <v>3.3</v>
      </c>
      <c r="H6">
        <v>2023</v>
      </c>
      <c r="I6" t="s">
        <v>1048</v>
      </c>
      <c r="J6" t="s">
        <v>1019</v>
      </c>
      <c r="K6">
        <v>3</v>
      </c>
      <c r="T6" t="s">
        <v>2070</v>
      </c>
      <c r="U6">
        <v>2</v>
      </c>
    </row>
    <row r="7" spans="1:21" x14ac:dyDescent="0.3">
      <c r="A7" t="s">
        <v>1128</v>
      </c>
      <c r="B7" t="s">
        <v>1021</v>
      </c>
      <c r="C7">
        <v>78</v>
      </c>
      <c r="D7" t="s">
        <v>1017</v>
      </c>
      <c r="E7" s="1">
        <v>44958</v>
      </c>
      <c r="F7">
        <v>62</v>
      </c>
      <c r="G7">
        <v>3.1</v>
      </c>
      <c r="H7">
        <v>2023</v>
      </c>
      <c r="I7" t="s">
        <v>1048</v>
      </c>
      <c r="J7" t="s">
        <v>1019</v>
      </c>
      <c r="K7">
        <v>3</v>
      </c>
      <c r="T7" t="s">
        <v>2070</v>
      </c>
      <c r="U7">
        <v>2</v>
      </c>
    </row>
    <row r="8" spans="1:21" x14ac:dyDescent="0.3">
      <c r="A8" t="s">
        <v>1181</v>
      </c>
      <c r="B8" t="s">
        <v>1055</v>
      </c>
      <c r="C8">
        <v>62</v>
      </c>
      <c r="D8" t="s">
        <v>1017</v>
      </c>
      <c r="E8" s="1">
        <v>44982</v>
      </c>
      <c r="F8">
        <v>21</v>
      </c>
      <c r="G8">
        <v>2.6</v>
      </c>
      <c r="H8">
        <v>2023</v>
      </c>
      <c r="I8" t="s">
        <v>1062</v>
      </c>
      <c r="J8" t="s">
        <v>1019</v>
      </c>
      <c r="K8">
        <v>3</v>
      </c>
      <c r="T8" t="s">
        <v>2070</v>
      </c>
      <c r="U8">
        <v>2</v>
      </c>
    </row>
    <row r="9" spans="1:21" x14ac:dyDescent="0.3">
      <c r="A9" t="s">
        <v>1230</v>
      </c>
      <c r="B9" t="s">
        <v>1047</v>
      </c>
      <c r="C9">
        <v>75</v>
      </c>
      <c r="D9" t="s">
        <v>1017</v>
      </c>
      <c r="E9" s="1">
        <v>44992</v>
      </c>
      <c r="F9">
        <v>111</v>
      </c>
      <c r="G9">
        <v>3.4</v>
      </c>
      <c r="H9">
        <v>2023</v>
      </c>
      <c r="I9" t="s">
        <v>1033</v>
      </c>
      <c r="J9" t="s">
        <v>1019</v>
      </c>
      <c r="K9">
        <v>3</v>
      </c>
      <c r="T9" t="s">
        <v>2071</v>
      </c>
      <c r="U9">
        <v>3</v>
      </c>
    </row>
    <row r="10" spans="1:21" x14ac:dyDescent="0.3">
      <c r="A10" t="s">
        <v>1240</v>
      </c>
      <c r="B10" t="s">
        <v>1021</v>
      </c>
      <c r="C10">
        <v>155</v>
      </c>
      <c r="D10" t="s">
        <v>1017</v>
      </c>
      <c r="E10" s="1">
        <v>44995</v>
      </c>
      <c r="F10">
        <v>164</v>
      </c>
      <c r="G10">
        <v>3.4</v>
      </c>
      <c r="H10">
        <v>2023</v>
      </c>
      <c r="I10" t="s">
        <v>411</v>
      </c>
      <c r="J10" t="s">
        <v>1031</v>
      </c>
      <c r="K10">
        <v>3</v>
      </c>
      <c r="T10" t="s">
        <v>2071</v>
      </c>
      <c r="U10">
        <v>3</v>
      </c>
    </row>
    <row r="11" spans="1:21" x14ac:dyDescent="0.3">
      <c r="A11" t="s">
        <v>1250</v>
      </c>
      <c r="B11" t="s">
        <v>1045</v>
      </c>
      <c r="C11">
        <v>134</v>
      </c>
      <c r="D11" t="s">
        <v>1017</v>
      </c>
      <c r="E11" s="1">
        <v>44996</v>
      </c>
      <c r="F11">
        <v>180</v>
      </c>
      <c r="G11">
        <v>3.1</v>
      </c>
      <c r="H11">
        <v>2023</v>
      </c>
      <c r="I11" t="s">
        <v>1062</v>
      </c>
      <c r="J11" t="s">
        <v>1031</v>
      </c>
      <c r="K11">
        <v>3</v>
      </c>
      <c r="T11" t="s">
        <v>2071</v>
      </c>
      <c r="U11">
        <v>3</v>
      </c>
    </row>
    <row r="12" spans="1:21" x14ac:dyDescent="0.3">
      <c r="A12" t="s">
        <v>1266</v>
      </c>
      <c r="B12" t="s">
        <v>1055</v>
      </c>
      <c r="C12">
        <v>63</v>
      </c>
      <c r="D12" t="s">
        <v>1017</v>
      </c>
      <c r="E12" s="1">
        <v>44999</v>
      </c>
      <c r="F12">
        <v>105</v>
      </c>
      <c r="G12">
        <v>3.3</v>
      </c>
      <c r="H12">
        <v>2023</v>
      </c>
      <c r="I12" t="s">
        <v>1033</v>
      </c>
      <c r="J12" t="s">
        <v>1019</v>
      </c>
      <c r="K12">
        <v>3</v>
      </c>
      <c r="T12" t="s">
        <v>2071</v>
      </c>
      <c r="U12">
        <v>3</v>
      </c>
    </row>
    <row r="13" spans="1:21" x14ac:dyDescent="0.3">
      <c r="A13" t="s">
        <v>1296</v>
      </c>
      <c r="B13" t="s">
        <v>1021</v>
      </c>
      <c r="C13">
        <v>55</v>
      </c>
      <c r="D13" t="s">
        <v>1017</v>
      </c>
      <c r="E13" s="1">
        <v>45005</v>
      </c>
      <c r="F13">
        <v>99</v>
      </c>
      <c r="G13">
        <v>2.7</v>
      </c>
      <c r="H13">
        <v>2023</v>
      </c>
      <c r="I13" t="s">
        <v>1030</v>
      </c>
      <c r="J13" t="s">
        <v>1034</v>
      </c>
      <c r="K13">
        <v>3</v>
      </c>
      <c r="T13" t="s">
        <v>2071</v>
      </c>
      <c r="U13">
        <v>3</v>
      </c>
    </row>
    <row r="14" spans="1:21" x14ac:dyDescent="0.3">
      <c r="A14" t="s">
        <v>1315</v>
      </c>
      <c r="B14" t="s">
        <v>1068</v>
      </c>
      <c r="C14">
        <v>125</v>
      </c>
      <c r="D14" t="s">
        <v>1017</v>
      </c>
      <c r="E14" s="1">
        <v>45010</v>
      </c>
      <c r="F14">
        <v>27</v>
      </c>
      <c r="G14">
        <v>3</v>
      </c>
      <c r="H14">
        <v>2023</v>
      </c>
      <c r="I14" t="s">
        <v>1062</v>
      </c>
      <c r="J14" t="s">
        <v>1031</v>
      </c>
      <c r="K14">
        <v>3</v>
      </c>
      <c r="T14" t="s">
        <v>2071</v>
      </c>
      <c r="U14">
        <v>3</v>
      </c>
    </row>
    <row r="15" spans="1:21" x14ac:dyDescent="0.3">
      <c r="A15" t="s">
        <v>1321</v>
      </c>
      <c r="B15" t="s">
        <v>1016</v>
      </c>
      <c r="C15">
        <v>160</v>
      </c>
      <c r="D15" t="s">
        <v>1017</v>
      </c>
      <c r="E15" s="1">
        <v>45010</v>
      </c>
      <c r="F15">
        <v>116</v>
      </c>
      <c r="G15">
        <v>3.4</v>
      </c>
      <c r="H15">
        <v>2023</v>
      </c>
      <c r="I15" t="s">
        <v>1062</v>
      </c>
      <c r="J15" t="s">
        <v>1031</v>
      </c>
      <c r="K15">
        <v>3</v>
      </c>
      <c r="T15" t="s">
        <v>2071</v>
      </c>
      <c r="U15">
        <v>3</v>
      </c>
    </row>
    <row r="16" spans="1:21" x14ac:dyDescent="0.3">
      <c r="A16" t="s">
        <v>1326</v>
      </c>
      <c r="B16" t="s">
        <v>1021</v>
      </c>
      <c r="C16">
        <v>103</v>
      </c>
      <c r="D16" t="s">
        <v>1017</v>
      </c>
      <c r="E16" s="1">
        <v>45011</v>
      </c>
      <c r="F16">
        <v>42</v>
      </c>
      <c r="G16">
        <v>2.8</v>
      </c>
      <c r="H16">
        <v>2023</v>
      </c>
      <c r="I16" t="s">
        <v>1018</v>
      </c>
      <c r="J16" t="s">
        <v>1019</v>
      </c>
      <c r="K16">
        <v>3</v>
      </c>
      <c r="T16" t="s">
        <v>2071</v>
      </c>
      <c r="U16">
        <v>3</v>
      </c>
    </row>
    <row r="17" spans="1:21" x14ac:dyDescent="0.3">
      <c r="A17" t="s">
        <v>1341</v>
      </c>
      <c r="B17" t="s">
        <v>1098</v>
      </c>
      <c r="C17">
        <v>95</v>
      </c>
      <c r="D17" t="s">
        <v>1017</v>
      </c>
      <c r="E17" s="1">
        <v>45014</v>
      </c>
      <c r="F17">
        <v>111</v>
      </c>
      <c r="G17">
        <v>3.3</v>
      </c>
      <c r="H17">
        <v>2023</v>
      </c>
      <c r="I17" t="s">
        <v>1048</v>
      </c>
      <c r="J17" t="s">
        <v>1019</v>
      </c>
      <c r="K17">
        <v>3</v>
      </c>
      <c r="T17" t="s">
        <v>2071</v>
      </c>
      <c r="U17">
        <v>3</v>
      </c>
    </row>
    <row r="18" spans="1:21" x14ac:dyDescent="0.3">
      <c r="A18" t="s">
        <v>1343</v>
      </c>
      <c r="B18" t="s">
        <v>1028</v>
      </c>
      <c r="C18">
        <v>49</v>
      </c>
      <c r="D18" t="s">
        <v>1017</v>
      </c>
      <c r="E18" s="1">
        <v>45014</v>
      </c>
      <c r="F18">
        <v>80</v>
      </c>
      <c r="G18">
        <v>3</v>
      </c>
      <c r="H18">
        <v>2023</v>
      </c>
      <c r="I18" t="s">
        <v>1048</v>
      </c>
      <c r="J18" t="s">
        <v>1034</v>
      </c>
      <c r="K18">
        <v>3</v>
      </c>
      <c r="T18" t="s">
        <v>2071</v>
      </c>
      <c r="U18">
        <v>3</v>
      </c>
    </row>
    <row r="19" spans="1:21" x14ac:dyDescent="0.3">
      <c r="A19" t="s">
        <v>1345</v>
      </c>
      <c r="B19" t="s">
        <v>1055</v>
      </c>
      <c r="C19">
        <v>87</v>
      </c>
      <c r="D19" t="s">
        <v>1017</v>
      </c>
      <c r="E19" s="1">
        <v>45016</v>
      </c>
      <c r="F19">
        <v>225</v>
      </c>
      <c r="G19">
        <v>2.9</v>
      </c>
      <c r="H19">
        <v>2023</v>
      </c>
      <c r="I19" t="s">
        <v>411</v>
      </c>
      <c r="J19" t="s">
        <v>1019</v>
      </c>
      <c r="K19">
        <v>3</v>
      </c>
      <c r="T19" t="s">
        <v>2071</v>
      </c>
      <c r="U19">
        <v>3</v>
      </c>
    </row>
    <row r="20" spans="1:21" x14ac:dyDescent="0.3">
      <c r="A20" t="s">
        <v>1376</v>
      </c>
      <c r="B20" t="s">
        <v>1028</v>
      </c>
      <c r="C20">
        <v>49</v>
      </c>
      <c r="D20" t="s">
        <v>1017</v>
      </c>
      <c r="E20" s="1">
        <v>45024</v>
      </c>
      <c r="F20">
        <v>172</v>
      </c>
      <c r="G20">
        <v>2.9</v>
      </c>
      <c r="H20">
        <v>2023</v>
      </c>
      <c r="I20" t="s">
        <v>1062</v>
      </c>
      <c r="J20" t="s">
        <v>1034</v>
      </c>
      <c r="K20">
        <v>3</v>
      </c>
      <c r="T20" t="s">
        <v>2072</v>
      </c>
      <c r="U20">
        <v>4</v>
      </c>
    </row>
    <row r="21" spans="1:21" x14ac:dyDescent="0.3">
      <c r="A21" t="s">
        <v>1434</v>
      </c>
      <c r="B21" t="s">
        <v>1021</v>
      </c>
      <c r="C21">
        <v>82</v>
      </c>
      <c r="D21" t="s">
        <v>1017</v>
      </c>
      <c r="E21" s="1">
        <v>45037</v>
      </c>
      <c r="F21">
        <v>144</v>
      </c>
      <c r="G21">
        <v>3.3</v>
      </c>
      <c r="H21">
        <v>2023</v>
      </c>
      <c r="I21" t="s">
        <v>411</v>
      </c>
      <c r="J21" t="s">
        <v>1019</v>
      </c>
      <c r="K21">
        <v>3</v>
      </c>
      <c r="T21" t="s">
        <v>2072</v>
      </c>
      <c r="U21">
        <v>4</v>
      </c>
    </row>
    <row r="22" spans="1:21" x14ac:dyDescent="0.3">
      <c r="A22" t="s">
        <v>1446</v>
      </c>
      <c r="B22" t="s">
        <v>1041</v>
      </c>
      <c r="C22">
        <v>84</v>
      </c>
      <c r="D22" t="s">
        <v>1017</v>
      </c>
      <c r="E22" s="1">
        <v>45038</v>
      </c>
      <c r="F22">
        <v>156</v>
      </c>
      <c r="G22">
        <v>3.2</v>
      </c>
      <c r="H22">
        <v>2023</v>
      </c>
      <c r="I22" t="s">
        <v>1062</v>
      </c>
      <c r="J22" t="s">
        <v>1019</v>
      </c>
      <c r="K22">
        <v>3</v>
      </c>
      <c r="T22" t="s">
        <v>2072</v>
      </c>
      <c r="U22">
        <v>4</v>
      </c>
    </row>
    <row r="23" spans="1:21" x14ac:dyDescent="0.3">
      <c r="A23" t="s">
        <v>1472</v>
      </c>
      <c r="B23" t="s">
        <v>1026</v>
      </c>
      <c r="C23">
        <v>156</v>
      </c>
      <c r="D23" t="s">
        <v>1017</v>
      </c>
      <c r="E23" s="1">
        <v>45043</v>
      </c>
      <c r="F23">
        <v>42</v>
      </c>
      <c r="G23">
        <v>3.3</v>
      </c>
      <c r="H23">
        <v>2023</v>
      </c>
      <c r="I23" t="s">
        <v>1052</v>
      </c>
      <c r="J23" t="s">
        <v>1031</v>
      </c>
      <c r="K23">
        <v>3</v>
      </c>
      <c r="T23" t="s">
        <v>2072</v>
      </c>
      <c r="U23">
        <v>4</v>
      </c>
    </row>
    <row r="24" spans="1:21" x14ac:dyDescent="0.3">
      <c r="A24" t="s">
        <v>1547</v>
      </c>
      <c r="B24" t="s">
        <v>1047</v>
      </c>
      <c r="C24">
        <v>103</v>
      </c>
      <c r="D24" t="s">
        <v>1017</v>
      </c>
      <c r="E24" s="1">
        <v>45072</v>
      </c>
      <c r="F24">
        <v>62</v>
      </c>
      <c r="G24">
        <v>3.4</v>
      </c>
      <c r="H24">
        <v>2023</v>
      </c>
      <c r="I24" t="s">
        <v>411</v>
      </c>
      <c r="J24" t="s">
        <v>1019</v>
      </c>
      <c r="K24">
        <v>3</v>
      </c>
      <c r="T24" t="s">
        <v>2073</v>
      </c>
      <c r="U24">
        <v>5</v>
      </c>
    </row>
    <row r="25" spans="1:21" x14ac:dyDescent="0.3">
      <c r="A25" t="s">
        <v>1554</v>
      </c>
      <c r="B25" t="s">
        <v>1045</v>
      </c>
      <c r="C25">
        <v>40</v>
      </c>
      <c r="D25" t="s">
        <v>1017</v>
      </c>
      <c r="E25" s="1">
        <v>45074</v>
      </c>
      <c r="F25">
        <v>116</v>
      </c>
      <c r="G25">
        <v>2.6</v>
      </c>
      <c r="H25">
        <v>2023</v>
      </c>
      <c r="I25" t="s">
        <v>1018</v>
      </c>
      <c r="J25" t="s">
        <v>1034</v>
      </c>
      <c r="K25">
        <v>3</v>
      </c>
      <c r="T25" t="s">
        <v>2073</v>
      </c>
      <c r="U25">
        <v>5</v>
      </c>
    </row>
    <row r="26" spans="1:21" x14ac:dyDescent="0.3">
      <c r="A26" t="s">
        <v>1561</v>
      </c>
      <c r="B26" t="s">
        <v>1036</v>
      </c>
      <c r="C26">
        <v>63</v>
      </c>
      <c r="D26" t="s">
        <v>1017</v>
      </c>
      <c r="E26" s="1">
        <v>45076</v>
      </c>
      <c r="F26">
        <v>44</v>
      </c>
      <c r="G26">
        <v>3</v>
      </c>
      <c r="H26">
        <v>2023</v>
      </c>
      <c r="I26" t="s">
        <v>1033</v>
      </c>
      <c r="J26" t="s">
        <v>1019</v>
      </c>
      <c r="K26">
        <v>3</v>
      </c>
      <c r="T26" t="s">
        <v>2073</v>
      </c>
      <c r="U26">
        <v>5</v>
      </c>
    </row>
    <row r="27" spans="1:21" x14ac:dyDescent="0.3">
      <c r="A27" t="s">
        <v>1612</v>
      </c>
      <c r="B27" t="s">
        <v>1023</v>
      </c>
      <c r="C27">
        <v>96</v>
      </c>
      <c r="D27" t="s">
        <v>1017</v>
      </c>
      <c r="E27" s="1">
        <v>45100</v>
      </c>
      <c r="F27">
        <v>46</v>
      </c>
      <c r="G27">
        <v>2.9</v>
      </c>
      <c r="H27">
        <v>2023</v>
      </c>
      <c r="I27" t="s">
        <v>411</v>
      </c>
      <c r="J27" t="s">
        <v>1019</v>
      </c>
      <c r="K27">
        <v>3</v>
      </c>
      <c r="T27" t="s">
        <v>2074</v>
      </c>
      <c r="U27">
        <v>6</v>
      </c>
    </row>
    <row r="28" spans="1:21" x14ac:dyDescent="0.3">
      <c r="A28" t="s">
        <v>1627</v>
      </c>
      <c r="B28" t="s">
        <v>1047</v>
      </c>
      <c r="C28">
        <v>80</v>
      </c>
      <c r="D28" t="s">
        <v>1017</v>
      </c>
      <c r="E28" s="1">
        <v>45105</v>
      </c>
      <c r="F28">
        <v>68</v>
      </c>
      <c r="G28">
        <v>3.1</v>
      </c>
      <c r="H28">
        <v>2023</v>
      </c>
      <c r="I28" t="s">
        <v>1048</v>
      </c>
      <c r="J28" t="s">
        <v>1019</v>
      </c>
      <c r="K28">
        <v>3</v>
      </c>
      <c r="T28" t="s">
        <v>2074</v>
      </c>
      <c r="U28">
        <v>6</v>
      </c>
    </row>
    <row r="29" spans="1:21" x14ac:dyDescent="0.3">
      <c r="A29" t="s">
        <v>1628</v>
      </c>
      <c r="B29" t="s">
        <v>1078</v>
      </c>
      <c r="C29">
        <v>28</v>
      </c>
      <c r="D29" t="s">
        <v>1017</v>
      </c>
      <c r="E29" s="1">
        <v>45105</v>
      </c>
      <c r="F29">
        <v>44</v>
      </c>
      <c r="G29">
        <v>2.9</v>
      </c>
      <c r="H29">
        <v>2023</v>
      </c>
      <c r="I29" t="s">
        <v>1048</v>
      </c>
      <c r="J29" t="s">
        <v>1056</v>
      </c>
      <c r="K29">
        <v>3</v>
      </c>
      <c r="T29" t="s">
        <v>2074</v>
      </c>
      <c r="U29">
        <v>6</v>
      </c>
    </row>
    <row r="30" spans="1:21" x14ac:dyDescent="0.3">
      <c r="A30" t="s">
        <v>1644</v>
      </c>
      <c r="B30" t="s">
        <v>1016</v>
      </c>
      <c r="C30">
        <v>102</v>
      </c>
      <c r="D30" t="s">
        <v>1017</v>
      </c>
      <c r="E30" s="1">
        <v>45113</v>
      </c>
      <c r="F30">
        <v>70</v>
      </c>
      <c r="G30">
        <v>2.8</v>
      </c>
      <c r="H30">
        <v>2024</v>
      </c>
      <c r="I30" t="s">
        <v>1052</v>
      </c>
      <c r="J30" t="s">
        <v>1019</v>
      </c>
      <c r="K30">
        <v>3</v>
      </c>
      <c r="T30" t="s">
        <v>2075</v>
      </c>
      <c r="U30">
        <v>7</v>
      </c>
    </row>
    <row r="31" spans="1:21" x14ac:dyDescent="0.3">
      <c r="A31" t="s">
        <v>1673</v>
      </c>
      <c r="B31" t="s">
        <v>1098</v>
      </c>
      <c r="C31">
        <v>109</v>
      </c>
      <c r="D31" t="s">
        <v>1017</v>
      </c>
      <c r="E31" s="1">
        <v>45126</v>
      </c>
      <c r="F31">
        <v>132</v>
      </c>
      <c r="G31">
        <v>3.1</v>
      </c>
      <c r="H31">
        <v>2024</v>
      </c>
      <c r="I31" t="s">
        <v>1048</v>
      </c>
      <c r="J31" t="s">
        <v>1019</v>
      </c>
      <c r="K31">
        <v>3</v>
      </c>
      <c r="T31" t="s">
        <v>2075</v>
      </c>
      <c r="U31">
        <v>7</v>
      </c>
    </row>
    <row r="32" spans="1:21" x14ac:dyDescent="0.3">
      <c r="A32" t="s">
        <v>1686</v>
      </c>
      <c r="B32" t="s">
        <v>1068</v>
      </c>
      <c r="C32">
        <v>75</v>
      </c>
      <c r="D32" t="s">
        <v>1017</v>
      </c>
      <c r="E32" s="1">
        <v>45134</v>
      </c>
      <c r="F32">
        <v>78</v>
      </c>
      <c r="G32">
        <v>3.3</v>
      </c>
      <c r="H32">
        <v>2024</v>
      </c>
      <c r="I32" t="s">
        <v>1052</v>
      </c>
      <c r="J32" t="s">
        <v>1019</v>
      </c>
      <c r="K32">
        <v>3</v>
      </c>
      <c r="T32" t="s">
        <v>2075</v>
      </c>
      <c r="U32">
        <v>7</v>
      </c>
    </row>
    <row r="33" spans="1:21" x14ac:dyDescent="0.3">
      <c r="A33" t="s">
        <v>1768</v>
      </c>
      <c r="B33" t="s">
        <v>1065</v>
      </c>
      <c r="C33">
        <v>124</v>
      </c>
      <c r="D33" t="s">
        <v>1017</v>
      </c>
      <c r="E33" s="1">
        <v>45179</v>
      </c>
      <c r="F33">
        <v>46</v>
      </c>
      <c r="G33">
        <v>3.1</v>
      </c>
      <c r="H33">
        <v>2024</v>
      </c>
      <c r="I33" t="s">
        <v>1018</v>
      </c>
      <c r="J33" t="s">
        <v>1031</v>
      </c>
      <c r="K33">
        <v>3</v>
      </c>
      <c r="T33" t="s">
        <v>2077</v>
      </c>
      <c r="U33">
        <v>9</v>
      </c>
    </row>
    <row r="34" spans="1:21" x14ac:dyDescent="0.3">
      <c r="A34" t="s">
        <v>1787</v>
      </c>
      <c r="B34" t="s">
        <v>1068</v>
      </c>
      <c r="C34">
        <v>136</v>
      </c>
      <c r="D34" t="s">
        <v>1017</v>
      </c>
      <c r="E34" s="1">
        <v>45190</v>
      </c>
      <c r="F34">
        <v>36</v>
      </c>
      <c r="G34">
        <v>2.8</v>
      </c>
      <c r="H34">
        <v>2024</v>
      </c>
      <c r="I34" t="s">
        <v>1052</v>
      </c>
      <c r="J34" t="s">
        <v>1031</v>
      </c>
      <c r="K34">
        <v>3</v>
      </c>
      <c r="T34" t="s">
        <v>2077</v>
      </c>
      <c r="U34">
        <v>9</v>
      </c>
    </row>
    <row r="35" spans="1:21" x14ac:dyDescent="0.3">
      <c r="A35" t="s">
        <v>1808</v>
      </c>
      <c r="B35" t="s">
        <v>1059</v>
      </c>
      <c r="C35">
        <v>110</v>
      </c>
      <c r="D35" t="s">
        <v>1017</v>
      </c>
      <c r="E35" s="1">
        <v>45198</v>
      </c>
      <c r="F35">
        <v>90</v>
      </c>
      <c r="G35">
        <v>3.1</v>
      </c>
      <c r="H35">
        <v>2024</v>
      </c>
      <c r="I35" t="s">
        <v>411</v>
      </c>
      <c r="J35" t="s">
        <v>1019</v>
      </c>
      <c r="K35">
        <v>3</v>
      </c>
      <c r="T35" t="s">
        <v>2077</v>
      </c>
      <c r="U35">
        <v>9</v>
      </c>
    </row>
    <row r="36" spans="1:21" x14ac:dyDescent="0.3">
      <c r="A36" t="s">
        <v>1816</v>
      </c>
      <c r="B36" t="s">
        <v>1028</v>
      </c>
      <c r="C36">
        <v>96</v>
      </c>
      <c r="D36" t="s">
        <v>1017</v>
      </c>
      <c r="E36" s="1">
        <v>45199</v>
      </c>
      <c r="F36">
        <v>195</v>
      </c>
      <c r="G36">
        <v>2.7</v>
      </c>
      <c r="H36">
        <v>2024</v>
      </c>
      <c r="I36" t="s">
        <v>1062</v>
      </c>
      <c r="J36" t="s">
        <v>1019</v>
      </c>
      <c r="K36">
        <v>3</v>
      </c>
      <c r="T36" t="s">
        <v>2077</v>
      </c>
      <c r="U36">
        <v>9</v>
      </c>
    </row>
    <row r="37" spans="1:21" x14ac:dyDescent="0.3">
      <c r="A37" t="s">
        <v>1818</v>
      </c>
      <c r="B37" t="s">
        <v>1065</v>
      </c>
      <c r="C37">
        <v>119</v>
      </c>
      <c r="D37" t="s">
        <v>1017</v>
      </c>
      <c r="E37" s="1">
        <v>45199</v>
      </c>
      <c r="F37">
        <v>96</v>
      </c>
      <c r="G37">
        <v>3.1</v>
      </c>
      <c r="H37">
        <v>2024</v>
      </c>
      <c r="I37" t="s">
        <v>1062</v>
      </c>
      <c r="J37" t="s">
        <v>1019</v>
      </c>
      <c r="K37">
        <v>3</v>
      </c>
      <c r="T37" t="s">
        <v>2077</v>
      </c>
      <c r="U37">
        <v>9</v>
      </c>
    </row>
    <row r="38" spans="1:21" x14ac:dyDescent="0.3">
      <c r="A38" t="s">
        <v>1822</v>
      </c>
      <c r="B38" t="s">
        <v>1059</v>
      </c>
      <c r="C38">
        <v>113</v>
      </c>
      <c r="D38" t="s">
        <v>1017</v>
      </c>
      <c r="E38" s="1">
        <v>45200</v>
      </c>
      <c r="F38">
        <v>40</v>
      </c>
      <c r="G38">
        <v>3</v>
      </c>
      <c r="H38">
        <v>2024</v>
      </c>
      <c r="I38" t="s">
        <v>1018</v>
      </c>
      <c r="J38" t="s">
        <v>1019</v>
      </c>
      <c r="K38">
        <v>3</v>
      </c>
      <c r="T38" t="s">
        <v>2078</v>
      </c>
      <c r="U38">
        <v>10</v>
      </c>
    </row>
    <row r="39" spans="1:21" x14ac:dyDescent="0.3">
      <c r="A39" t="s">
        <v>1846</v>
      </c>
      <c r="B39" t="s">
        <v>1059</v>
      </c>
      <c r="C39">
        <v>69</v>
      </c>
      <c r="D39" t="s">
        <v>1017</v>
      </c>
      <c r="E39" s="1">
        <v>45205</v>
      </c>
      <c r="F39">
        <v>99</v>
      </c>
      <c r="G39">
        <v>2.7</v>
      </c>
      <c r="H39">
        <v>2024</v>
      </c>
      <c r="I39" t="s">
        <v>411</v>
      </c>
      <c r="J39" t="s">
        <v>1019</v>
      </c>
      <c r="K39">
        <v>3</v>
      </c>
      <c r="T39" t="s">
        <v>2078</v>
      </c>
      <c r="U39">
        <v>10</v>
      </c>
    </row>
    <row r="40" spans="1:21" x14ac:dyDescent="0.3">
      <c r="A40" t="s">
        <v>1848</v>
      </c>
      <c r="B40" t="s">
        <v>1059</v>
      </c>
      <c r="C40">
        <v>134</v>
      </c>
      <c r="D40" t="s">
        <v>1017</v>
      </c>
      <c r="E40" s="1">
        <v>45205</v>
      </c>
      <c r="F40">
        <v>35</v>
      </c>
      <c r="G40">
        <v>3.4</v>
      </c>
      <c r="H40">
        <v>2024</v>
      </c>
      <c r="I40" t="s">
        <v>411</v>
      </c>
      <c r="J40" t="s">
        <v>1031</v>
      </c>
      <c r="K40">
        <v>3</v>
      </c>
      <c r="T40" t="s">
        <v>2078</v>
      </c>
      <c r="U40">
        <v>10</v>
      </c>
    </row>
    <row r="41" spans="1:21" x14ac:dyDescent="0.3">
      <c r="A41" t="s">
        <v>1877</v>
      </c>
      <c r="B41" t="s">
        <v>1016</v>
      </c>
      <c r="C41">
        <v>23</v>
      </c>
      <c r="D41" t="s">
        <v>1017</v>
      </c>
      <c r="E41" s="1">
        <v>45213</v>
      </c>
      <c r="F41">
        <v>24</v>
      </c>
      <c r="G41">
        <v>2.9</v>
      </c>
      <c r="H41">
        <v>2024</v>
      </c>
      <c r="I41" t="s">
        <v>1062</v>
      </c>
      <c r="J41" t="s">
        <v>1056</v>
      </c>
      <c r="K41">
        <v>3</v>
      </c>
      <c r="T41" t="s">
        <v>2078</v>
      </c>
      <c r="U41">
        <v>10</v>
      </c>
    </row>
    <row r="42" spans="1:21" x14ac:dyDescent="0.3">
      <c r="A42" t="s">
        <v>1934</v>
      </c>
      <c r="B42" t="s">
        <v>1055</v>
      </c>
      <c r="C42">
        <v>61</v>
      </c>
      <c r="D42" t="s">
        <v>1017</v>
      </c>
      <c r="E42" s="1">
        <v>45229</v>
      </c>
      <c r="F42">
        <v>82</v>
      </c>
      <c r="G42">
        <v>3.1</v>
      </c>
      <c r="H42">
        <v>2024</v>
      </c>
      <c r="I42" t="s">
        <v>1030</v>
      </c>
      <c r="J42" t="s">
        <v>1019</v>
      </c>
      <c r="K42">
        <v>3</v>
      </c>
      <c r="T42" t="s">
        <v>2078</v>
      </c>
      <c r="U42">
        <v>10</v>
      </c>
    </row>
    <row r="43" spans="1:21" x14ac:dyDescent="0.3">
      <c r="A43" t="s">
        <v>1945</v>
      </c>
      <c r="B43" t="s">
        <v>1065</v>
      </c>
      <c r="C43">
        <v>74</v>
      </c>
      <c r="D43" t="s">
        <v>1017</v>
      </c>
      <c r="E43" s="1">
        <v>45238</v>
      </c>
      <c r="F43">
        <v>160</v>
      </c>
      <c r="G43">
        <v>2.7</v>
      </c>
      <c r="H43">
        <v>2024</v>
      </c>
      <c r="I43" t="s">
        <v>1048</v>
      </c>
      <c r="J43" t="s">
        <v>1019</v>
      </c>
      <c r="K43">
        <v>3</v>
      </c>
      <c r="T43" t="s">
        <v>2079</v>
      </c>
      <c r="U43">
        <v>11</v>
      </c>
    </row>
    <row r="44" spans="1:21" x14ac:dyDescent="0.3">
      <c r="A44" t="s">
        <v>1969</v>
      </c>
      <c r="B44" t="s">
        <v>1068</v>
      </c>
      <c r="C44">
        <v>54</v>
      </c>
      <c r="D44" t="s">
        <v>1017</v>
      </c>
      <c r="E44" s="1">
        <v>45247</v>
      </c>
      <c r="F44">
        <v>145</v>
      </c>
      <c r="G44">
        <v>2.7</v>
      </c>
      <c r="H44">
        <v>2024</v>
      </c>
      <c r="I44" t="s">
        <v>411</v>
      </c>
      <c r="J44" t="s">
        <v>1034</v>
      </c>
      <c r="K44">
        <v>3</v>
      </c>
      <c r="T44" t="s">
        <v>2079</v>
      </c>
      <c r="U44">
        <v>11</v>
      </c>
    </row>
    <row r="45" spans="1:21" x14ac:dyDescent="0.3">
      <c r="A45" t="s">
        <v>2016</v>
      </c>
      <c r="B45" t="s">
        <v>1023</v>
      </c>
      <c r="C45">
        <v>45</v>
      </c>
      <c r="D45" t="s">
        <v>1017</v>
      </c>
      <c r="E45" s="1">
        <v>45276</v>
      </c>
      <c r="F45">
        <v>84</v>
      </c>
      <c r="G45">
        <v>2.8</v>
      </c>
      <c r="H45">
        <v>2024</v>
      </c>
      <c r="I45" t="s">
        <v>1062</v>
      </c>
      <c r="J45" t="s">
        <v>1034</v>
      </c>
      <c r="K45">
        <v>3</v>
      </c>
      <c r="T45" t="s">
        <v>2080</v>
      </c>
      <c r="U45">
        <v>12</v>
      </c>
    </row>
    <row r="46" spans="1:21" x14ac:dyDescent="0.3">
      <c r="A46" t="s">
        <v>2017</v>
      </c>
      <c r="B46" t="s">
        <v>1047</v>
      </c>
      <c r="C46">
        <v>141</v>
      </c>
      <c r="D46" t="s">
        <v>1017</v>
      </c>
      <c r="E46" s="1">
        <v>45276</v>
      </c>
      <c r="F46">
        <v>66</v>
      </c>
      <c r="G46">
        <v>3.2</v>
      </c>
      <c r="H46">
        <v>2024</v>
      </c>
      <c r="I46" t="s">
        <v>1062</v>
      </c>
      <c r="J46" t="s">
        <v>1031</v>
      </c>
      <c r="K46">
        <v>3</v>
      </c>
      <c r="T46" t="s">
        <v>2080</v>
      </c>
      <c r="U46">
        <v>12</v>
      </c>
    </row>
    <row r="47" spans="1:21" x14ac:dyDescent="0.3">
      <c r="A47" t="s">
        <v>2028</v>
      </c>
      <c r="B47" t="s">
        <v>1059</v>
      </c>
      <c r="C47">
        <v>7</v>
      </c>
      <c r="D47" t="s">
        <v>1017</v>
      </c>
      <c r="E47" s="1">
        <v>45285</v>
      </c>
      <c r="F47">
        <v>64</v>
      </c>
      <c r="G47">
        <v>3.3</v>
      </c>
      <c r="H47">
        <v>2024</v>
      </c>
      <c r="I47" t="s">
        <v>1030</v>
      </c>
      <c r="J47" t="s">
        <v>1186</v>
      </c>
      <c r="K47">
        <v>3</v>
      </c>
      <c r="T47" t="s">
        <v>2080</v>
      </c>
      <c r="U47">
        <v>12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F1EB1-0A77-4248-B173-8A7CF2F17635}">
  <dimension ref="A1:U6"/>
  <sheetViews>
    <sheetView workbookViewId="0">
      <selection activeCell="G28" sqref="G28"/>
    </sheetView>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 min="20" max="20" width="27.33203125" bestFit="1" customWidth="1"/>
    <col min="21" max="21" width="32.44140625" bestFit="1" customWidth="1"/>
  </cols>
  <sheetData>
    <row r="1" spans="1:21" x14ac:dyDescent="0.3">
      <c r="A1" s="15" t="s">
        <v>2111</v>
      </c>
    </row>
    <row r="3" spans="1:21"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c r="T3" t="s">
        <v>2107</v>
      </c>
      <c r="U3" t="s">
        <v>2108</v>
      </c>
    </row>
    <row r="4" spans="1:21" x14ac:dyDescent="0.3">
      <c r="A4" t="s">
        <v>1173</v>
      </c>
      <c r="B4" t="s">
        <v>1036</v>
      </c>
      <c r="C4">
        <v>130</v>
      </c>
      <c r="D4" t="s">
        <v>1038</v>
      </c>
      <c r="E4" s="1">
        <v>44978</v>
      </c>
      <c r="F4">
        <v>150</v>
      </c>
      <c r="G4">
        <v>1</v>
      </c>
      <c r="H4">
        <v>2023</v>
      </c>
      <c r="I4" t="s">
        <v>1033</v>
      </c>
      <c r="J4" t="s">
        <v>1031</v>
      </c>
      <c r="K4">
        <v>1</v>
      </c>
      <c r="T4" t="s">
        <v>2070</v>
      </c>
      <c r="U4">
        <v>2</v>
      </c>
    </row>
    <row r="5" spans="1:21" x14ac:dyDescent="0.3">
      <c r="A5" t="s">
        <v>1226</v>
      </c>
      <c r="B5" t="s">
        <v>1055</v>
      </c>
      <c r="C5">
        <v>62</v>
      </c>
      <c r="D5" t="s">
        <v>1038</v>
      </c>
      <c r="E5" s="1">
        <v>44991</v>
      </c>
      <c r="F5">
        <v>32</v>
      </c>
      <c r="G5">
        <v>0.7</v>
      </c>
      <c r="H5">
        <v>2023</v>
      </c>
      <c r="I5" t="s">
        <v>1030</v>
      </c>
      <c r="J5" t="s">
        <v>1019</v>
      </c>
      <c r="K5">
        <v>1</v>
      </c>
      <c r="T5" t="s">
        <v>2071</v>
      </c>
      <c r="U5">
        <v>3</v>
      </c>
    </row>
    <row r="6" spans="1:21" x14ac:dyDescent="0.3">
      <c r="A6" t="s">
        <v>1603</v>
      </c>
      <c r="B6" t="s">
        <v>1098</v>
      </c>
      <c r="C6">
        <v>136</v>
      </c>
      <c r="D6" t="s">
        <v>1038</v>
      </c>
      <c r="E6" s="1">
        <v>45097</v>
      </c>
      <c r="F6">
        <v>37</v>
      </c>
      <c r="G6">
        <v>0.9</v>
      </c>
      <c r="H6">
        <v>2023</v>
      </c>
      <c r="I6" t="s">
        <v>1033</v>
      </c>
      <c r="J6" t="s">
        <v>1031</v>
      </c>
      <c r="K6">
        <v>1</v>
      </c>
      <c r="T6" t="s">
        <v>2074</v>
      </c>
      <c r="U6">
        <v>6</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CD7C-682F-49F4-BF1E-721203A5AE04}">
  <dimension ref="A1:U31"/>
  <sheetViews>
    <sheetView workbookViewId="0">
      <selection activeCell="G28" sqref="G28"/>
    </sheetView>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 min="20" max="20" width="27.33203125" bestFit="1" customWidth="1"/>
    <col min="21" max="21" width="32.44140625" bestFit="1" customWidth="1"/>
  </cols>
  <sheetData>
    <row r="1" spans="1:21" x14ac:dyDescent="0.3">
      <c r="A1" s="15" t="s">
        <v>2112</v>
      </c>
    </row>
    <row r="3" spans="1:21"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c r="T3" t="s">
        <v>2107</v>
      </c>
      <c r="U3" t="s">
        <v>2108</v>
      </c>
    </row>
    <row r="4" spans="1:21" x14ac:dyDescent="0.3">
      <c r="A4" t="s">
        <v>1037</v>
      </c>
      <c r="B4" t="s">
        <v>1016</v>
      </c>
      <c r="C4">
        <v>103</v>
      </c>
      <c r="D4" t="s">
        <v>1038</v>
      </c>
      <c r="E4" s="1">
        <v>44929</v>
      </c>
      <c r="F4">
        <v>148</v>
      </c>
      <c r="G4">
        <v>4.4000000000000004</v>
      </c>
      <c r="H4">
        <v>2023</v>
      </c>
      <c r="I4" t="s">
        <v>1033</v>
      </c>
      <c r="J4" t="s">
        <v>1019</v>
      </c>
      <c r="K4">
        <v>4</v>
      </c>
      <c r="P4" t="s">
        <v>1098</v>
      </c>
      <c r="Q4" t="s">
        <v>11</v>
      </c>
      <c r="R4">
        <v>42</v>
      </c>
      <c r="S4" t="s">
        <v>2057</v>
      </c>
      <c r="T4" t="s">
        <v>2069</v>
      </c>
      <c r="U4">
        <v>1</v>
      </c>
    </row>
    <row r="5" spans="1:21" x14ac:dyDescent="0.3">
      <c r="A5" t="s">
        <v>1071</v>
      </c>
      <c r="B5" t="s">
        <v>1055</v>
      </c>
      <c r="C5">
        <v>31</v>
      </c>
      <c r="D5" t="s">
        <v>1038</v>
      </c>
      <c r="E5" s="1">
        <v>44936</v>
      </c>
      <c r="F5">
        <v>123</v>
      </c>
      <c r="G5">
        <v>2.9</v>
      </c>
      <c r="H5">
        <v>2023</v>
      </c>
      <c r="I5" t="s">
        <v>1033</v>
      </c>
      <c r="J5" t="s">
        <v>1034</v>
      </c>
      <c r="K5">
        <v>3</v>
      </c>
      <c r="T5" t="s">
        <v>2069</v>
      </c>
      <c r="U5">
        <v>1</v>
      </c>
    </row>
    <row r="6" spans="1:21" x14ac:dyDescent="0.3">
      <c r="A6" t="s">
        <v>1082</v>
      </c>
      <c r="B6" t="s">
        <v>1065</v>
      </c>
      <c r="C6">
        <v>81</v>
      </c>
      <c r="D6" t="s">
        <v>1038</v>
      </c>
      <c r="E6" s="1">
        <v>44943</v>
      </c>
      <c r="F6">
        <v>86</v>
      </c>
      <c r="G6">
        <v>2.4</v>
      </c>
      <c r="H6">
        <v>2023</v>
      </c>
      <c r="I6" t="s">
        <v>1033</v>
      </c>
      <c r="J6" t="s">
        <v>1019</v>
      </c>
      <c r="K6">
        <v>2</v>
      </c>
      <c r="T6" t="s">
        <v>2069</v>
      </c>
      <c r="U6">
        <v>1</v>
      </c>
    </row>
    <row r="7" spans="1:21" x14ac:dyDescent="0.3">
      <c r="A7" t="s">
        <v>1084</v>
      </c>
      <c r="B7" t="s">
        <v>1021</v>
      </c>
      <c r="C7">
        <v>74</v>
      </c>
      <c r="D7" t="s">
        <v>1038</v>
      </c>
      <c r="E7" s="1">
        <v>44943</v>
      </c>
      <c r="F7">
        <v>96</v>
      </c>
      <c r="G7">
        <v>4.7</v>
      </c>
      <c r="H7">
        <v>2023</v>
      </c>
      <c r="I7" t="s">
        <v>1033</v>
      </c>
      <c r="J7" t="s">
        <v>1019</v>
      </c>
      <c r="K7">
        <v>5</v>
      </c>
      <c r="T7" t="s">
        <v>2069</v>
      </c>
      <c r="U7">
        <v>1</v>
      </c>
    </row>
    <row r="8" spans="1:21" x14ac:dyDescent="0.3">
      <c r="A8" t="s">
        <v>1106</v>
      </c>
      <c r="B8" t="s">
        <v>1041</v>
      </c>
      <c r="C8">
        <v>130</v>
      </c>
      <c r="D8" t="s">
        <v>1038</v>
      </c>
      <c r="E8" s="1">
        <v>44950</v>
      </c>
      <c r="F8">
        <v>126</v>
      </c>
      <c r="G8">
        <v>2.5</v>
      </c>
      <c r="H8">
        <v>2023</v>
      </c>
      <c r="I8" t="s">
        <v>1033</v>
      </c>
      <c r="J8" t="s">
        <v>1031</v>
      </c>
      <c r="K8">
        <v>3</v>
      </c>
      <c r="T8" t="s">
        <v>2069</v>
      </c>
      <c r="U8">
        <v>1</v>
      </c>
    </row>
    <row r="9" spans="1:21" x14ac:dyDescent="0.3">
      <c r="A9" t="s">
        <v>1137</v>
      </c>
      <c r="B9" t="s">
        <v>1036</v>
      </c>
      <c r="C9">
        <v>135</v>
      </c>
      <c r="D9" t="s">
        <v>1038</v>
      </c>
      <c r="E9" s="1">
        <v>44964</v>
      </c>
      <c r="F9">
        <v>35</v>
      </c>
      <c r="G9">
        <v>4.8</v>
      </c>
      <c r="H9">
        <v>2023</v>
      </c>
      <c r="I9" t="s">
        <v>1033</v>
      </c>
      <c r="J9" t="s">
        <v>1031</v>
      </c>
      <c r="K9">
        <v>5</v>
      </c>
      <c r="T9" t="s">
        <v>2070</v>
      </c>
      <c r="U9">
        <v>2</v>
      </c>
    </row>
    <row r="10" spans="1:21" x14ac:dyDescent="0.3">
      <c r="A10" t="s">
        <v>1154</v>
      </c>
      <c r="B10" t="s">
        <v>1023</v>
      </c>
      <c r="C10">
        <v>80</v>
      </c>
      <c r="D10" t="s">
        <v>1038</v>
      </c>
      <c r="E10" s="1">
        <v>44971</v>
      </c>
      <c r="F10">
        <v>155</v>
      </c>
      <c r="G10">
        <v>3.2</v>
      </c>
      <c r="H10">
        <v>2023</v>
      </c>
      <c r="I10" t="s">
        <v>1033</v>
      </c>
      <c r="J10" t="s">
        <v>1019</v>
      </c>
      <c r="K10">
        <v>3</v>
      </c>
      <c r="T10" t="s">
        <v>2070</v>
      </c>
      <c r="U10">
        <v>2</v>
      </c>
    </row>
    <row r="11" spans="1:21" x14ac:dyDescent="0.3">
      <c r="A11" t="s">
        <v>1173</v>
      </c>
      <c r="B11" t="s">
        <v>1036</v>
      </c>
      <c r="C11">
        <v>130</v>
      </c>
      <c r="D11" t="s">
        <v>1038</v>
      </c>
      <c r="E11" s="1">
        <v>44978</v>
      </c>
      <c r="F11">
        <v>150</v>
      </c>
      <c r="G11">
        <v>1</v>
      </c>
      <c r="H11">
        <v>2023</v>
      </c>
      <c r="I11" t="s">
        <v>1033</v>
      </c>
      <c r="J11" t="s">
        <v>1031</v>
      </c>
      <c r="K11">
        <v>1</v>
      </c>
      <c r="T11" t="s">
        <v>2070</v>
      </c>
      <c r="U11">
        <v>2</v>
      </c>
    </row>
    <row r="12" spans="1:21" x14ac:dyDescent="0.3">
      <c r="A12" t="s">
        <v>1188</v>
      </c>
      <c r="B12" t="s">
        <v>1055</v>
      </c>
      <c r="C12">
        <v>42</v>
      </c>
      <c r="D12" t="s">
        <v>1038</v>
      </c>
      <c r="E12" s="1">
        <v>44985</v>
      </c>
      <c r="F12">
        <v>111</v>
      </c>
      <c r="G12">
        <v>3</v>
      </c>
      <c r="H12">
        <v>2023</v>
      </c>
      <c r="I12" t="s">
        <v>1033</v>
      </c>
      <c r="J12" t="s">
        <v>1034</v>
      </c>
      <c r="K12">
        <v>3</v>
      </c>
      <c r="T12" t="s">
        <v>2070</v>
      </c>
      <c r="U12">
        <v>2</v>
      </c>
    </row>
    <row r="13" spans="1:21" x14ac:dyDescent="0.3">
      <c r="A13" t="s">
        <v>1232</v>
      </c>
      <c r="B13" t="s">
        <v>1045</v>
      </c>
      <c r="C13">
        <v>41</v>
      </c>
      <c r="D13" t="s">
        <v>1038</v>
      </c>
      <c r="E13" s="1">
        <v>44992</v>
      </c>
      <c r="F13">
        <v>68</v>
      </c>
      <c r="G13">
        <v>4</v>
      </c>
      <c r="H13">
        <v>2023</v>
      </c>
      <c r="I13" t="s">
        <v>1033</v>
      </c>
      <c r="J13" t="s">
        <v>1034</v>
      </c>
      <c r="K13">
        <v>4</v>
      </c>
      <c r="T13" t="s">
        <v>2071</v>
      </c>
      <c r="U13">
        <v>3</v>
      </c>
    </row>
    <row r="14" spans="1:21" x14ac:dyDescent="0.3">
      <c r="A14" t="s">
        <v>1260</v>
      </c>
      <c r="B14" t="s">
        <v>1016</v>
      </c>
      <c r="C14">
        <v>142</v>
      </c>
      <c r="D14" t="s">
        <v>1038</v>
      </c>
      <c r="E14" s="1">
        <v>44999</v>
      </c>
      <c r="F14">
        <v>44</v>
      </c>
      <c r="G14">
        <v>3.5</v>
      </c>
      <c r="H14">
        <v>2023</v>
      </c>
      <c r="I14" t="s">
        <v>1033</v>
      </c>
      <c r="J14" t="s">
        <v>1031</v>
      </c>
      <c r="K14">
        <v>4</v>
      </c>
      <c r="T14" t="s">
        <v>2071</v>
      </c>
      <c r="U14">
        <v>3</v>
      </c>
    </row>
    <row r="15" spans="1:21" x14ac:dyDescent="0.3">
      <c r="A15" t="s">
        <v>1262</v>
      </c>
      <c r="B15" t="s">
        <v>1045</v>
      </c>
      <c r="C15">
        <v>119</v>
      </c>
      <c r="D15" t="s">
        <v>1038</v>
      </c>
      <c r="E15" s="1">
        <v>44999</v>
      </c>
      <c r="F15">
        <v>20</v>
      </c>
      <c r="G15">
        <v>3.9</v>
      </c>
      <c r="H15">
        <v>2023</v>
      </c>
      <c r="I15" t="s">
        <v>1033</v>
      </c>
      <c r="J15" t="s">
        <v>1019</v>
      </c>
      <c r="K15">
        <v>4</v>
      </c>
      <c r="T15" t="s">
        <v>2071</v>
      </c>
      <c r="U15">
        <v>3</v>
      </c>
    </row>
    <row r="16" spans="1:21" x14ac:dyDescent="0.3">
      <c r="A16" t="s">
        <v>1303</v>
      </c>
      <c r="B16" t="s">
        <v>1059</v>
      </c>
      <c r="C16">
        <v>113</v>
      </c>
      <c r="D16" t="s">
        <v>1038</v>
      </c>
      <c r="E16" s="1">
        <v>45006</v>
      </c>
      <c r="F16">
        <v>168</v>
      </c>
      <c r="G16">
        <v>4.0999999999999996</v>
      </c>
      <c r="H16">
        <v>2023</v>
      </c>
      <c r="I16" t="s">
        <v>1033</v>
      </c>
      <c r="J16" t="s">
        <v>1019</v>
      </c>
      <c r="K16">
        <v>4</v>
      </c>
      <c r="T16" t="s">
        <v>2071</v>
      </c>
      <c r="U16">
        <v>3</v>
      </c>
    </row>
    <row r="17" spans="1:21" x14ac:dyDescent="0.3">
      <c r="A17" t="s">
        <v>1390</v>
      </c>
      <c r="B17" t="s">
        <v>1041</v>
      </c>
      <c r="C17">
        <v>84</v>
      </c>
      <c r="D17" t="s">
        <v>1038</v>
      </c>
      <c r="E17" s="1">
        <v>45027</v>
      </c>
      <c r="F17">
        <v>38</v>
      </c>
      <c r="G17">
        <v>3.3</v>
      </c>
      <c r="H17">
        <v>2023</v>
      </c>
      <c r="I17" t="s">
        <v>1033</v>
      </c>
      <c r="J17" t="s">
        <v>1019</v>
      </c>
      <c r="K17">
        <v>3</v>
      </c>
      <c r="T17" t="s">
        <v>2072</v>
      </c>
      <c r="U17">
        <v>4</v>
      </c>
    </row>
    <row r="18" spans="1:21" x14ac:dyDescent="0.3">
      <c r="A18" t="s">
        <v>1391</v>
      </c>
      <c r="B18" t="s">
        <v>1068</v>
      </c>
      <c r="C18">
        <v>159</v>
      </c>
      <c r="D18" t="s">
        <v>1038</v>
      </c>
      <c r="E18" s="1">
        <v>45027</v>
      </c>
      <c r="F18">
        <v>42</v>
      </c>
      <c r="G18">
        <v>4.5</v>
      </c>
      <c r="H18">
        <v>2023</v>
      </c>
      <c r="I18" t="s">
        <v>1033</v>
      </c>
      <c r="J18" t="s">
        <v>1031</v>
      </c>
      <c r="K18">
        <v>5</v>
      </c>
      <c r="T18" t="s">
        <v>2072</v>
      </c>
      <c r="U18">
        <v>4</v>
      </c>
    </row>
    <row r="19" spans="1:21" x14ac:dyDescent="0.3">
      <c r="A19" t="s">
        <v>1488</v>
      </c>
      <c r="B19" t="s">
        <v>1016</v>
      </c>
      <c r="C19">
        <v>135</v>
      </c>
      <c r="D19" t="s">
        <v>1038</v>
      </c>
      <c r="E19" s="1">
        <v>45048</v>
      </c>
      <c r="F19">
        <v>104</v>
      </c>
      <c r="G19">
        <v>4.0999999999999996</v>
      </c>
      <c r="H19">
        <v>2023</v>
      </c>
      <c r="I19" t="s">
        <v>1033</v>
      </c>
      <c r="J19" t="s">
        <v>1031</v>
      </c>
      <c r="K19">
        <v>4</v>
      </c>
      <c r="T19" t="s">
        <v>2073</v>
      </c>
      <c r="U19">
        <v>5</v>
      </c>
    </row>
    <row r="20" spans="1:21" x14ac:dyDescent="0.3">
      <c r="A20" t="s">
        <v>1518</v>
      </c>
      <c r="B20" t="s">
        <v>1098</v>
      </c>
      <c r="C20">
        <v>51</v>
      </c>
      <c r="D20" t="s">
        <v>1038</v>
      </c>
      <c r="E20" s="1">
        <v>45062</v>
      </c>
      <c r="F20">
        <v>117</v>
      </c>
      <c r="G20">
        <v>2.7</v>
      </c>
      <c r="H20">
        <v>2023</v>
      </c>
      <c r="I20" t="s">
        <v>1033</v>
      </c>
      <c r="J20" t="s">
        <v>1034</v>
      </c>
      <c r="K20">
        <v>3</v>
      </c>
      <c r="T20" t="s">
        <v>2073</v>
      </c>
      <c r="U20">
        <v>5</v>
      </c>
    </row>
    <row r="21" spans="1:21" x14ac:dyDescent="0.3">
      <c r="A21" t="s">
        <v>1534</v>
      </c>
      <c r="B21" t="s">
        <v>1026</v>
      </c>
      <c r="C21">
        <v>155</v>
      </c>
      <c r="D21" t="s">
        <v>1038</v>
      </c>
      <c r="E21" s="1">
        <v>45069</v>
      </c>
      <c r="F21">
        <v>37</v>
      </c>
      <c r="G21">
        <v>4</v>
      </c>
      <c r="H21">
        <v>2023</v>
      </c>
      <c r="I21" t="s">
        <v>1033</v>
      </c>
      <c r="J21" t="s">
        <v>1031</v>
      </c>
      <c r="K21">
        <v>4</v>
      </c>
      <c r="T21" t="s">
        <v>2073</v>
      </c>
      <c r="U21">
        <v>5</v>
      </c>
    </row>
    <row r="22" spans="1:21" x14ac:dyDescent="0.3">
      <c r="A22" t="s">
        <v>1535</v>
      </c>
      <c r="B22" t="s">
        <v>1021</v>
      </c>
      <c r="C22">
        <v>117</v>
      </c>
      <c r="D22" t="s">
        <v>1038</v>
      </c>
      <c r="E22" s="1">
        <v>45069</v>
      </c>
      <c r="F22">
        <v>88</v>
      </c>
      <c r="G22">
        <v>4.7</v>
      </c>
      <c r="H22">
        <v>2023</v>
      </c>
      <c r="I22" t="s">
        <v>1033</v>
      </c>
      <c r="J22" t="s">
        <v>1019</v>
      </c>
      <c r="K22">
        <v>5</v>
      </c>
      <c r="T22" t="s">
        <v>2073</v>
      </c>
      <c r="U22">
        <v>5</v>
      </c>
    </row>
    <row r="23" spans="1:21" x14ac:dyDescent="0.3">
      <c r="A23" t="s">
        <v>1536</v>
      </c>
      <c r="B23" t="s">
        <v>1098</v>
      </c>
      <c r="C23">
        <v>63</v>
      </c>
      <c r="D23" t="s">
        <v>1038</v>
      </c>
      <c r="E23" s="1">
        <v>45069</v>
      </c>
      <c r="F23">
        <v>80</v>
      </c>
      <c r="G23">
        <v>2.5</v>
      </c>
      <c r="H23">
        <v>2023</v>
      </c>
      <c r="I23" t="s">
        <v>1033</v>
      </c>
      <c r="J23" t="s">
        <v>1019</v>
      </c>
      <c r="K23">
        <v>3</v>
      </c>
      <c r="T23" t="s">
        <v>2073</v>
      </c>
      <c r="U23">
        <v>5</v>
      </c>
    </row>
    <row r="24" spans="1:21" x14ac:dyDescent="0.3">
      <c r="A24" t="s">
        <v>1603</v>
      </c>
      <c r="B24" t="s">
        <v>1098</v>
      </c>
      <c r="C24">
        <v>136</v>
      </c>
      <c r="D24" t="s">
        <v>1038</v>
      </c>
      <c r="E24" s="1">
        <v>45097</v>
      </c>
      <c r="F24">
        <v>37</v>
      </c>
      <c r="G24">
        <v>0.9</v>
      </c>
      <c r="H24">
        <v>2023</v>
      </c>
      <c r="I24" t="s">
        <v>1033</v>
      </c>
      <c r="J24" t="s">
        <v>1031</v>
      </c>
      <c r="K24">
        <v>1</v>
      </c>
      <c r="T24" t="s">
        <v>2074</v>
      </c>
      <c r="U24">
        <v>6</v>
      </c>
    </row>
    <row r="25" spans="1:21" x14ac:dyDescent="0.3">
      <c r="A25" t="s">
        <v>1623</v>
      </c>
      <c r="B25" t="s">
        <v>1021</v>
      </c>
      <c r="C25">
        <v>132</v>
      </c>
      <c r="D25" t="s">
        <v>1038</v>
      </c>
      <c r="E25" s="1">
        <v>45104</v>
      </c>
      <c r="F25">
        <v>42</v>
      </c>
      <c r="G25">
        <v>5</v>
      </c>
      <c r="H25">
        <v>2023</v>
      </c>
      <c r="I25" t="s">
        <v>1033</v>
      </c>
      <c r="J25" t="s">
        <v>1031</v>
      </c>
      <c r="K25">
        <v>5</v>
      </c>
      <c r="T25" t="s">
        <v>2074</v>
      </c>
      <c r="U25">
        <v>6</v>
      </c>
    </row>
    <row r="26" spans="1:21" x14ac:dyDescent="0.3">
      <c r="A26" t="s">
        <v>1625</v>
      </c>
      <c r="B26" t="s">
        <v>1055</v>
      </c>
      <c r="C26">
        <v>135</v>
      </c>
      <c r="D26" t="s">
        <v>1038</v>
      </c>
      <c r="E26" s="1">
        <v>45104</v>
      </c>
      <c r="F26">
        <v>60</v>
      </c>
      <c r="G26">
        <v>4.3</v>
      </c>
      <c r="H26">
        <v>2023</v>
      </c>
      <c r="I26" t="s">
        <v>1033</v>
      </c>
      <c r="J26" t="s">
        <v>1031</v>
      </c>
      <c r="K26">
        <v>4</v>
      </c>
      <c r="T26" t="s">
        <v>2074</v>
      </c>
      <c r="U26">
        <v>6</v>
      </c>
    </row>
    <row r="27" spans="1:21" x14ac:dyDescent="0.3">
      <c r="A27" t="s">
        <v>1670</v>
      </c>
      <c r="B27" t="s">
        <v>1068</v>
      </c>
      <c r="C27">
        <v>105</v>
      </c>
      <c r="D27" t="s">
        <v>1038</v>
      </c>
      <c r="E27" s="1">
        <v>45125</v>
      </c>
      <c r="F27">
        <v>176</v>
      </c>
      <c r="G27">
        <v>4.7</v>
      </c>
      <c r="H27">
        <v>2024</v>
      </c>
      <c r="I27" t="s">
        <v>1033</v>
      </c>
      <c r="J27" t="s">
        <v>1019</v>
      </c>
      <c r="K27">
        <v>5</v>
      </c>
      <c r="T27" t="s">
        <v>2075</v>
      </c>
      <c r="U27">
        <v>7</v>
      </c>
    </row>
    <row r="28" spans="1:21" x14ac:dyDescent="0.3">
      <c r="A28" t="s">
        <v>1835</v>
      </c>
      <c r="B28" t="s">
        <v>1047</v>
      </c>
      <c r="C28">
        <v>78</v>
      </c>
      <c r="D28" t="s">
        <v>1038</v>
      </c>
      <c r="E28" s="1">
        <v>45202</v>
      </c>
      <c r="F28">
        <v>84</v>
      </c>
      <c r="G28">
        <v>4.5999999999999996</v>
      </c>
      <c r="H28">
        <v>2024</v>
      </c>
      <c r="I28" t="s">
        <v>1033</v>
      </c>
      <c r="J28" t="s">
        <v>1019</v>
      </c>
      <c r="K28">
        <v>5</v>
      </c>
      <c r="T28" t="s">
        <v>2078</v>
      </c>
      <c r="U28">
        <v>10</v>
      </c>
    </row>
    <row r="29" spans="1:21" x14ac:dyDescent="0.3">
      <c r="A29" t="s">
        <v>1859</v>
      </c>
      <c r="B29" t="s">
        <v>1028</v>
      </c>
      <c r="C29">
        <v>119</v>
      </c>
      <c r="D29" t="s">
        <v>1038</v>
      </c>
      <c r="E29" s="1">
        <v>45209</v>
      </c>
      <c r="F29">
        <v>111</v>
      </c>
      <c r="G29">
        <v>3.9</v>
      </c>
      <c r="H29">
        <v>2024</v>
      </c>
      <c r="I29" t="s">
        <v>1033</v>
      </c>
      <c r="J29" t="s">
        <v>1019</v>
      </c>
      <c r="K29">
        <v>4</v>
      </c>
      <c r="T29" t="s">
        <v>2078</v>
      </c>
      <c r="U29">
        <v>10</v>
      </c>
    </row>
    <row r="30" spans="1:21" x14ac:dyDescent="0.3">
      <c r="A30" t="s">
        <v>1943</v>
      </c>
      <c r="B30" t="s">
        <v>1026</v>
      </c>
      <c r="C30">
        <v>105</v>
      </c>
      <c r="D30" t="s">
        <v>1038</v>
      </c>
      <c r="E30" s="1">
        <v>45237</v>
      </c>
      <c r="F30">
        <v>112</v>
      </c>
      <c r="G30">
        <v>3.2</v>
      </c>
      <c r="H30">
        <v>2024</v>
      </c>
      <c r="I30" t="s">
        <v>1033</v>
      </c>
      <c r="J30" t="s">
        <v>1019</v>
      </c>
      <c r="K30">
        <v>3</v>
      </c>
      <c r="T30" t="s">
        <v>2079</v>
      </c>
      <c r="U30">
        <v>11</v>
      </c>
    </row>
    <row r="31" spans="1:21" x14ac:dyDescent="0.3">
      <c r="A31" t="s">
        <v>2003</v>
      </c>
      <c r="B31" t="s">
        <v>1041</v>
      </c>
      <c r="C31">
        <v>38</v>
      </c>
      <c r="D31" t="s">
        <v>1038</v>
      </c>
      <c r="E31" s="1">
        <v>45265</v>
      </c>
      <c r="F31">
        <v>27</v>
      </c>
      <c r="G31">
        <v>3.1</v>
      </c>
      <c r="H31">
        <v>2024</v>
      </c>
      <c r="I31" t="s">
        <v>1033</v>
      </c>
      <c r="J31" t="s">
        <v>1034</v>
      </c>
      <c r="K31">
        <v>3</v>
      </c>
      <c r="T31" t="s">
        <v>2080</v>
      </c>
      <c r="U31">
        <v>12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B034A-1A8A-40FE-A30E-220BC5617F3B}">
  <dimension ref="A1:S210"/>
  <sheetViews>
    <sheetView workbookViewId="0"/>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s>
  <sheetData>
    <row r="1" spans="1:19" x14ac:dyDescent="0.3">
      <c r="A1" s="15" t="s">
        <v>2118</v>
      </c>
    </row>
    <row r="3" spans="1:19"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row>
    <row r="4" spans="1:19" x14ac:dyDescent="0.3">
      <c r="A4" t="s">
        <v>1040</v>
      </c>
      <c r="B4" t="s">
        <v>1041</v>
      </c>
      <c r="C4">
        <v>44</v>
      </c>
      <c r="D4" t="s">
        <v>1042</v>
      </c>
      <c r="E4" s="1">
        <v>44929</v>
      </c>
      <c r="F4">
        <v>105</v>
      </c>
      <c r="G4">
        <v>2.9</v>
      </c>
      <c r="H4">
        <v>2023</v>
      </c>
      <c r="I4" t="s">
        <v>1033</v>
      </c>
      <c r="J4" t="s">
        <v>1034</v>
      </c>
      <c r="K4">
        <v>3</v>
      </c>
      <c r="P4" t="s">
        <v>1041</v>
      </c>
      <c r="Q4" t="s">
        <v>11</v>
      </c>
      <c r="R4">
        <v>30</v>
      </c>
      <c r="S4" t="s">
        <v>2057</v>
      </c>
    </row>
    <row r="5" spans="1:19" x14ac:dyDescent="0.3">
      <c r="A5" t="s">
        <v>1054</v>
      </c>
      <c r="B5" t="s">
        <v>1055</v>
      </c>
      <c r="C5">
        <v>28</v>
      </c>
      <c r="D5" t="s">
        <v>1042</v>
      </c>
      <c r="E5" s="1">
        <v>44931</v>
      </c>
      <c r="F5">
        <v>28</v>
      </c>
      <c r="G5">
        <v>3.8</v>
      </c>
      <c r="H5">
        <v>2023</v>
      </c>
      <c r="I5" t="s">
        <v>1052</v>
      </c>
      <c r="J5" t="s">
        <v>1056</v>
      </c>
      <c r="K5">
        <v>4</v>
      </c>
    </row>
    <row r="6" spans="1:19" x14ac:dyDescent="0.3">
      <c r="A6" t="s">
        <v>1079</v>
      </c>
      <c r="B6" t="s">
        <v>1055</v>
      </c>
      <c r="C6">
        <v>75</v>
      </c>
      <c r="D6" t="s">
        <v>1042</v>
      </c>
      <c r="E6" s="1">
        <v>44941</v>
      </c>
      <c r="F6">
        <v>26</v>
      </c>
      <c r="G6">
        <v>2.4</v>
      </c>
      <c r="H6">
        <v>2023</v>
      </c>
      <c r="I6" t="s">
        <v>1018</v>
      </c>
      <c r="J6" t="s">
        <v>1019</v>
      </c>
      <c r="K6">
        <v>2</v>
      </c>
    </row>
    <row r="7" spans="1:19" x14ac:dyDescent="0.3">
      <c r="A7" t="s">
        <v>1080</v>
      </c>
      <c r="B7" t="s">
        <v>1065</v>
      </c>
      <c r="C7">
        <v>94</v>
      </c>
      <c r="D7" t="s">
        <v>1042</v>
      </c>
      <c r="E7" s="1">
        <v>44942</v>
      </c>
      <c r="F7">
        <v>120</v>
      </c>
      <c r="G7">
        <v>3.1</v>
      </c>
      <c r="H7">
        <v>2023</v>
      </c>
      <c r="I7" t="s">
        <v>1030</v>
      </c>
      <c r="J7" t="s">
        <v>1019</v>
      </c>
      <c r="K7">
        <v>3</v>
      </c>
    </row>
    <row r="8" spans="1:19" x14ac:dyDescent="0.3">
      <c r="A8" t="s">
        <v>1087</v>
      </c>
      <c r="B8" t="s">
        <v>1045</v>
      </c>
      <c r="C8">
        <v>132</v>
      </c>
      <c r="D8" t="s">
        <v>1042</v>
      </c>
      <c r="E8" s="1">
        <v>44944</v>
      </c>
      <c r="F8">
        <v>168</v>
      </c>
      <c r="G8">
        <v>4.0999999999999996</v>
      </c>
      <c r="H8">
        <v>2023</v>
      </c>
      <c r="I8" t="s">
        <v>1048</v>
      </c>
      <c r="J8" t="s">
        <v>1031</v>
      </c>
      <c r="K8">
        <v>4</v>
      </c>
    </row>
    <row r="9" spans="1:19" x14ac:dyDescent="0.3">
      <c r="A9" t="s">
        <v>1089</v>
      </c>
      <c r="B9" t="s">
        <v>1028</v>
      </c>
      <c r="C9">
        <v>13</v>
      </c>
      <c r="D9" t="s">
        <v>1042</v>
      </c>
      <c r="E9" s="1">
        <v>44945</v>
      </c>
      <c r="F9">
        <v>32</v>
      </c>
      <c r="G9">
        <v>4.4000000000000004</v>
      </c>
      <c r="H9">
        <v>2023</v>
      </c>
      <c r="I9" t="s">
        <v>1052</v>
      </c>
      <c r="J9" t="s">
        <v>1056</v>
      </c>
      <c r="K9">
        <v>4</v>
      </c>
    </row>
    <row r="10" spans="1:19" x14ac:dyDescent="0.3">
      <c r="A10" t="s">
        <v>1096</v>
      </c>
      <c r="B10" t="s">
        <v>1045</v>
      </c>
      <c r="C10">
        <v>79</v>
      </c>
      <c r="D10" t="s">
        <v>1042</v>
      </c>
      <c r="E10" s="1">
        <v>44947</v>
      </c>
      <c r="F10">
        <v>140</v>
      </c>
      <c r="G10">
        <v>4.5</v>
      </c>
      <c r="H10">
        <v>2023</v>
      </c>
      <c r="I10" t="s">
        <v>1062</v>
      </c>
      <c r="J10" t="s">
        <v>1019</v>
      </c>
      <c r="K10">
        <v>5</v>
      </c>
    </row>
    <row r="11" spans="1:19" x14ac:dyDescent="0.3">
      <c r="A11" t="s">
        <v>1107</v>
      </c>
      <c r="B11" t="s">
        <v>1065</v>
      </c>
      <c r="C11">
        <v>110</v>
      </c>
      <c r="D11" t="s">
        <v>1042</v>
      </c>
      <c r="E11" s="1">
        <v>44950</v>
      </c>
      <c r="F11">
        <v>96</v>
      </c>
      <c r="G11">
        <v>5</v>
      </c>
      <c r="H11">
        <v>2023</v>
      </c>
      <c r="I11" t="s">
        <v>1033</v>
      </c>
      <c r="J11" t="s">
        <v>1019</v>
      </c>
      <c r="K11">
        <v>5</v>
      </c>
    </row>
    <row r="12" spans="1:19" x14ac:dyDescent="0.3">
      <c r="A12" t="s">
        <v>1114</v>
      </c>
      <c r="B12" t="s">
        <v>1059</v>
      </c>
      <c r="C12">
        <v>141</v>
      </c>
      <c r="D12" t="s">
        <v>1042</v>
      </c>
      <c r="E12" s="1">
        <v>44953</v>
      </c>
      <c r="F12">
        <v>54</v>
      </c>
      <c r="G12">
        <v>0</v>
      </c>
      <c r="H12">
        <v>2023</v>
      </c>
      <c r="I12" t="s">
        <v>411</v>
      </c>
      <c r="J12" t="s">
        <v>1031</v>
      </c>
      <c r="K12">
        <v>0</v>
      </c>
    </row>
    <row r="13" spans="1:19" x14ac:dyDescent="0.3">
      <c r="A13" t="s">
        <v>1115</v>
      </c>
      <c r="B13" t="s">
        <v>1059</v>
      </c>
      <c r="C13">
        <v>168</v>
      </c>
      <c r="D13" t="s">
        <v>1042</v>
      </c>
      <c r="E13" s="1">
        <v>44954</v>
      </c>
      <c r="F13">
        <v>160</v>
      </c>
      <c r="G13">
        <v>3.9</v>
      </c>
      <c r="H13">
        <v>2023</v>
      </c>
      <c r="I13" t="s">
        <v>1062</v>
      </c>
      <c r="J13" t="s">
        <v>1031</v>
      </c>
      <c r="K13">
        <v>4</v>
      </c>
    </row>
    <row r="14" spans="1:19" x14ac:dyDescent="0.3">
      <c r="A14" t="s">
        <v>1118</v>
      </c>
      <c r="B14" t="s">
        <v>1098</v>
      </c>
      <c r="C14">
        <v>114</v>
      </c>
      <c r="D14" t="s">
        <v>1042</v>
      </c>
      <c r="E14" s="1">
        <v>44956</v>
      </c>
      <c r="F14">
        <v>42</v>
      </c>
      <c r="G14">
        <v>2.6</v>
      </c>
      <c r="H14">
        <v>2023</v>
      </c>
      <c r="I14" t="s">
        <v>1030</v>
      </c>
      <c r="J14" t="s">
        <v>1019</v>
      </c>
      <c r="K14">
        <v>3</v>
      </c>
    </row>
    <row r="15" spans="1:19" x14ac:dyDescent="0.3">
      <c r="A15" t="s">
        <v>1120</v>
      </c>
      <c r="B15" t="s">
        <v>1028</v>
      </c>
      <c r="C15">
        <v>69</v>
      </c>
      <c r="D15" t="s">
        <v>1042</v>
      </c>
      <c r="E15" s="1">
        <v>44956</v>
      </c>
      <c r="F15">
        <v>108</v>
      </c>
      <c r="G15">
        <v>3.3</v>
      </c>
      <c r="H15">
        <v>2023</v>
      </c>
      <c r="I15" t="s">
        <v>1030</v>
      </c>
      <c r="J15" t="s">
        <v>1019</v>
      </c>
      <c r="K15">
        <v>3</v>
      </c>
    </row>
    <row r="16" spans="1:19" x14ac:dyDescent="0.3">
      <c r="A16" t="s">
        <v>1122</v>
      </c>
      <c r="B16" t="s">
        <v>1021</v>
      </c>
      <c r="C16">
        <v>43</v>
      </c>
      <c r="D16" t="s">
        <v>1042</v>
      </c>
      <c r="E16" s="1">
        <v>44956</v>
      </c>
      <c r="F16">
        <v>23</v>
      </c>
      <c r="G16">
        <v>4.9000000000000004</v>
      </c>
      <c r="H16">
        <v>2023</v>
      </c>
      <c r="I16" t="s">
        <v>1030</v>
      </c>
      <c r="J16" t="s">
        <v>1034</v>
      </c>
      <c r="K16">
        <v>5</v>
      </c>
    </row>
    <row r="17" spans="1:11" x14ac:dyDescent="0.3">
      <c r="A17" t="s">
        <v>1124</v>
      </c>
      <c r="B17" t="s">
        <v>1055</v>
      </c>
      <c r="C17">
        <v>79</v>
      </c>
      <c r="D17" t="s">
        <v>1042</v>
      </c>
      <c r="E17" s="1">
        <v>44958</v>
      </c>
      <c r="F17">
        <v>148</v>
      </c>
      <c r="G17">
        <v>4.5</v>
      </c>
      <c r="H17">
        <v>2023</v>
      </c>
      <c r="I17" t="s">
        <v>1048</v>
      </c>
      <c r="J17" t="s">
        <v>1019</v>
      </c>
      <c r="K17">
        <v>5</v>
      </c>
    </row>
    <row r="18" spans="1:11" x14ac:dyDescent="0.3">
      <c r="A18" t="s">
        <v>1126</v>
      </c>
      <c r="B18" t="s">
        <v>1028</v>
      </c>
      <c r="C18">
        <v>137</v>
      </c>
      <c r="D18" t="s">
        <v>1042</v>
      </c>
      <c r="E18" s="1">
        <v>44958</v>
      </c>
      <c r="F18">
        <v>86</v>
      </c>
      <c r="G18">
        <v>4.8</v>
      </c>
      <c r="H18">
        <v>2023</v>
      </c>
      <c r="I18" t="s">
        <v>1048</v>
      </c>
      <c r="J18" t="s">
        <v>1031</v>
      </c>
      <c r="K18">
        <v>5</v>
      </c>
    </row>
    <row r="19" spans="1:11" x14ac:dyDescent="0.3">
      <c r="A19" t="s">
        <v>1142</v>
      </c>
      <c r="B19" t="s">
        <v>1016</v>
      </c>
      <c r="C19">
        <v>96</v>
      </c>
      <c r="D19" t="s">
        <v>1042</v>
      </c>
      <c r="E19" s="1">
        <v>44965</v>
      </c>
      <c r="F19">
        <v>120</v>
      </c>
      <c r="G19">
        <v>4</v>
      </c>
      <c r="H19">
        <v>2023</v>
      </c>
      <c r="I19" t="s">
        <v>1048</v>
      </c>
      <c r="J19" t="s">
        <v>1019</v>
      </c>
      <c r="K19">
        <v>4</v>
      </c>
    </row>
    <row r="20" spans="1:11" x14ac:dyDescent="0.3">
      <c r="A20" t="s">
        <v>1144</v>
      </c>
      <c r="B20" t="s">
        <v>1016</v>
      </c>
      <c r="C20">
        <v>132</v>
      </c>
      <c r="D20" t="s">
        <v>1042</v>
      </c>
      <c r="E20" s="1">
        <v>44967</v>
      </c>
      <c r="F20">
        <v>112</v>
      </c>
      <c r="G20">
        <v>4.5</v>
      </c>
      <c r="H20">
        <v>2023</v>
      </c>
      <c r="I20" t="s">
        <v>411</v>
      </c>
      <c r="J20" t="s">
        <v>1031</v>
      </c>
      <c r="K20">
        <v>5</v>
      </c>
    </row>
    <row r="21" spans="1:11" x14ac:dyDescent="0.3">
      <c r="A21" t="s">
        <v>1150</v>
      </c>
      <c r="B21" t="s">
        <v>1047</v>
      </c>
      <c r="C21">
        <v>28</v>
      </c>
      <c r="D21" t="s">
        <v>1042</v>
      </c>
      <c r="E21" s="1">
        <v>44969</v>
      </c>
      <c r="F21">
        <v>74</v>
      </c>
      <c r="G21">
        <v>3.5</v>
      </c>
      <c r="H21">
        <v>2023</v>
      </c>
      <c r="I21" t="s">
        <v>1018</v>
      </c>
      <c r="J21" t="s">
        <v>1056</v>
      </c>
      <c r="K21">
        <v>4</v>
      </c>
    </row>
    <row r="22" spans="1:11" x14ac:dyDescent="0.3">
      <c r="A22" t="s">
        <v>1153</v>
      </c>
      <c r="B22" t="s">
        <v>1021</v>
      </c>
      <c r="C22">
        <v>76</v>
      </c>
      <c r="D22" t="s">
        <v>1042</v>
      </c>
      <c r="E22" s="1">
        <v>44970</v>
      </c>
      <c r="F22">
        <v>64</v>
      </c>
      <c r="G22">
        <v>3.4</v>
      </c>
      <c r="H22">
        <v>2023</v>
      </c>
      <c r="I22" t="s">
        <v>1030</v>
      </c>
      <c r="J22" t="s">
        <v>1019</v>
      </c>
      <c r="K22">
        <v>3</v>
      </c>
    </row>
    <row r="23" spans="1:11" x14ac:dyDescent="0.3">
      <c r="A23" t="s">
        <v>1156</v>
      </c>
      <c r="B23" t="s">
        <v>1059</v>
      </c>
      <c r="C23">
        <v>30</v>
      </c>
      <c r="D23" t="s">
        <v>1042</v>
      </c>
      <c r="E23" s="1">
        <v>44972</v>
      </c>
      <c r="F23">
        <v>105</v>
      </c>
      <c r="G23">
        <v>3.6</v>
      </c>
      <c r="H23">
        <v>2023</v>
      </c>
      <c r="I23" t="s">
        <v>1048</v>
      </c>
      <c r="J23" t="s">
        <v>1056</v>
      </c>
      <c r="K23">
        <v>4</v>
      </c>
    </row>
    <row r="24" spans="1:11" x14ac:dyDescent="0.3">
      <c r="A24" t="s">
        <v>1160</v>
      </c>
      <c r="B24" t="s">
        <v>1055</v>
      </c>
      <c r="C24">
        <v>27</v>
      </c>
      <c r="D24" t="s">
        <v>1042</v>
      </c>
      <c r="E24" s="1">
        <v>44973</v>
      </c>
      <c r="F24">
        <v>70</v>
      </c>
      <c r="G24">
        <v>3.9</v>
      </c>
      <c r="H24">
        <v>2023</v>
      </c>
      <c r="I24" t="s">
        <v>1052</v>
      </c>
      <c r="J24" t="s">
        <v>1056</v>
      </c>
      <c r="K24">
        <v>4</v>
      </c>
    </row>
    <row r="25" spans="1:11" x14ac:dyDescent="0.3">
      <c r="A25" t="s">
        <v>1161</v>
      </c>
      <c r="B25" t="s">
        <v>1055</v>
      </c>
      <c r="C25">
        <v>32</v>
      </c>
      <c r="D25" t="s">
        <v>1042</v>
      </c>
      <c r="E25" s="1">
        <v>44973</v>
      </c>
      <c r="F25">
        <v>37</v>
      </c>
      <c r="G25">
        <v>1.9</v>
      </c>
      <c r="H25">
        <v>2023</v>
      </c>
      <c r="I25" t="s">
        <v>1052</v>
      </c>
      <c r="J25" t="s">
        <v>1034</v>
      </c>
      <c r="K25">
        <v>2</v>
      </c>
    </row>
    <row r="26" spans="1:11" x14ac:dyDescent="0.3">
      <c r="A26" t="s">
        <v>1164</v>
      </c>
      <c r="B26" t="s">
        <v>1021</v>
      </c>
      <c r="C26">
        <v>75</v>
      </c>
      <c r="D26" t="s">
        <v>1042</v>
      </c>
      <c r="E26" s="1">
        <v>44974</v>
      </c>
      <c r="F26">
        <v>21</v>
      </c>
      <c r="G26">
        <v>4.2</v>
      </c>
      <c r="H26">
        <v>2023</v>
      </c>
      <c r="I26" t="s">
        <v>411</v>
      </c>
      <c r="J26" t="s">
        <v>1019</v>
      </c>
      <c r="K26">
        <v>4</v>
      </c>
    </row>
    <row r="27" spans="1:11" x14ac:dyDescent="0.3">
      <c r="A27" t="s">
        <v>1175</v>
      </c>
      <c r="B27" t="s">
        <v>1078</v>
      </c>
      <c r="C27">
        <v>61</v>
      </c>
      <c r="D27" t="s">
        <v>1042</v>
      </c>
      <c r="E27" s="1">
        <v>44979</v>
      </c>
      <c r="F27">
        <v>140</v>
      </c>
      <c r="G27">
        <v>3.4</v>
      </c>
      <c r="H27">
        <v>2023</v>
      </c>
      <c r="I27" t="s">
        <v>1048</v>
      </c>
      <c r="J27" t="s">
        <v>1019</v>
      </c>
      <c r="K27">
        <v>3</v>
      </c>
    </row>
    <row r="28" spans="1:11" x14ac:dyDescent="0.3">
      <c r="A28" t="s">
        <v>1180</v>
      </c>
      <c r="B28" t="s">
        <v>1065</v>
      </c>
      <c r="C28">
        <v>61</v>
      </c>
      <c r="D28" t="s">
        <v>1042</v>
      </c>
      <c r="E28" s="1">
        <v>44982</v>
      </c>
      <c r="F28">
        <v>150</v>
      </c>
      <c r="G28">
        <v>4.5999999999999996</v>
      </c>
      <c r="H28">
        <v>2023</v>
      </c>
      <c r="I28" t="s">
        <v>1062</v>
      </c>
      <c r="J28" t="s">
        <v>1019</v>
      </c>
      <c r="K28">
        <v>5</v>
      </c>
    </row>
    <row r="29" spans="1:11" x14ac:dyDescent="0.3">
      <c r="A29" t="s">
        <v>1189</v>
      </c>
      <c r="B29" t="s">
        <v>1055</v>
      </c>
      <c r="C29">
        <v>71</v>
      </c>
      <c r="D29" t="s">
        <v>1042</v>
      </c>
      <c r="E29" s="1">
        <v>44985</v>
      </c>
      <c r="F29">
        <v>104</v>
      </c>
      <c r="G29">
        <v>3.1</v>
      </c>
      <c r="H29">
        <v>2023</v>
      </c>
      <c r="I29" t="s">
        <v>1033</v>
      </c>
      <c r="J29" t="s">
        <v>1019</v>
      </c>
      <c r="K29">
        <v>3</v>
      </c>
    </row>
    <row r="30" spans="1:11" x14ac:dyDescent="0.3">
      <c r="A30" t="s">
        <v>1191</v>
      </c>
      <c r="B30" t="s">
        <v>1028</v>
      </c>
      <c r="C30">
        <v>155</v>
      </c>
      <c r="D30" t="s">
        <v>1042</v>
      </c>
      <c r="E30" s="1">
        <v>44986</v>
      </c>
      <c r="F30">
        <v>132</v>
      </c>
      <c r="G30">
        <v>4.5999999999999996</v>
      </c>
      <c r="H30">
        <v>2023</v>
      </c>
      <c r="I30" t="s">
        <v>1048</v>
      </c>
      <c r="J30" t="s">
        <v>1031</v>
      </c>
      <c r="K30">
        <v>5</v>
      </c>
    </row>
    <row r="31" spans="1:11" x14ac:dyDescent="0.3">
      <c r="A31" t="s">
        <v>1194</v>
      </c>
      <c r="B31" t="s">
        <v>1047</v>
      </c>
      <c r="C31">
        <v>89</v>
      </c>
      <c r="D31" t="s">
        <v>1042</v>
      </c>
      <c r="E31" s="1">
        <v>44986</v>
      </c>
      <c r="F31">
        <v>126</v>
      </c>
      <c r="G31">
        <v>3.6</v>
      </c>
      <c r="H31">
        <v>2023</v>
      </c>
      <c r="I31" t="s">
        <v>1048</v>
      </c>
      <c r="J31" t="s">
        <v>1019</v>
      </c>
      <c r="K31">
        <v>4</v>
      </c>
    </row>
    <row r="32" spans="1:11" x14ac:dyDescent="0.3">
      <c r="A32" t="s">
        <v>1199</v>
      </c>
      <c r="B32" t="s">
        <v>1026</v>
      </c>
      <c r="C32">
        <v>103</v>
      </c>
      <c r="D32" t="s">
        <v>1042</v>
      </c>
      <c r="E32" s="1">
        <v>44987</v>
      </c>
      <c r="F32">
        <v>75</v>
      </c>
      <c r="G32">
        <v>2.7</v>
      </c>
      <c r="H32">
        <v>2023</v>
      </c>
      <c r="I32" t="s">
        <v>1052</v>
      </c>
      <c r="J32" t="s">
        <v>1019</v>
      </c>
      <c r="K32">
        <v>3</v>
      </c>
    </row>
    <row r="33" spans="1:11" x14ac:dyDescent="0.3">
      <c r="A33" t="s">
        <v>1210</v>
      </c>
      <c r="B33" t="s">
        <v>1016</v>
      </c>
      <c r="C33">
        <v>11</v>
      </c>
      <c r="D33" t="s">
        <v>1042</v>
      </c>
      <c r="E33" s="1">
        <v>44988</v>
      </c>
      <c r="F33">
        <v>25</v>
      </c>
      <c r="G33">
        <v>2.1</v>
      </c>
      <c r="H33">
        <v>2023</v>
      </c>
      <c r="I33" t="s">
        <v>411</v>
      </c>
      <c r="J33" t="s">
        <v>1056</v>
      </c>
      <c r="K33">
        <v>2</v>
      </c>
    </row>
    <row r="34" spans="1:11" x14ac:dyDescent="0.3">
      <c r="A34" t="s">
        <v>1212</v>
      </c>
      <c r="B34" t="s">
        <v>1023</v>
      </c>
      <c r="C34">
        <v>28</v>
      </c>
      <c r="D34" t="s">
        <v>1042</v>
      </c>
      <c r="E34" s="1">
        <v>44988</v>
      </c>
      <c r="F34">
        <v>84</v>
      </c>
      <c r="G34">
        <v>3.2</v>
      </c>
      <c r="H34">
        <v>2023</v>
      </c>
      <c r="I34" t="s">
        <v>411</v>
      </c>
      <c r="J34" t="s">
        <v>1056</v>
      </c>
      <c r="K34">
        <v>3</v>
      </c>
    </row>
    <row r="35" spans="1:11" x14ac:dyDescent="0.3">
      <c r="A35" t="s">
        <v>1215</v>
      </c>
      <c r="B35" t="s">
        <v>1021</v>
      </c>
      <c r="C35">
        <v>101</v>
      </c>
      <c r="D35" t="s">
        <v>1042</v>
      </c>
      <c r="E35" s="1">
        <v>44989</v>
      </c>
      <c r="F35">
        <v>128</v>
      </c>
      <c r="G35">
        <v>5</v>
      </c>
      <c r="H35">
        <v>2023</v>
      </c>
      <c r="I35" t="s">
        <v>1062</v>
      </c>
      <c r="J35" t="s">
        <v>1019</v>
      </c>
      <c r="K35">
        <v>5</v>
      </c>
    </row>
    <row r="36" spans="1:11" x14ac:dyDescent="0.3">
      <c r="A36" t="s">
        <v>1217</v>
      </c>
      <c r="B36" t="s">
        <v>1041</v>
      </c>
      <c r="C36">
        <v>40</v>
      </c>
      <c r="D36" t="s">
        <v>1042</v>
      </c>
      <c r="E36" s="1">
        <v>44990</v>
      </c>
      <c r="F36">
        <v>92</v>
      </c>
      <c r="G36">
        <v>4.7</v>
      </c>
      <c r="H36">
        <v>2023</v>
      </c>
      <c r="I36" t="s">
        <v>1018</v>
      </c>
      <c r="J36" t="s">
        <v>1034</v>
      </c>
      <c r="K36">
        <v>5</v>
      </c>
    </row>
    <row r="37" spans="1:11" x14ac:dyDescent="0.3">
      <c r="A37" t="s">
        <v>1221</v>
      </c>
      <c r="B37" t="s">
        <v>1098</v>
      </c>
      <c r="C37">
        <v>71</v>
      </c>
      <c r="D37" t="s">
        <v>1042</v>
      </c>
      <c r="E37" s="1">
        <v>44990</v>
      </c>
      <c r="F37">
        <v>102</v>
      </c>
      <c r="G37">
        <v>4.7</v>
      </c>
      <c r="H37">
        <v>2023</v>
      </c>
      <c r="I37" t="s">
        <v>1018</v>
      </c>
      <c r="J37" t="s">
        <v>1019</v>
      </c>
      <c r="K37">
        <v>5</v>
      </c>
    </row>
    <row r="38" spans="1:11" x14ac:dyDescent="0.3">
      <c r="A38" t="s">
        <v>1234</v>
      </c>
      <c r="B38" t="s">
        <v>1078</v>
      </c>
      <c r="C38">
        <v>80</v>
      </c>
      <c r="D38" t="s">
        <v>1042</v>
      </c>
      <c r="E38" s="1">
        <v>44992</v>
      </c>
      <c r="F38">
        <v>45</v>
      </c>
      <c r="G38">
        <v>3</v>
      </c>
      <c r="H38">
        <v>2023</v>
      </c>
      <c r="I38" t="s">
        <v>1033</v>
      </c>
      <c r="J38" t="s">
        <v>1019</v>
      </c>
      <c r="K38">
        <v>3</v>
      </c>
    </row>
    <row r="39" spans="1:11" x14ac:dyDescent="0.3">
      <c r="A39" t="s">
        <v>1237</v>
      </c>
      <c r="B39" t="s">
        <v>1098</v>
      </c>
      <c r="C39">
        <v>75</v>
      </c>
      <c r="D39" t="s">
        <v>1042</v>
      </c>
      <c r="E39" s="1">
        <v>44994</v>
      </c>
      <c r="F39">
        <v>195</v>
      </c>
      <c r="G39">
        <v>3</v>
      </c>
      <c r="H39">
        <v>2023</v>
      </c>
      <c r="I39" t="s">
        <v>1052</v>
      </c>
      <c r="J39" t="s">
        <v>1019</v>
      </c>
      <c r="K39">
        <v>3</v>
      </c>
    </row>
    <row r="40" spans="1:11" x14ac:dyDescent="0.3">
      <c r="A40" t="s">
        <v>1247</v>
      </c>
      <c r="B40" t="s">
        <v>1078</v>
      </c>
      <c r="C40">
        <v>56</v>
      </c>
      <c r="D40" t="s">
        <v>1042</v>
      </c>
      <c r="E40" s="1">
        <v>44996</v>
      </c>
      <c r="F40">
        <v>129</v>
      </c>
      <c r="G40">
        <v>2.1</v>
      </c>
      <c r="H40">
        <v>2023</v>
      </c>
      <c r="I40" t="s">
        <v>1062</v>
      </c>
      <c r="J40" t="s">
        <v>1034</v>
      </c>
      <c r="K40">
        <v>2</v>
      </c>
    </row>
    <row r="41" spans="1:11" x14ac:dyDescent="0.3">
      <c r="A41" t="s">
        <v>1252</v>
      </c>
      <c r="B41" t="s">
        <v>1098</v>
      </c>
      <c r="C41">
        <v>6</v>
      </c>
      <c r="D41" t="s">
        <v>1042</v>
      </c>
      <c r="E41" s="1">
        <v>44997</v>
      </c>
      <c r="F41">
        <v>29</v>
      </c>
      <c r="G41">
        <v>4.7</v>
      </c>
      <c r="H41">
        <v>2023</v>
      </c>
      <c r="I41" t="s">
        <v>1018</v>
      </c>
      <c r="J41" t="s">
        <v>1186</v>
      </c>
      <c r="K41">
        <v>5</v>
      </c>
    </row>
    <row r="42" spans="1:11" x14ac:dyDescent="0.3">
      <c r="A42" t="s">
        <v>1258</v>
      </c>
      <c r="B42" t="s">
        <v>1023</v>
      </c>
      <c r="C42">
        <v>85</v>
      </c>
      <c r="D42" t="s">
        <v>1042</v>
      </c>
      <c r="E42" s="1">
        <v>44998</v>
      </c>
      <c r="F42">
        <v>66</v>
      </c>
      <c r="G42">
        <v>2.8</v>
      </c>
      <c r="H42">
        <v>2023</v>
      </c>
      <c r="I42" t="s">
        <v>1030</v>
      </c>
      <c r="J42" t="s">
        <v>1019</v>
      </c>
      <c r="K42">
        <v>3</v>
      </c>
    </row>
    <row r="43" spans="1:11" x14ac:dyDescent="0.3">
      <c r="A43" t="s">
        <v>1263</v>
      </c>
      <c r="B43" t="s">
        <v>1098</v>
      </c>
      <c r="C43">
        <v>65</v>
      </c>
      <c r="D43" t="s">
        <v>1042</v>
      </c>
      <c r="E43" s="1">
        <v>44999</v>
      </c>
      <c r="F43">
        <v>84</v>
      </c>
      <c r="G43">
        <v>2.5</v>
      </c>
      <c r="H43">
        <v>2023</v>
      </c>
      <c r="I43" t="s">
        <v>1033</v>
      </c>
      <c r="J43" t="s">
        <v>1019</v>
      </c>
      <c r="K43">
        <v>3</v>
      </c>
    </row>
    <row r="44" spans="1:11" x14ac:dyDescent="0.3">
      <c r="A44" t="s">
        <v>1264</v>
      </c>
      <c r="B44" t="s">
        <v>1047</v>
      </c>
      <c r="C44">
        <v>68</v>
      </c>
      <c r="D44" t="s">
        <v>1042</v>
      </c>
      <c r="E44" s="1">
        <v>44999</v>
      </c>
      <c r="F44">
        <v>32</v>
      </c>
      <c r="G44">
        <v>4.9000000000000004</v>
      </c>
      <c r="H44">
        <v>2023</v>
      </c>
      <c r="I44" t="s">
        <v>1033</v>
      </c>
      <c r="J44" t="s">
        <v>1019</v>
      </c>
      <c r="K44">
        <v>5</v>
      </c>
    </row>
    <row r="45" spans="1:11" x14ac:dyDescent="0.3">
      <c r="A45" t="s">
        <v>1273</v>
      </c>
      <c r="B45" t="s">
        <v>1028</v>
      </c>
      <c r="C45">
        <v>123</v>
      </c>
      <c r="D45" t="s">
        <v>1042</v>
      </c>
      <c r="E45" s="1">
        <v>45000</v>
      </c>
      <c r="F45">
        <v>36</v>
      </c>
      <c r="G45">
        <v>3.6</v>
      </c>
      <c r="H45">
        <v>2023</v>
      </c>
      <c r="I45" t="s">
        <v>1048</v>
      </c>
      <c r="J45" t="s">
        <v>1031</v>
      </c>
      <c r="K45">
        <v>4</v>
      </c>
    </row>
    <row r="46" spans="1:11" x14ac:dyDescent="0.3">
      <c r="A46" t="s">
        <v>1286</v>
      </c>
      <c r="B46" t="s">
        <v>1045</v>
      </c>
      <c r="C46">
        <v>75</v>
      </c>
      <c r="D46" t="s">
        <v>1042</v>
      </c>
      <c r="E46" s="1">
        <v>45003</v>
      </c>
      <c r="F46">
        <v>32</v>
      </c>
      <c r="G46">
        <v>4.0999999999999996</v>
      </c>
      <c r="H46">
        <v>2023</v>
      </c>
      <c r="I46" t="s">
        <v>1062</v>
      </c>
      <c r="J46" t="s">
        <v>1019</v>
      </c>
      <c r="K46">
        <v>4</v>
      </c>
    </row>
    <row r="47" spans="1:11" x14ac:dyDescent="0.3">
      <c r="A47" t="s">
        <v>1297</v>
      </c>
      <c r="B47" t="s">
        <v>1026</v>
      </c>
      <c r="C47">
        <v>88</v>
      </c>
      <c r="D47" t="s">
        <v>1042</v>
      </c>
      <c r="E47" s="1">
        <v>45005</v>
      </c>
      <c r="F47">
        <v>144</v>
      </c>
      <c r="G47">
        <v>2.9</v>
      </c>
      <c r="H47">
        <v>2023</v>
      </c>
      <c r="I47" t="s">
        <v>1030</v>
      </c>
      <c r="J47" t="s">
        <v>1019</v>
      </c>
      <c r="K47">
        <v>3</v>
      </c>
    </row>
    <row r="48" spans="1:11" x14ac:dyDescent="0.3">
      <c r="A48" t="s">
        <v>1299</v>
      </c>
      <c r="B48" t="s">
        <v>1026</v>
      </c>
      <c r="C48">
        <v>155</v>
      </c>
      <c r="D48" t="s">
        <v>1042</v>
      </c>
      <c r="E48" s="1">
        <v>45006</v>
      </c>
      <c r="F48">
        <v>70</v>
      </c>
      <c r="G48">
        <v>4.4000000000000004</v>
      </c>
      <c r="H48">
        <v>2023</v>
      </c>
      <c r="I48" t="s">
        <v>1033</v>
      </c>
      <c r="J48" t="s">
        <v>1031</v>
      </c>
      <c r="K48">
        <v>4</v>
      </c>
    </row>
    <row r="49" spans="1:11" x14ac:dyDescent="0.3">
      <c r="A49" t="s">
        <v>1300</v>
      </c>
      <c r="B49" t="s">
        <v>1021</v>
      </c>
      <c r="C49">
        <v>63</v>
      </c>
      <c r="D49" t="s">
        <v>1042</v>
      </c>
      <c r="E49" s="1">
        <v>45006</v>
      </c>
      <c r="F49">
        <v>148</v>
      </c>
      <c r="G49">
        <v>5</v>
      </c>
      <c r="H49">
        <v>2023</v>
      </c>
      <c r="I49" t="s">
        <v>1033</v>
      </c>
      <c r="J49" t="s">
        <v>1019</v>
      </c>
      <c r="K49">
        <v>5</v>
      </c>
    </row>
    <row r="50" spans="1:11" x14ac:dyDescent="0.3">
      <c r="A50" t="s">
        <v>1306</v>
      </c>
      <c r="B50" t="s">
        <v>1028</v>
      </c>
      <c r="C50">
        <v>63</v>
      </c>
      <c r="D50" t="s">
        <v>1042</v>
      </c>
      <c r="E50" s="1">
        <v>45007</v>
      </c>
      <c r="F50">
        <v>87</v>
      </c>
      <c r="G50">
        <v>4.5999999999999996</v>
      </c>
      <c r="H50">
        <v>2023</v>
      </c>
      <c r="I50" t="s">
        <v>1048</v>
      </c>
      <c r="J50" t="s">
        <v>1019</v>
      </c>
      <c r="K50">
        <v>5</v>
      </c>
    </row>
    <row r="51" spans="1:11" x14ac:dyDescent="0.3">
      <c r="A51" t="s">
        <v>1308</v>
      </c>
      <c r="B51" t="s">
        <v>1098</v>
      </c>
      <c r="C51">
        <v>129</v>
      </c>
      <c r="D51" t="s">
        <v>1042</v>
      </c>
      <c r="E51" s="1">
        <v>45007</v>
      </c>
      <c r="F51">
        <v>120</v>
      </c>
      <c r="G51">
        <v>4.0999999999999996</v>
      </c>
      <c r="H51">
        <v>2023</v>
      </c>
      <c r="I51" t="s">
        <v>1048</v>
      </c>
      <c r="J51" t="s">
        <v>1031</v>
      </c>
      <c r="K51">
        <v>4</v>
      </c>
    </row>
    <row r="52" spans="1:11" x14ac:dyDescent="0.3">
      <c r="A52" t="s">
        <v>1314</v>
      </c>
      <c r="B52" t="s">
        <v>1023</v>
      </c>
      <c r="C52">
        <v>93</v>
      </c>
      <c r="D52" t="s">
        <v>1042</v>
      </c>
      <c r="E52" s="1">
        <v>45009</v>
      </c>
      <c r="F52">
        <v>72</v>
      </c>
      <c r="G52">
        <v>4.4000000000000004</v>
      </c>
      <c r="H52">
        <v>2023</v>
      </c>
      <c r="I52" t="s">
        <v>411</v>
      </c>
      <c r="J52" t="s">
        <v>1019</v>
      </c>
      <c r="K52">
        <v>4</v>
      </c>
    </row>
    <row r="53" spans="1:11" x14ac:dyDescent="0.3">
      <c r="A53" t="s">
        <v>1317</v>
      </c>
      <c r="B53" t="s">
        <v>1059</v>
      </c>
      <c r="C53">
        <v>69</v>
      </c>
      <c r="D53" t="s">
        <v>1042</v>
      </c>
      <c r="E53" s="1">
        <v>45010</v>
      </c>
      <c r="F53">
        <v>126</v>
      </c>
      <c r="G53">
        <v>3.7</v>
      </c>
      <c r="H53">
        <v>2023</v>
      </c>
      <c r="I53" t="s">
        <v>1062</v>
      </c>
      <c r="J53" t="s">
        <v>1019</v>
      </c>
      <c r="K53">
        <v>4</v>
      </c>
    </row>
    <row r="54" spans="1:11" x14ac:dyDescent="0.3">
      <c r="A54" t="s">
        <v>1319</v>
      </c>
      <c r="B54" t="s">
        <v>1068</v>
      </c>
      <c r="C54">
        <v>57</v>
      </c>
      <c r="D54" t="s">
        <v>1042</v>
      </c>
      <c r="E54" s="1">
        <v>45010</v>
      </c>
      <c r="F54">
        <v>35</v>
      </c>
      <c r="G54">
        <v>3.5</v>
      </c>
      <c r="H54">
        <v>2023</v>
      </c>
      <c r="I54" t="s">
        <v>1062</v>
      </c>
      <c r="J54" t="s">
        <v>1034</v>
      </c>
      <c r="K54">
        <v>4</v>
      </c>
    </row>
    <row r="55" spans="1:11" x14ac:dyDescent="0.3">
      <c r="A55" t="s">
        <v>1330</v>
      </c>
      <c r="B55" t="s">
        <v>1047</v>
      </c>
      <c r="C55">
        <v>141</v>
      </c>
      <c r="D55" t="s">
        <v>1042</v>
      </c>
      <c r="E55" s="1">
        <v>45012</v>
      </c>
      <c r="F55">
        <v>80</v>
      </c>
      <c r="G55">
        <v>4.4000000000000004</v>
      </c>
      <c r="H55">
        <v>2023</v>
      </c>
      <c r="I55" t="s">
        <v>1030</v>
      </c>
      <c r="J55" t="s">
        <v>1031</v>
      </c>
      <c r="K55">
        <v>4</v>
      </c>
    </row>
    <row r="56" spans="1:11" x14ac:dyDescent="0.3">
      <c r="A56" t="s">
        <v>1337</v>
      </c>
      <c r="B56" t="s">
        <v>1065</v>
      </c>
      <c r="C56">
        <v>59</v>
      </c>
      <c r="D56" t="s">
        <v>1042</v>
      </c>
      <c r="E56" s="1">
        <v>45013</v>
      </c>
      <c r="F56">
        <v>210</v>
      </c>
      <c r="G56">
        <v>4.5</v>
      </c>
      <c r="H56">
        <v>2023</v>
      </c>
      <c r="I56" t="s">
        <v>1033</v>
      </c>
      <c r="J56" t="s">
        <v>1034</v>
      </c>
      <c r="K56">
        <v>5</v>
      </c>
    </row>
    <row r="57" spans="1:11" x14ac:dyDescent="0.3">
      <c r="A57" t="s">
        <v>1342</v>
      </c>
      <c r="B57" t="s">
        <v>1078</v>
      </c>
      <c r="C57">
        <v>128</v>
      </c>
      <c r="D57" t="s">
        <v>1042</v>
      </c>
      <c r="E57" s="1">
        <v>45014</v>
      </c>
      <c r="F57">
        <v>60</v>
      </c>
      <c r="G57">
        <v>3.8</v>
      </c>
      <c r="H57">
        <v>2023</v>
      </c>
      <c r="I57" t="s">
        <v>1048</v>
      </c>
      <c r="J57" t="s">
        <v>1031</v>
      </c>
      <c r="K57">
        <v>4</v>
      </c>
    </row>
    <row r="58" spans="1:11" x14ac:dyDescent="0.3">
      <c r="A58" t="s">
        <v>1352</v>
      </c>
      <c r="B58" t="s">
        <v>1021</v>
      </c>
      <c r="C58">
        <v>95</v>
      </c>
      <c r="D58" t="s">
        <v>1042</v>
      </c>
      <c r="E58" s="1">
        <v>45018</v>
      </c>
      <c r="F58">
        <v>52</v>
      </c>
      <c r="G58">
        <v>1.2</v>
      </c>
      <c r="H58">
        <v>2023</v>
      </c>
      <c r="I58" t="s">
        <v>1018</v>
      </c>
      <c r="J58" t="s">
        <v>1019</v>
      </c>
      <c r="K58">
        <v>1</v>
      </c>
    </row>
    <row r="59" spans="1:11" x14ac:dyDescent="0.3">
      <c r="A59" t="s">
        <v>1355</v>
      </c>
      <c r="B59" t="s">
        <v>1059</v>
      </c>
      <c r="C59">
        <v>40</v>
      </c>
      <c r="D59" t="s">
        <v>1042</v>
      </c>
      <c r="E59" s="1">
        <v>45019</v>
      </c>
      <c r="F59">
        <v>220</v>
      </c>
      <c r="G59">
        <v>4.5</v>
      </c>
      <c r="H59">
        <v>2023</v>
      </c>
      <c r="I59" t="s">
        <v>1030</v>
      </c>
      <c r="J59" t="s">
        <v>1034</v>
      </c>
      <c r="K59">
        <v>5</v>
      </c>
    </row>
    <row r="60" spans="1:11" x14ac:dyDescent="0.3">
      <c r="A60" t="s">
        <v>1360</v>
      </c>
      <c r="B60" t="s">
        <v>1065</v>
      </c>
      <c r="C60">
        <v>130</v>
      </c>
      <c r="D60" t="s">
        <v>1042</v>
      </c>
      <c r="E60" s="1">
        <v>45021</v>
      </c>
      <c r="F60">
        <v>54</v>
      </c>
      <c r="G60">
        <v>4.0999999999999996</v>
      </c>
      <c r="H60">
        <v>2023</v>
      </c>
      <c r="I60" t="s">
        <v>1048</v>
      </c>
      <c r="J60" t="s">
        <v>1031</v>
      </c>
      <c r="K60">
        <v>4</v>
      </c>
    </row>
    <row r="61" spans="1:11" x14ac:dyDescent="0.3">
      <c r="A61" t="s">
        <v>1365</v>
      </c>
      <c r="B61" t="s">
        <v>1059</v>
      </c>
      <c r="C61">
        <v>158</v>
      </c>
      <c r="D61" t="s">
        <v>1042</v>
      </c>
      <c r="E61" s="1">
        <v>45022</v>
      </c>
      <c r="F61">
        <v>100</v>
      </c>
      <c r="G61">
        <v>4.0999999999999996</v>
      </c>
      <c r="H61">
        <v>2023</v>
      </c>
      <c r="I61" t="s">
        <v>1052</v>
      </c>
      <c r="J61" t="s">
        <v>1031</v>
      </c>
      <c r="K61">
        <v>4</v>
      </c>
    </row>
    <row r="62" spans="1:11" x14ac:dyDescent="0.3">
      <c r="A62" t="s">
        <v>1366</v>
      </c>
      <c r="B62" t="s">
        <v>1055</v>
      </c>
      <c r="C62">
        <v>110</v>
      </c>
      <c r="D62" t="s">
        <v>1042</v>
      </c>
      <c r="E62" s="1">
        <v>45023</v>
      </c>
      <c r="F62">
        <v>36</v>
      </c>
      <c r="G62">
        <v>2.2000000000000002</v>
      </c>
      <c r="H62">
        <v>2023</v>
      </c>
      <c r="I62" t="s">
        <v>411</v>
      </c>
      <c r="J62" t="s">
        <v>1019</v>
      </c>
      <c r="K62">
        <v>2</v>
      </c>
    </row>
    <row r="63" spans="1:11" x14ac:dyDescent="0.3">
      <c r="A63" t="s">
        <v>1367</v>
      </c>
      <c r="B63" t="s">
        <v>1078</v>
      </c>
      <c r="C63">
        <v>70</v>
      </c>
      <c r="D63" t="s">
        <v>1042</v>
      </c>
      <c r="E63" s="1">
        <v>45023</v>
      </c>
      <c r="F63">
        <v>114</v>
      </c>
      <c r="G63">
        <v>5</v>
      </c>
      <c r="H63">
        <v>2023</v>
      </c>
      <c r="I63" t="s">
        <v>411</v>
      </c>
      <c r="J63" t="s">
        <v>1019</v>
      </c>
      <c r="K63">
        <v>5</v>
      </c>
    </row>
    <row r="64" spans="1:11" x14ac:dyDescent="0.3">
      <c r="A64" t="s">
        <v>1373</v>
      </c>
      <c r="B64" t="s">
        <v>1055</v>
      </c>
      <c r="C64">
        <v>23</v>
      </c>
      <c r="D64" t="s">
        <v>1042</v>
      </c>
      <c r="E64" s="1">
        <v>45023</v>
      </c>
      <c r="F64">
        <v>117</v>
      </c>
      <c r="G64">
        <v>2.4</v>
      </c>
      <c r="H64">
        <v>2023</v>
      </c>
      <c r="I64" t="s">
        <v>411</v>
      </c>
      <c r="J64" t="s">
        <v>1056</v>
      </c>
      <c r="K64">
        <v>2</v>
      </c>
    </row>
    <row r="65" spans="1:11" x14ac:dyDescent="0.3">
      <c r="A65" t="s">
        <v>1377</v>
      </c>
      <c r="B65" t="s">
        <v>1068</v>
      </c>
      <c r="C65">
        <v>8</v>
      </c>
      <c r="D65" t="s">
        <v>1042</v>
      </c>
      <c r="E65" s="1">
        <v>45024</v>
      </c>
      <c r="F65">
        <v>20</v>
      </c>
      <c r="G65">
        <v>4.8</v>
      </c>
      <c r="H65">
        <v>2023</v>
      </c>
      <c r="I65" t="s">
        <v>1062</v>
      </c>
      <c r="J65" t="s">
        <v>1186</v>
      </c>
      <c r="K65">
        <v>5</v>
      </c>
    </row>
    <row r="66" spans="1:11" x14ac:dyDescent="0.3">
      <c r="A66" t="s">
        <v>1393</v>
      </c>
      <c r="B66" t="s">
        <v>1068</v>
      </c>
      <c r="C66">
        <v>53</v>
      </c>
      <c r="D66" t="s">
        <v>1042</v>
      </c>
      <c r="E66" s="1">
        <v>45028</v>
      </c>
      <c r="F66">
        <v>23</v>
      </c>
      <c r="G66">
        <v>4.9000000000000004</v>
      </c>
      <c r="H66">
        <v>2023</v>
      </c>
      <c r="I66" t="s">
        <v>1048</v>
      </c>
      <c r="J66" t="s">
        <v>1034</v>
      </c>
      <c r="K66">
        <v>5</v>
      </c>
    </row>
    <row r="67" spans="1:11" x14ac:dyDescent="0.3">
      <c r="A67" t="s">
        <v>1408</v>
      </c>
      <c r="B67" t="s">
        <v>1078</v>
      </c>
      <c r="C67">
        <v>17</v>
      </c>
      <c r="D67" t="s">
        <v>1042</v>
      </c>
      <c r="E67" s="1">
        <v>45031</v>
      </c>
      <c r="F67">
        <v>69</v>
      </c>
      <c r="G67">
        <v>4.5999999999999996</v>
      </c>
      <c r="H67">
        <v>2023</v>
      </c>
      <c r="I67" t="s">
        <v>1062</v>
      </c>
      <c r="J67" t="s">
        <v>1056</v>
      </c>
      <c r="K67">
        <v>5</v>
      </c>
    </row>
    <row r="68" spans="1:11" x14ac:dyDescent="0.3">
      <c r="A68" t="s">
        <v>1409</v>
      </c>
      <c r="B68" t="s">
        <v>1059</v>
      </c>
      <c r="C68">
        <v>128</v>
      </c>
      <c r="D68" t="s">
        <v>1042</v>
      </c>
      <c r="E68" s="1">
        <v>45031</v>
      </c>
      <c r="F68">
        <v>140</v>
      </c>
      <c r="G68">
        <v>3</v>
      </c>
      <c r="H68">
        <v>2023</v>
      </c>
      <c r="I68" t="s">
        <v>1062</v>
      </c>
      <c r="J68" t="s">
        <v>1031</v>
      </c>
      <c r="K68">
        <v>3</v>
      </c>
    </row>
    <row r="69" spans="1:11" x14ac:dyDescent="0.3">
      <c r="A69" t="s">
        <v>1411</v>
      </c>
      <c r="B69" t="s">
        <v>1078</v>
      </c>
      <c r="C69">
        <v>41</v>
      </c>
      <c r="D69" t="s">
        <v>1042</v>
      </c>
      <c r="E69" s="1">
        <v>45032</v>
      </c>
      <c r="F69">
        <v>164</v>
      </c>
      <c r="G69">
        <v>3.1</v>
      </c>
      <c r="H69">
        <v>2023</v>
      </c>
      <c r="I69" t="s">
        <v>1018</v>
      </c>
      <c r="J69" t="s">
        <v>1034</v>
      </c>
      <c r="K69">
        <v>3</v>
      </c>
    </row>
    <row r="70" spans="1:11" x14ac:dyDescent="0.3">
      <c r="A70" t="s">
        <v>1412</v>
      </c>
      <c r="B70" t="s">
        <v>1047</v>
      </c>
      <c r="C70">
        <v>49</v>
      </c>
      <c r="D70" t="s">
        <v>1042</v>
      </c>
      <c r="E70" s="1">
        <v>45032</v>
      </c>
      <c r="F70">
        <v>195</v>
      </c>
      <c r="G70">
        <v>2.6</v>
      </c>
      <c r="H70">
        <v>2023</v>
      </c>
      <c r="I70" t="s">
        <v>1018</v>
      </c>
      <c r="J70" t="s">
        <v>1034</v>
      </c>
      <c r="K70">
        <v>3</v>
      </c>
    </row>
    <row r="71" spans="1:11" x14ac:dyDescent="0.3">
      <c r="A71" t="s">
        <v>1419</v>
      </c>
      <c r="B71" t="s">
        <v>1023</v>
      </c>
      <c r="C71">
        <v>105</v>
      </c>
      <c r="D71" t="s">
        <v>1042</v>
      </c>
      <c r="E71" s="1">
        <v>45033</v>
      </c>
      <c r="F71">
        <v>35</v>
      </c>
      <c r="G71">
        <v>4.4000000000000004</v>
      </c>
      <c r="H71">
        <v>2023</v>
      </c>
      <c r="I71" t="s">
        <v>1030</v>
      </c>
      <c r="J71" t="s">
        <v>1019</v>
      </c>
      <c r="K71">
        <v>4</v>
      </c>
    </row>
    <row r="72" spans="1:11" x14ac:dyDescent="0.3">
      <c r="A72" t="s">
        <v>1427</v>
      </c>
      <c r="B72" t="s">
        <v>1016</v>
      </c>
      <c r="C72">
        <v>120</v>
      </c>
      <c r="D72" t="s">
        <v>1042</v>
      </c>
      <c r="E72" s="1">
        <v>45035</v>
      </c>
      <c r="F72">
        <v>26</v>
      </c>
      <c r="G72">
        <v>4</v>
      </c>
      <c r="H72">
        <v>2023</v>
      </c>
      <c r="I72" t="s">
        <v>1048</v>
      </c>
      <c r="J72" t="s">
        <v>1019</v>
      </c>
      <c r="K72">
        <v>4</v>
      </c>
    </row>
    <row r="73" spans="1:11" x14ac:dyDescent="0.3">
      <c r="A73" t="s">
        <v>1429</v>
      </c>
      <c r="B73" t="s">
        <v>1026</v>
      </c>
      <c r="C73">
        <v>60</v>
      </c>
      <c r="D73" t="s">
        <v>1042</v>
      </c>
      <c r="E73" s="1">
        <v>45035</v>
      </c>
      <c r="F73">
        <v>84</v>
      </c>
      <c r="G73">
        <v>4.8</v>
      </c>
      <c r="H73">
        <v>2023</v>
      </c>
      <c r="I73" t="s">
        <v>1048</v>
      </c>
      <c r="J73" t="s">
        <v>1034</v>
      </c>
      <c r="K73">
        <v>5</v>
      </c>
    </row>
    <row r="74" spans="1:11" x14ac:dyDescent="0.3">
      <c r="A74" t="s">
        <v>1437</v>
      </c>
      <c r="B74" t="s">
        <v>1059</v>
      </c>
      <c r="C74">
        <v>61</v>
      </c>
      <c r="D74" t="s">
        <v>1042</v>
      </c>
      <c r="E74" s="1">
        <v>45037</v>
      </c>
      <c r="F74">
        <v>38</v>
      </c>
      <c r="G74">
        <v>4.8</v>
      </c>
      <c r="H74">
        <v>2023</v>
      </c>
      <c r="I74" t="s">
        <v>411</v>
      </c>
      <c r="J74" t="s">
        <v>1019</v>
      </c>
      <c r="K74">
        <v>5</v>
      </c>
    </row>
    <row r="75" spans="1:11" x14ac:dyDescent="0.3">
      <c r="A75" t="s">
        <v>1440</v>
      </c>
      <c r="B75" t="s">
        <v>1047</v>
      </c>
      <c r="C75">
        <v>24</v>
      </c>
      <c r="D75" t="s">
        <v>1042</v>
      </c>
      <c r="E75" s="1">
        <v>45037</v>
      </c>
      <c r="F75">
        <v>74</v>
      </c>
      <c r="G75">
        <v>4.8</v>
      </c>
      <c r="H75">
        <v>2023</v>
      </c>
      <c r="I75" t="s">
        <v>411</v>
      </c>
      <c r="J75" t="s">
        <v>1056</v>
      </c>
      <c r="K75">
        <v>5</v>
      </c>
    </row>
    <row r="76" spans="1:11" x14ac:dyDescent="0.3">
      <c r="A76" t="s">
        <v>1451</v>
      </c>
      <c r="B76" t="s">
        <v>1036</v>
      </c>
      <c r="C76">
        <v>88</v>
      </c>
      <c r="D76" t="s">
        <v>1042</v>
      </c>
      <c r="E76" s="1">
        <v>45039</v>
      </c>
      <c r="F76">
        <v>72</v>
      </c>
      <c r="G76">
        <v>4</v>
      </c>
      <c r="H76">
        <v>2023</v>
      </c>
      <c r="I76" t="s">
        <v>1018</v>
      </c>
      <c r="J76" t="s">
        <v>1019</v>
      </c>
      <c r="K76">
        <v>4</v>
      </c>
    </row>
    <row r="77" spans="1:11" x14ac:dyDescent="0.3">
      <c r="A77" t="s">
        <v>1456</v>
      </c>
      <c r="B77" t="s">
        <v>1041</v>
      </c>
      <c r="C77">
        <v>131</v>
      </c>
      <c r="D77" t="s">
        <v>1042</v>
      </c>
      <c r="E77" s="1">
        <v>45040</v>
      </c>
      <c r="F77">
        <v>41</v>
      </c>
      <c r="G77">
        <v>4.9000000000000004</v>
      </c>
      <c r="H77">
        <v>2023</v>
      </c>
      <c r="I77" t="s">
        <v>1030</v>
      </c>
      <c r="J77" t="s">
        <v>1031</v>
      </c>
      <c r="K77">
        <v>5</v>
      </c>
    </row>
    <row r="78" spans="1:11" x14ac:dyDescent="0.3">
      <c r="A78" t="s">
        <v>1457</v>
      </c>
      <c r="B78" t="s">
        <v>1023</v>
      </c>
      <c r="C78">
        <v>27</v>
      </c>
      <c r="D78" t="s">
        <v>1042</v>
      </c>
      <c r="E78" s="1">
        <v>45040</v>
      </c>
      <c r="F78">
        <v>74</v>
      </c>
      <c r="G78">
        <v>4</v>
      </c>
      <c r="H78">
        <v>2023</v>
      </c>
      <c r="I78" t="s">
        <v>1030</v>
      </c>
      <c r="J78" t="s">
        <v>1056</v>
      </c>
      <c r="K78">
        <v>4</v>
      </c>
    </row>
    <row r="79" spans="1:11" x14ac:dyDescent="0.3">
      <c r="A79" t="s">
        <v>1459</v>
      </c>
      <c r="B79" t="s">
        <v>1059</v>
      </c>
      <c r="C79">
        <v>123</v>
      </c>
      <c r="D79" t="s">
        <v>1042</v>
      </c>
      <c r="E79" s="1">
        <v>45040</v>
      </c>
      <c r="F79">
        <v>128</v>
      </c>
      <c r="G79">
        <v>3.6</v>
      </c>
      <c r="H79">
        <v>2023</v>
      </c>
      <c r="I79" t="s">
        <v>1030</v>
      </c>
      <c r="J79" t="s">
        <v>1031</v>
      </c>
      <c r="K79">
        <v>4</v>
      </c>
    </row>
    <row r="80" spans="1:11" x14ac:dyDescent="0.3">
      <c r="A80" t="s">
        <v>1460</v>
      </c>
      <c r="B80" t="s">
        <v>1016</v>
      </c>
      <c r="C80">
        <v>129</v>
      </c>
      <c r="D80" t="s">
        <v>1042</v>
      </c>
      <c r="E80" s="1">
        <v>45041</v>
      </c>
      <c r="F80">
        <v>144</v>
      </c>
      <c r="G80">
        <v>4.0999999999999996</v>
      </c>
      <c r="H80">
        <v>2023</v>
      </c>
      <c r="I80" t="s">
        <v>1033</v>
      </c>
      <c r="J80" t="s">
        <v>1031</v>
      </c>
      <c r="K80">
        <v>4</v>
      </c>
    </row>
    <row r="81" spans="1:11" x14ac:dyDescent="0.3">
      <c r="A81" t="s">
        <v>1475</v>
      </c>
      <c r="B81" t="s">
        <v>1047</v>
      </c>
      <c r="C81">
        <v>135</v>
      </c>
      <c r="D81" t="s">
        <v>1042</v>
      </c>
      <c r="E81" s="1">
        <v>45045</v>
      </c>
      <c r="F81">
        <v>125</v>
      </c>
      <c r="G81">
        <v>3.3</v>
      </c>
      <c r="H81">
        <v>2023</v>
      </c>
      <c r="I81" t="s">
        <v>1062</v>
      </c>
      <c r="J81" t="s">
        <v>1031</v>
      </c>
      <c r="K81">
        <v>3</v>
      </c>
    </row>
    <row r="82" spans="1:11" x14ac:dyDescent="0.3">
      <c r="A82" t="s">
        <v>1484</v>
      </c>
      <c r="B82" t="s">
        <v>1021</v>
      </c>
      <c r="C82">
        <v>112</v>
      </c>
      <c r="D82" t="s">
        <v>1042</v>
      </c>
      <c r="E82" s="1">
        <v>45047</v>
      </c>
      <c r="F82">
        <v>84</v>
      </c>
      <c r="G82">
        <v>2.6</v>
      </c>
      <c r="H82">
        <v>2023</v>
      </c>
      <c r="I82" t="s">
        <v>1030</v>
      </c>
      <c r="J82" t="s">
        <v>1019</v>
      </c>
      <c r="K82">
        <v>3</v>
      </c>
    </row>
    <row r="83" spans="1:11" x14ac:dyDescent="0.3">
      <c r="A83" t="s">
        <v>1489</v>
      </c>
      <c r="B83" t="s">
        <v>1045</v>
      </c>
      <c r="C83">
        <v>41</v>
      </c>
      <c r="D83" t="s">
        <v>1042</v>
      </c>
      <c r="E83" s="1">
        <v>45048</v>
      </c>
      <c r="F83">
        <v>123</v>
      </c>
      <c r="G83">
        <v>3.2</v>
      </c>
      <c r="H83">
        <v>2023</v>
      </c>
      <c r="I83" t="s">
        <v>1033</v>
      </c>
      <c r="J83" t="s">
        <v>1034</v>
      </c>
      <c r="K83">
        <v>3</v>
      </c>
    </row>
    <row r="84" spans="1:11" x14ac:dyDescent="0.3">
      <c r="A84" t="s">
        <v>1492</v>
      </c>
      <c r="B84" t="s">
        <v>1055</v>
      </c>
      <c r="C84">
        <v>61</v>
      </c>
      <c r="D84" t="s">
        <v>1042</v>
      </c>
      <c r="E84" s="1">
        <v>45049</v>
      </c>
      <c r="F84">
        <v>115</v>
      </c>
      <c r="G84">
        <v>3.7</v>
      </c>
      <c r="H84">
        <v>2023</v>
      </c>
      <c r="I84" t="s">
        <v>1048</v>
      </c>
      <c r="J84" t="s">
        <v>1019</v>
      </c>
      <c r="K84">
        <v>4</v>
      </c>
    </row>
    <row r="85" spans="1:11" x14ac:dyDescent="0.3">
      <c r="A85" t="s">
        <v>1493</v>
      </c>
      <c r="B85" t="s">
        <v>1016</v>
      </c>
      <c r="C85">
        <v>91</v>
      </c>
      <c r="D85" t="s">
        <v>1042</v>
      </c>
      <c r="E85" s="1">
        <v>45049</v>
      </c>
      <c r="F85">
        <v>124</v>
      </c>
      <c r="G85">
        <v>3.9</v>
      </c>
      <c r="H85">
        <v>2023</v>
      </c>
      <c r="I85" t="s">
        <v>1048</v>
      </c>
      <c r="J85" t="s">
        <v>1019</v>
      </c>
      <c r="K85">
        <v>4</v>
      </c>
    </row>
    <row r="86" spans="1:11" x14ac:dyDescent="0.3">
      <c r="A86" t="s">
        <v>1494</v>
      </c>
      <c r="B86" t="s">
        <v>1078</v>
      </c>
      <c r="C86">
        <v>30</v>
      </c>
      <c r="D86" t="s">
        <v>1042</v>
      </c>
      <c r="E86" s="1">
        <v>45050</v>
      </c>
      <c r="F86">
        <v>205</v>
      </c>
      <c r="G86">
        <v>4.5</v>
      </c>
      <c r="H86">
        <v>2023</v>
      </c>
      <c r="I86" t="s">
        <v>1052</v>
      </c>
      <c r="J86" t="s">
        <v>1056</v>
      </c>
      <c r="K86">
        <v>5</v>
      </c>
    </row>
    <row r="87" spans="1:11" x14ac:dyDescent="0.3">
      <c r="A87" t="s">
        <v>1503</v>
      </c>
      <c r="B87" t="s">
        <v>1016</v>
      </c>
      <c r="C87">
        <v>114</v>
      </c>
      <c r="D87" t="s">
        <v>1042</v>
      </c>
      <c r="E87" s="1">
        <v>45054</v>
      </c>
      <c r="F87">
        <v>105</v>
      </c>
      <c r="G87">
        <v>4.9000000000000004</v>
      </c>
      <c r="H87">
        <v>2023</v>
      </c>
      <c r="I87" t="s">
        <v>1030</v>
      </c>
      <c r="J87" t="s">
        <v>1019</v>
      </c>
      <c r="K87">
        <v>5</v>
      </c>
    </row>
    <row r="88" spans="1:11" x14ac:dyDescent="0.3">
      <c r="A88" t="s">
        <v>1506</v>
      </c>
      <c r="B88" t="s">
        <v>1028</v>
      </c>
      <c r="C88">
        <v>44</v>
      </c>
      <c r="D88" t="s">
        <v>1042</v>
      </c>
      <c r="E88" s="1">
        <v>45054</v>
      </c>
      <c r="F88">
        <v>63</v>
      </c>
      <c r="G88">
        <v>3.5</v>
      </c>
      <c r="H88">
        <v>2023</v>
      </c>
      <c r="I88" t="s">
        <v>1030</v>
      </c>
      <c r="J88" t="s">
        <v>1034</v>
      </c>
      <c r="K88">
        <v>4</v>
      </c>
    </row>
    <row r="89" spans="1:11" x14ac:dyDescent="0.3">
      <c r="A89" t="s">
        <v>1512</v>
      </c>
      <c r="B89" t="s">
        <v>1028</v>
      </c>
      <c r="C89">
        <v>144</v>
      </c>
      <c r="D89" t="s">
        <v>1042</v>
      </c>
      <c r="E89" s="1">
        <v>45058</v>
      </c>
      <c r="F89">
        <v>62</v>
      </c>
      <c r="G89">
        <v>4.8</v>
      </c>
      <c r="H89">
        <v>2023</v>
      </c>
      <c r="I89" t="s">
        <v>411</v>
      </c>
      <c r="J89" t="s">
        <v>1031</v>
      </c>
      <c r="K89">
        <v>5</v>
      </c>
    </row>
    <row r="90" spans="1:11" x14ac:dyDescent="0.3">
      <c r="A90" t="s">
        <v>1524</v>
      </c>
      <c r="B90" t="s">
        <v>1041</v>
      </c>
      <c r="C90">
        <v>19</v>
      </c>
      <c r="D90" t="s">
        <v>1042</v>
      </c>
      <c r="E90" s="1">
        <v>45064</v>
      </c>
      <c r="F90">
        <v>132</v>
      </c>
      <c r="G90">
        <v>4.3</v>
      </c>
      <c r="H90">
        <v>2023</v>
      </c>
      <c r="I90" t="s">
        <v>1052</v>
      </c>
      <c r="J90" t="s">
        <v>1056</v>
      </c>
      <c r="K90">
        <v>4</v>
      </c>
    </row>
    <row r="91" spans="1:11" x14ac:dyDescent="0.3">
      <c r="A91" t="s">
        <v>1525</v>
      </c>
      <c r="B91" t="s">
        <v>1055</v>
      </c>
      <c r="C91">
        <v>104</v>
      </c>
      <c r="D91" t="s">
        <v>1042</v>
      </c>
      <c r="E91" s="1">
        <v>45065</v>
      </c>
      <c r="F91">
        <v>68</v>
      </c>
      <c r="G91">
        <v>3.7</v>
      </c>
      <c r="H91">
        <v>2023</v>
      </c>
      <c r="I91" t="s">
        <v>411</v>
      </c>
      <c r="J91" t="s">
        <v>1019</v>
      </c>
      <c r="K91">
        <v>4</v>
      </c>
    </row>
    <row r="92" spans="1:11" x14ac:dyDescent="0.3">
      <c r="A92" t="s">
        <v>1527</v>
      </c>
      <c r="B92" t="s">
        <v>1068</v>
      </c>
      <c r="C92">
        <v>107</v>
      </c>
      <c r="D92" t="s">
        <v>1042</v>
      </c>
      <c r="E92" s="1">
        <v>45067</v>
      </c>
      <c r="F92">
        <v>115</v>
      </c>
      <c r="G92">
        <v>4.9000000000000004</v>
      </c>
      <c r="H92">
        <v>2023</v>
      </c>
      <c r="I92" t="s">
        <v>1018</v>
      </c>
      <c r="J92" t="s">
        <v>1019</v>
      </c>
      <c r="K92">
        <v>5</v>
      </c>
    </row>
    <row r="93" spans="1:11" x14ac:dyDescent="0.3">
      <c r="A93" t="s">
        <v>1528</v>
      </c>
      <c r="B93" t="s">
        <v>1068</v>
      </c>
      <c r="C93">
        <v>93</v>
      </c>
      <c r="D93" t="s">
        <v>1042</v>
      </c>
      <c r="E93" s="1">
        <v>45067</v>
      </c>
      <c r="F93">
        <v>128</v>
      </c>
      <c r="G93">
        <v>3.9</v>
      </c>
      <c r="H93">
        <v>2023</v>
      </c>
      <c r="I93" t="s">
        <v>1018</v>
      </c>
      <c r="J93" t="s">
        <v>1019</v>
      </c>
      <c r="K93">
        <v>4</v>
      </c>
    </row>
    <row r="94" spans="1:11" x14ac:dyDescent="0.3">
      <c r="A94" t="s">
        <v>1531</v>
      </c>
      <c r="B94" t="s">
        <v>1041</v>
      </c>
      <c r="C94">
        <v>64</v>
      </c>
      <c r="D94" t="s">
        <v>1042</v>
      </c>
      <c r="E94" s="1">
        <v>45068</v>
      </c>
      <c r="F94">
        <v>132</v>
      </c>
      <c r="G94">
        <v>3.3</v>
      </c>
      <c r="H94">
        <v>2023</v>
      </c>
      <c r="I94" t="s">
        <v>1030</v>
      </c>
      <c r="J94" t="s">
        <v>1019</v>
      </c>
      <c r="K94">
        <v>3</v>
      </c>
    </row>
    <row r="95" spans="1:11" x14ac:dyDescent="0.3">
      <c r="A95" t="s">
        <v>1532</v>
      </c>
      <c r="B95" t="s">
        <v>1028</v>
      </c>
      <c r="C95">
        <v>33</v>
      </c>
      <c r="D95" t="s">
        <v>1042</v>
      </c>
      <c r="E95" s="1">
        <v>45068</v>
      </c>
      <c r="F95">
        <v>170</v>
      </c>
      <c r="G95">
        <v>3.8</v>
      </c>
      <c r="H95">
        <v>2023</v>
      </c>
      <c r="I95" t="s">
        <v>1030</v>
      </c>
      <c r="J95" t="s">
        <v>1034</v>
      </c>
      <c r="K95">
        <v>4</v>
      </c>
    </row>
    <row r="96" spans="1:11" x14ac:dyDescent="0.3">
      <c r="A96" t="s">
        <v>1538</v>
      </c>
      <c r="B96" t="s">
        <v>1059</v>
      </c>
      <c r="C96">
        <v>133</v>
      </c>
      <c r="D96" t="s">
        <v>1042</v>
      </c>
      <c r="E96" s="1">
        <v>45070</v>
      </c>
      <c r="F96">
        <v>31</v>
      </c>
      <c r="G96">
        <v>3.7</v>
      </c>
      <c r="H96">
        <v>2023</v>
      </c>
      <c r="I96" t="s">
        <v>1048</v>
      </c>
      <c r="J96" t="s">
        <v>1031</v>
      </c>
      <c r="K96">
        <v>4</v>
      </c>
    </row>
    <row r="97" spans="1:11" x14ac:dyDescent="0.3">
      <c r="A97" t="s">
        <v>1541</v>
      </c>
      <c r="B97" t="s">
        <v>1028</v>
      </c>
      <c r="C97">
        <v>146</v>
      </c>
      <c r="D97" t="s">
        <v>1042</v>
      </c>
      <c r="E97" s="1">
        <v>45071</v>
      </c>
      <c r="F97">
        <v>123</v>
      </c>
      <c r="G97">
        <v>4.3</v>
      </c>
      <c r="H97">
        <v>2023</v>
      </c>
      <c r="I97" t="s">
        <v>1052</v>
      </c>
      <c r="J97" t="s">
        <v>1031</v>
      </c>
      <c r="K97">
        <v>4</v>
      </c>
    </row>
    <row r="98" spans="1:11" x14ac:dyDescent="0.3">
      <c r="A98" t="s">
        <v>1542</v>
      </c>
      <c r="B98" t="s">
        <v>1098</v>
      </c>
      <c r="C98">
        <v>148</v>
      </c>
      <c r="D98" t="s">
        <v>1042</v>
      </c>
      <c r="E98" s="1">
        <v>45071</v>
      </c>
      <c r="F98">
        <v>36</v>
      </c>
      <c r="G98">
        <v>2.9</v>
      </c>
      <c r="H98">
        <v>2023</v>
      </c>
      <c r="I98" t="s">
        <v>1052</v>
      </c>
      <c r="J98" t="s">
        <v>1031</v>
      </c>
      <c r="K98">
        <v>3</v>
      </c>
    </row>
    <row r="99" spans="1:11" x14ac:dyDescent="0.3">
      <c r="A99" t="s">
        <v>1543</v>
      </c>
      <c r="B99" t="s">
        <v>1045</v>
      </c>
      <c r="C99">
        <v>81</v>
      </c>
      <c r="D99" t="s">
        <v>1042</v>
      </c>
      <c r="E99" s="1">
        <v>45071</v>
      </c>
      <c r="F99">
        <v>116</v>
      </c>
      <c r="G99">
        <v>4.3</v>
      </c>
      <c r="H99">
        <v>2023</v>
      </c>
      <c r="I99" t="s">
        <v>1052</v>
      </c>
      <c r="J99" t="s">
        <v>1019</v>
      </c>
      <c r="K99">
        <v>4</v>
      </c>
    </row>
    <row r="100" spans="1:11" x14ac:dyDescent="0.3">
      <c r="A100" t="s">
        <v>1544</v>
      </c>
      <c r="B100" t="s">
        <v>1055</v>
      </c>
      <c r="C100">
        <v>115</v>
      </c>
      <c r="D100" t="s">
        <v>1042</v>
      </c>
      <c r="E100" s="1">
        <v>45071</v>
      </c>
      <c r="F100">
        <v>40</v>
      </c>
      <c r="G100">
        <v>4.9000000000000004</v>
      </c>
      <c r="H100">
        <v>2023</v>
      </c>
      <c r="I100" t="s">
        <v>1052</v>
      </c>
      <c r="J100" t="s">
        <v>1019</v>
      </c>
      <c r="K100">
        <v>5</v>
      </c>
    </row>
    <row r="101" spans="1:11" x14ac:dyDescent="0.3">
      <c r="A101" t="s">
        <v>1555</v>
      </c>
      <c r="B101" t="s">
        <v>1041</v>
      </c>
      <c r="C101">
        <v>122</v>
      </c>
      <c r="D101" t="s">
        <v>1042</v>
      </c>
      <c r="E101" s="1">
        <v>45074</v>
      </c>
      <c r="F101">
        <v>45</v>
      </c>
      <c r="G101">
        <v>4.2</v>
      </c>
      <c r="H101">
        <v>2023</v>
      </c>
      <c r="I101" t="s">
        <v>1018</v>
      </c>
      <c r="J101" t="s">
        <v>1031</v>
      </c>
      <c r="K101">
        <v>4</v>
      </c>
    </row>
    <row r="102" spans="1:11" x14ac:dyDescent="0.3">
      <c r="A102" t="s">
        <v>1559</v>
      </c>
      <c r="B102" t="s">
        <v>1041</v>
      </c>
      <c r="C102">
        <v>134</v>
      </c>
      <c r="D102" t="s">
        <v>1042</v>
      </c>
      <c r="E102" s="1">
        <v>45076</v>
      </c>
      <c r="F102">
        <v>120</v>
      </c>
      <c r="G102">
        <v>3</v>
      </c>
      <c r="H102">
        <v>2023</v>
      </c>
      <c r="I102" t="s">
        <v>1033</v>
      </c>
      <c r="J102" t="s">
        <v>1031</v>
      </c>
      <c r="K102">
        <v>3</v>
      </c>
    </row>
    <row r="103" spans="1:11" x14ac:dyDescent="0.3">
      <c r="A103" t="s">
        <v>1562</v>
      </c>
      <c r="B103" t="s">
        <v>1059</v>
      </c>
      <c r="C103">
        <v>95</v>
      </c>
      <c r="D103" t="s">
        <v>1042</v>
      </c>
      <c r="E103" s="1">
        <v>45076</v>
      </c>
      <c r="F103">
        <v>86</v>
      </c>
      <c r="G103">
        <v>3.6</v>
      </c>
      <c r="H103">
        <v>2023</v>
      </c>
      <c r="I103" t="s">
        <v>1033</v>
      </c>
      <c r="J103" t="s">
        <v>1019</v>
      </c>
      <c r="K103">
        <v>4</v>
      </c>
    </row>
    <row r="104" spans="1:11" x14ac:dyDescent="0.3">
      <c r="A104" t="s">
        <v>1563</v>
      </c>
      <c r="B104" t="s">
        <v>1041</v>
      </c>
      <c r="C104">
        <v>106</v>
      </c>
      <c r="D104" t="s">
        <v>1042</v>
      </c>
      <c r="E104" s="1">
        <v>45077</v>
      </c>
      <c r="F104">
        <v>120</v>
      </c>
      <c r="G104">
        <v>4.0999999999999996</v>
      </c>
      <c r="H104">
        <v>2023</v>
      </c>
      <c r="I104" t="s">
        <v>1048</v>
      </c>
      <c r="J104" t="s">
        <v>1019</v>
      </c>
      <c r="K104">
        <v>4</v>
      </c>
    </row>
    <row r="105" spans="1:11" x14ac:dyDescent="0.3">
      <c r="A105" t="s">
        <v>1567</v>
      </c>
      <c r="B105" t="s">
        <v>1045</v>
      </c>
      <c r="C105">
        <v>111</v>
      </c>
      <c r="D105" t="s">
        <v>1042</v>
      </c>
      <c r="E105" s="1">
        <v>45078</v>
      </c>
      <c r="F105">
        <v>210</v>
      </c>
      <c r="G105">
        <v>4.3</v>
      </c>
      <c r="H105">
        <v>2023</v>
      </c>
      <c r="I105" t="s">
        <v>1052</v>
      </c>
      <c r="J105" t="s">
        <v>1019</v>
      </c>
      <c r="K105">
        <v>4</v>
      </c>
    </row>
    <row r="106" spans="1:11" x14ac:dyDescent="0.3">
      <c r="A106" t="s">
        <v>1569</v>
      </c>
      <c r="B106" t="s">
        <v>1036</v>
      </c>
      <c r="C106">
        <v>147</v>
      </c>
      <c r="D106" t="s">
        <v>1042</v>
      </c>
      <c r="E106" s="1">
        <v>45080</v>
      </c>
      <c r="F106">
        <v>115</v>
      </c>
      <c r="G106">
        <v>4.7</v>
      </c>
      <c r="H106">
        <v>2023</v>
      </c>
      <c r="I106" t="s">
        <v>1062</v>
      </c>
      <c r="J106" t="s">
        <v>1031</v>
      </c>
      <c r="K106">
        <v>5</v>
      </c>
    </row>
    <row r="107" spans="1:11" x14ac:dyDescent="0.3">
      <c r="A107" t="s">
        <v>1571</v>
      </c>
      <c r="B107" t="s">
        <v>1023</v>
      </c>
      <c r="C107">
        <v>75</v>
      </c>
      <c r="D107" t="s">
        <v>1042</v>
      </c>
      <c r="E107" s="1">
        <v>45081</v>
      </c>
      <c r="F107">
        <v>38</v>
      </c>
      <c r="G107">
        <v>4.4000000000000004</v>
      </c>
      <c r="H107">
        <v>2023</v>
      </c>
      <c r="I107" t="s">
        <v>1018</v>
      </c>
      <c r="J107" t="s">
        <v>1019</v>
      </c>
      <c r="K107">
        <v>4</v>
      </c>
    </row>
    <row r="108" spans="1:11" x14ac:dyDescent="0.3">
      <c r="A108" t="s">
        <v>1576</v>
      </c>
      <c r="B108" t="s">
        <v>1078</v>
      </c>
      <c r="C108">
        <v>119</v>
      </c>
      <c r="D108" t="s">
        <v>1042</v>
      </c>
      <c r="E108" s="1">
        <v>45084</v>
      </c>
      <c r="F108">
        <v>116</v>
      </c>
      <c r="G108">
        <v>3.8</v>
      </c>
      <c r="H108">
        <v>2023</v>
      </c>
      <c r="I108" t="s">
        <v>1048</v>
      </c>
      <c r="J108" t="s">
        <v>1019</v>
      </c>
      <c r="K108">
        <v>4</v>
      </c>
    </row>
    <row r="109" spans="1:11" x14ac:dyDescent="0.3">
      <c r="A109" t="s">
        <v>1578</v>
      </c>
      <c r="B109" t="s">
        <v>1059</v>
      </c>
      <c r="C109">
        <v>59</v>
      </c>
      <c r="D109" t="s">
        <v>1042</v>
      </c>
      <c r="E109" s="1">
        <v>45086</v>
      </c>
      <c r="F109">
        <v>90</v>
      </c>
      <c r="G109">
        <v>3.5</v>
      </c>
      <c r="H109">
        <v>2023</v>
      </c>
      <c r="I109" t="s">
        <v>411</v>
      </c>
      <c r="J109" t="s">
        <v>1034</v>
      </c>
      <c r="K109">
        <v>4</v>
      </c>
    </row>
    <row r="110" spans="1:11" x14ac:dyDescent="0.3">
      <c r="A110" t="s">
        <v>1580</v>
      </c>
      <c r="B110" t="s">
        <v>1041</v>
      </c>
      <c r="C110">
        <v>147</v>
      </c>
      <c r="D110" t="s">
        <v>1042</v>
      </c>
      <c r="E110" s="1">
        <v>45086</v>
      </c>
      <c r="F110">
        <v>140</v>
      </c>
      <c r="G110">
        <v>4.2</v>
      </c>
      <c r="H110">
        <v>2023</v>
      </c>
      <c r="I110" t="s">
        <v>411</v>
      </c>
      <c r="J110" t="s">
        <v>1031</v>
      </c>
      <c r="K110">
        <v>4</v>
      </c>
    </row>
    <row r="111" spans="1:11" x14ac:dyDescent="0.3">
      <c r="A111" t="s">
        <v>1581</v>
      </c>
      <c r="B111" t="s">
        <v>1047</v>
      </c>
      <c r="C111">
        <v>76</v>
      </c>
      <c r="D111" t="s">
        <v>1042</v>
      </c>
      <c r="E111" s="1">
        <v>45086</v>
      </c>
      <c r="F111">
        <v>164</v>
      </c>
      <c r="G111">
        <v>4.5</v>
      </c>
      <c r="H111">
        <v>2023</v>
      </c>
      <c r="I111" t="s">
        <v>411</v>
      </c>
      <c r="J111" t="s">
        <v>1019</v>
      </c>
      <c r="K111">
        <v>5</v>
      </c>
    </row>
    <row r="112" spans="1:11" x14ac:dyDescent="0.3">
      <c r="A112" t="s">
        <v>1586</v>
      </c>
      <c r="B112" t="s">
        <v>1047</v>
      </c>
      <c r="C112">
        <v>71</v>
      </c>
      <c r="D112" t="s">
        <v>1042</v>
      </c>
      <c r="E112" s="1">
        <v>45089</v>
      </c>
      <c r="F112">
        <v>52</v>
      </c>
      <c r="G112">
        <v>3.4</v>
      </c>
      <c r="H112">
        <v>2023</v>
      </c>
      <c r="I112" t="s">
        <v>1030</v>
      </c>
      <c r="J112" t="s">
        <v>1019</v>
      </c>
      <c r="K112">
        <v>3</v>
      </c>
    </row>
    <row r="113" spans="1:11" x14ac:dyDescent="0.3">
      <c r="A113" t="s">
        <v>1591</v>
      </c>
      <c r="B113" t="s">
        <v>1021</v>
      </c>
      <c r="C113">
        <v>70</v>
      </c>
      <c r="D113" t="s">
        <v>1042</v>
      </c>
      <c r="E113" s="1">
        <v>45092</v>
      </c>
      <c r="F113">
        <v>116</v>
      </c>
      <c r="G113">
        <v>3.2</v>
      </c>
      <c r="H113">
        <v>2023</v>
      </c>
      <c r="I113" t="s">
        <v>1052</v>
      </c>
      <c r="J113" t="s">
        <v>1019</v>
      </c>
      <c r="K113">
        <v>3</v>
      </c>
    </row>
    <row r="114" spans="1:11" x14ac:dyDescent="0.3">
      <c r="A114" t="s">
        <v>1593</v>
      </c>
      <c r="B114" t="s">
        <v>1028</v>
      </c>
      <c r="C114">
        <v>103</v>
      </c>
      <c r="D114" t="s">
        <v>1042</v>
      </c>
      <c r="E114" s="1">
        <v>45092</v>
      </c>
      <c r="F114">
        <v>120</v>
      </c>
      <c r="G114">
        <v>5</v>
      </c>
      <c r="H114">
        <v>2023</v>
      </c>
      <c r="I114" t="s">
        <v>1052</v>
      </c>
      <c r="J114" t="s">
        <v>1019</v>
      </c>
      <c r="K114">
        <v>5</v>
      </c>
    </row>
    <row r="115" spans="1:11" x14ac:dyDescent="0.3">
      <c r="A115" t="s">
        <v>1597</v>
      </c>
      <c r="B115" t="s">
        <v>1028</v>
      </c>
      <c r="C115">
        <v>132</v>
      </c>
      <c r="D115" t="s">
        <v>1042</v>
      </c>
      <c r="E115" s="1">
        <v>45094</v>
      </c>
      <c r="F115">
        <v>50</v>
      </c>
      <c r="G115">
        <v>4.2</v>
      </c>
      <c r="H115">
        <v>2023</v>
      </c>
      <c r="I115" t="s">
        <v>1062</v>
      </c>
      <c r="J115" t="s">
        <v>1031</v>
      </c>
      <c r="K115">
        <v>4</v>
      </c>
    </row>
    <row r="116" spans="1:11" x14ac:dyDescent="0.3">
      <c r="A116" t="s">
        <v>1599</v>
      </c>
      <c r="B116" t="s">
        <v>1098</v>
      </c>
      <c r="C116">
        <v>107</v>
      </c>
      <c r="D116" t="s">
        <v>1042</v>
      </c>
      <c r="E116" s="1">
        <v>45095</v>
      </c>
      <c r="F116">
        <v>39</v>
      </c>
      <c r="G116">
        <v>4.8</v>
      </c>
      <c r="H116">
        <v>2023</v>
      </c>
      <c r="I116" t="s">
        <v>1018</v>
      </c>
      <c r="J116" t="s">
        <v>1019</v>
      </c>
      <c r="K116">
        <v>5</v>
      </c>
    </row>
    <row r="117" spans="1:11" x14ac:dyDescent="0.3">
      <c r="A117" t="s">
        <v>1601</v>
      </c>
      <c r="B117" t="s">
        <v>1036</v>
      </c>
      <c r="C117">
        <v>49</v>
      </c>
      <c r="D117" t="s">
        <v>1042</v>
      </c>
      <c r="E117" s="1">
        <v>45096</v>
      </c>
      <c r="F117">
        <v>84</v>
      </c>
      <c r="G117">
        <v>2.9</v>
      </c>
      <c r="H117">
        <v>2023</v>
      </c>
      <c r="I117" t="s">
        <v>1030</v>
      </c>
      <c r="J117" t="s">
        <v>1034</v>
      </c>
      <c r="K117">
        <v>3</v>
      </c>
    </row>
    <row r="118" spans="1:11" x14ac:dyDescent="0.3">
      <c r="A118" t="s">
        <v>1606</v>
      </c>
      <c r="B118" t="s">
        <v>1036</v>
      </c>
      <c r="C118">
        <v>80</v>
      </c>
      <c r="D118" t="s">
        <v>1042</v>
      </c>
      <c r="E118" s="1">
        <v>45098</v>
      </c>
      <c r="F118">
        <v>32</v>
      </c>
      <c r="G118">
        <v>4.7</v>
      </c>
      <c r="H118">
        <v>2023</v>
      </c>
      <c r="I118" t="s">
        <v>1048</v>
      </c>
      <c r="J118" t="s">
        <v>1019</v>
      </c>
      <c r="K118">
        <v>5</v>
      </c>
    </row>
    <row r="119" spans="1:11" x14ac:dyDescent="0.3">
      <c r="A119" t="s">
        <v>1613</v>
      </c>
      <c r="B119" t="s">
        <v>1045</v>
      </c>
      <c r="C119">
        <v>104</v>
      </c>
      <c r="D119" t="s">
        <v>1042</v>
      </c>
      <c r="E119" s="1">
        <v>45100</v>
      </c>
      <c r="F119">
        <v>136</v>
      </c>
      <c r="G119">
        <v>5</v>
      </c>
      <c r="H119">
        <v>2023</v>
      </c>
      <c r="I119" t="s">
        <v>411</v>
      </c>
      <c r="J119" t="s">
        <v>1019</v>
      </c>
      <c r="K119">
        <v>5</v>
      </c>
    </row>
    <row r="120" spans="1:11" x14ac:dyDescent="0.3">
      <c r="A120" t="s">
        <v>1617</v>
      </c>
      <c r="B120" t="s">
        <v>1036</v>
      </c>
      <c r="C120">
        <v>123</v>
      </c>
      <c r="D120" t="s">
        <v>1042</v>
      </c>
      <c r="E120" s="1">
        <v>45102</v>
      </c>
      <c r="F120">
        <v>68</v>
      </c>
      <c r="G120">
        <v>4.5</v>
      </c>
      <c r="H120">
        <v>2023</v>
      </c>
      <c r="I120" t="s">
        <v>1018</v>
      </c>
      <c r="J120" t="s">
        <v>1031</v>
      </c>
      <c r="K120">
        <v>5</v>
      </c>
    </row>
    <row r="121" spans="1:11" x14ac:dyDescent="0.3">
      <c r="A121" t="s">
        <v>1621</v>
      </c>
      <c r="B121" t="s">
        <v>1065</v>
      </c>
      <c r="C121">
        <v>31</v>
      </c>
      <c r="D121" t="s">
        <v>1042</v>
      </c>
      <c r="E121" s="1">
        <v>45103</v>
      </c>
      <c r="F121">
        <v>172</v>
      </c>
      <c r="G121">
        <v>3.9</v>
      </c>
      <c r="H121">
        <v>2023</v>
      </c>
      <c r="I121" t="s">
        <v>1030</v>
      </c>
      <c r="J121" t="s">
        <v>1034</v>
      </c>
      <c r="K121">
        <v>4</v>
      </c>
    </row>
    <row r="122" spans="1:11" x14ac:dyDescent="0.3">
      <c r="A122" t="s">
        <v>1640</v>
      </c>
      <c r="B122" t="s">
        <v>1041</v>
      </c>
      <c r="C122">
        <v>109</v>
      </c>
      <c r="D122" t="s">
        <v>1042</v>
      </c>
      <c r="E122" s="1">
        <v>45111</v>
      </c>
      <c r="F122">
        <v>140</v>
      </c>
      <c r="G122">
        <v>2.4</v>
      </c>
      <c r="H122">
        <v>2024</v>
      </c>
      <c r="I122" t="s">
        <v>1033</v>
      </c>
      <c r="J122" t="s">
        <v>1019</v>
      </c>
      <c r="K122">
        <v>2</v>
      </c>
    </row>
    <row r="123" spans="1:11" x14ac:dyDescent="0.3">
      <c r="A123" t="s">
        <v>1653</v>
      </c>
      <c r="B123" t="s">
        <v>1023</v>
      </c>
      <c r="C123">
        <v>85</v>
      </c>
      <c r="D123" t="s">
        <v>1042</v>
      </c>
      <c r="E123" s="1">
        <v>45116</v>
      </c>
      <c r="F123">
        <v>215</v>
      </c>
      <c r="G123">
        <v>3.5</v>
      </c>
      <c r="H123">
        <v>2024</v>
      </c>
      <c r="I123" t="s">
        <v>1018</v>
      </c>
      <c r="J123" t="s">
        <v>1019</v>
      </c>
      <c r="K123">
        <v>4</v>
      </c>
    </row>
    <row r="124" spans="1:11" x14ac:dyDescent="0.3">
      <c r="A124" t="s">
        <v>1654</v>
      </c>
      <c r="B124" t="s">
        <v>1055</v>
      </c>
      <c r="C124">
        <v>98</v>
      </c>
      <c r="D124" t="s">
        <v>1042</v>
      </c>
      <c r="E124" s="1">
        <v>45117</v>
      </c>
      <c r="F124">
        <v>130</v>
      </c>
      <c r="G124">
        <v>3.4</v>
      </c>
      <c r="H124">
        <v>2024</v>
      </c>
      <c r="I124" t="s">
        <v>1030</v>
      </c>
      <c r="J124" t="s">
        <v>1019</v>
      </c>
      <c r="K124">
        <v>3</v>
      </c>
    </row>
    <row r="125" spans="1:11" x14ac:dyDescent="0.3">
      <c r="A125" t="s">
        <v>1655</v>
      </c>
      <c r="B125" t="s">
        <v>1065</v>
      </c>
      <c r="C125">
        <v>52</v>
      </c>
      <c r="D125" t="s">
        <v>1042</v>
      </c>
      <c r="E125" s="1">
        <v>45117</v>
      </c>
      <c r="F125">
        <v>190</v>
      </c>
      <c r="G125">
        <v>3.3</v>
      </c>
      <c r="H125">
        <v>2024</v>
      </c>
      <c r="I125" t="s">
        <v>1030</v>
      </c>
      <c r="J125" t="s">
        <v>1034</v>
      </c>
      <c r="K125">
        <v>3</v>
      </c>
    </row>
    <row r="126" spans="1:11" x14ac:dyDescent="0.3">
      <c r="A126" t="s">
        <v>1659</v>
      </c>
      <c r="B126" t="s">
        <v>1045</v>
      </c>
      <c r="C126">
        <v>45</v>
      </c>
      <c r="D126" t="s">
        <v>1042</v>
      </c>
      <c r="E126" s="1">
        <v>45119</v>
      </c>
      <c r="F126">
        <v>84</v>
      </c>
      <c r="G126">
        <v>4.8</v>
      </c>
      <c r="H126">
        <v>2024</v>
      </c>
      <c r="I126" t="s">
        <v>1048</v>
      </c>
      <c r="J126" t="s">
        <v>1034</v>
      </c>
      <c r="K126">
        <v>5</v>
      </c>
    </row>
    <row r="127" spans="1:11" x14ac:dyDescent="0.3">
      <c r="A127" t="s">
        <v>1671</v>
      </c>
      <c r="B127" t="s">
        <v>1016</v>
      </c>
      <c r="C127">
        <v>76</v>
      </c>
      <c r="D127" t="s">
        <v>1042</v>
      </c>
      <c r="E127" s="1">
        <v>45126</v>
      </c>
      <c r="F127">
        <v>84</v>
      </c>
      <c r="G127">
        <v>3.9</v>
      </c>
      <c r="H127">
        <v>2024</v>
      </c>
      <c r="I127" t="s">
        <v>1048</v>
      </c>
      <c r="J127" t="s">
        <v>1019</v>
      </c>
      <c r="K127">
        <v>4</v>
      </c>
    </row>
    <row r="128" spans="1:11" x14ac:dyDescent="0.3">
      <c r="A128" t="s">
        <v>1672</v>
      </c>
      <c r="B128" t="s">
        <v>1021</v>
      </c>
      <c r="C128">
        <v>144</v>
      </c>
      <c r="D128" t="s">
        <v>1042</v>
      </c>
      <c r="E128" s="1">
        <v>45126</v>
      </c>
      <c r="F128">
        <v>164</v>
      </c>
      <c r="G128">
        <v>2.8</v>
      </c>
      <c r="H128">
        <v>2024</v>
      </c>
      <c r="I128" t="s">
        <v>1048</v>
      </c>
      <c r="J128" t="s">
        <v>1031</v>
      </c>
      <c r="K128">
        <v>3</v>
      </c>
    </row>
    <row r="129" spans="1:11" x14ac:dyDescent="0.3">
      <c r="A129" t="s">
        <v>1683</v>
      </c>
      <c r="B129" t="s">
        <v>1065</v>
      </c>
      <c r="C129">
        <v>10</v>
      </c>
      <c r="D129" t="s">
        <v>1042</v>
      </c>
      <c r="E129" s="1">
        <v>45133</v>
      </c>
      <c r="F129">
        <v>72</v>
      </c>
      <c r="G129">
        <v>3.7</v>
      </c>
      <c r="H129">
        <v>2024</v>
      </c>
      <c r="I129" t="s">
        <v>1048</v>
      </c>
      <c r="J129" t="s">
        <v>1186</v>
      </c>
      <c r="K129">
        <v>4</v>
      </c>
    </row>
    <row r="130" spans="1:11" x14ac:dyDescent="0.3">
      <c r="A130" t="s">
        <v>1684</v>
      </c>
      <c r="B130" t="s">
        <v>1021</v>
      </c>
      <c r="C130">
        <v>138</v>
      </c>
      <c r="D130" t="s">
        <v>1042</v>
      </c>
      <c r="E130" s="1">
        <v>45133</v>
      </c>
      <c r="F130">
        <v>195</v>
      </c>
      <c r="G130">
        <v>4.0999999999999996</v>
      </c>
      <c r="H130">
        <v>2024</v>
      </c>
      <c r="I130" t="s">
        <v>1048</v>
      </c>
      <c r="J130" t="s">
        <v>1031</v>
      </c>
      <c r="K130">
        <v>4</v>
      </c>
    </row>
    <row r="131" spans="1:11" x14ac:dyDescent="0.3">
      <c r="A131" t="s">
        <v>1685</v>
      </c>
      <c r="B131" t="s">
        <v>1055</v>
      </c>
      <c r="C131">
        <v>31</v>
      </c>
      <c r="D131" t="s">
        <v>1042</v>
      </c>
      <c r="E131" s="1">
        <v>45134</v>
      </c>
      <c r="F131">
        <v>160</v>
      </c>
      <c r="G131">
        <v>3.4</v>
      </c>
      <c r="H131">
        <v>2024</v>
      </c>
      <c r="I131" t="s">
        <v>1052</v>
      </c>
      <c r="J131" t="s">
        <v>1034</v>
      </c>
      <c r="K131">
        <v>3</v>
      </c>
    </row>
    <row r="132" spans="1:11" x14ac:dyDescent="0.3">
      <c r="A132" t="s">
        <v>1692</v>
      </c>
      <c r="B132" t="s">
        <v>1021</v>
      </c>
      <c r="C132">
        <v>58</v>
      </c>
      <c r="D132" t="s">
        <v>1042</v>
      </c>
      <c r="E132" s="1">
        <v>45138</v>
      </c>
      <c r="F132">
        <v>38</v>
      </c>
      <c r="G132">
        <v>4.5</v>
      </c>
      <c r="H132">
        <v>2024</v>
      </c>
      <c r="I132" t="s">
        <v>1030</v>
      </c>
      <c r="J132" t="s">
        <v>1034</v>
      </c>
      <c r="K132">
        <v>5</v>
      </c>
    </row>
    <row r="133" spans="1:11" x14ac:dyDescent="0.3">
      <c r="A133" t="s">
        <v>1697</v>
      </c>
      <c r="B133" t="s">
        <v>1078</v>
      </c>
      <c r="C133">
        <v>103</v>
      </c>
      <c r="D133" t="s">
        <v>1042</v>
      </c>
      <c r="E133" s="1">
        <v>45141</v>
      </c>
      <c r="F133">
        <v>117</v>
      </c>
      <c r="G133">
        <v>4.7</v>
      </c>
      <c r="H133">
        <v>2024</v>
      </c>
      <c r="I133" t="s">
        <v>1052</v>
      </c>
      <c r="J133" t="s">
        <v>1019</v>
      </c>
      <c r="K133">
        <v>5</v>
      </c>
    </row>
    <row r="134" spans="1:11" x14ac:dyDescent="0.3">
      <c r="A134" t="s">
        <v>1699</v>
      </c>
      <c r="B134" t="s">
        <v>1068</v>
      </c>
      <c r="C134">
        <v>111</v>
      </c>
      <c r="D134" t="s">
        <v>1042</v>
      </c>
      <c r="E134" s="1">
        <v>45141</v>
      </c>
      <c r="F134">
        <v>99</v>
      </c>
      <c r="G134">
        <v>4.0999999999999996</v>
      </c>
      <c r="H134">
        <v>2024</v>
      </c>
      <c r="I134" t="s">
        <v>1052</v>
      </c>
      <c r="J134" t="s">
        <v>1019</v>
      </c>
      <c r="K134">
        <v>4</v>
      </c>
    </row>
    <row r="135" spans="1:11" x14ac:dyDescent="0.3">
      <c r="A135" t="s">
        <v>1706</v>
      </c>
      <c r="B135" t="s">
        <v>1028</v>
      </c>
      <c r="C135">
        <v>115</v>
      </c>
      <c r="D135" t="s">
        <v>1042</v>
      </c>
      <c r="E135" s="1">
        <v>45145</v>
      </c>
      <c r="F135">
        <v>40</v>
      </c>
      <c r="G135">
        <v>3.3</v>
      </c>
      <c r="H135">
        <v>2024</v>
      </c>
      <c r="I135" t="s">
        <v>1030</v>
      </c>
      <c r="J135" t="s">
        <v>1019</v>
      </c>
      <c r="K135">
        <v>3</v>
      </c>
    </row>
    <row r="136" spans="1:11" x14ac:dyDescent="0.3">
      <c r="A136" t="s">
        <v>1710</v>
      </c>
      <c r="B136" t="s">
        <v>1041</v>
      </c>
      <c r="C136">
        <v>75</v>
      </c>
      <c r="D136" t="s">
        <v>1042</v>
      </c>
      <c r="E136" s="1">
        <v>45148</v>
      </c>
      <c r="F136">
        <v>220</v>
      </c>
      <c r="G136">
        <v>4.7</v>
      </c>
      <c r="H136">
        <v>2024</v>
      </c>
      <c r="I136" t="s">
        <v>1052</v>
      </c>
      <c r="J136" t="s">
        <v>1019</v>
      </c>
      <c r="K136">
        <v>5</v>
      </c>
    </row>
    <row r="137" spans="1:11" x14ac:dyDescent="0.3">
      <c r="A137" t="s">
        <v>1711</v>
      </c>
      <c r="B137" t="s">
        <v>1016</v>
      </c>
      <c r="C137">
        <v>63</v>
      </c>
      <c r="D137" t="s">
        <v>1042</v>
      </c>
      <c r="E137" s="1">
        <v>45148</v>
      </c>
      <c r="F137">
        <v>27</v>
      </c>
      <c r="G137">
        <v>3.6</v>
      </c>
      <c r="H137">
        <v>2024</v>
      </c>
      <c r="I137" t="s">
        <v>1052</v>
      </c>
      <c r="J137" t="s">
        <v>1019</v>
      </c>
      <c r="K137">
        <v>4</v>
      </c>
    </row>
    <row r="138" spans="1:11" x14ac:dyDescent="0.3">
      <c r="A138" t="s">
        <v>1712</v>
      </c>
      <c r="B138" t="s">
        <v>1045</v>
      </c>
      <c r="C138">
        <v>74</v>
      </c>
      <c r="D138" t="s">
        <v>1042</v>
      </c>
      <c r="E138" s="1">
        <v>45150</v>
      </c>
      <c r="F138">
        <v>26</v>
      </c>
      <c r="G138">
        <v>4.3</v>
      </c>
      <c r="H138">
        <v>2024</v>
      </c>
      <c r="I138" t="s">
        <v>1062</v>
      </c>
      <c r="J138" t="s">
        <v>1019</v>
      </c>
      <c r="K138">
        <v>4</v>
      </c>
    </row>
    <row r="139" spans="1:11" x14ac:dyDescent="0.3">
      <c r="A139" t="s">
        <v>1724</v>
      </c>
      <c r="B139" t="s">
        <v>1047</v>
      </c>
      <c r="C139">
        <v>64</v>
      </c>
      <c r="D139" t="s">
        <v>1042</v>
      </c>
      <c r="E139" s="1">
        <v>45158</v>
      </c>
      <c r="F139">
        <v>111</v>
      </c>
      <c r="G139">
        <v>3.9</v>
      </c>
      <c r="H139">
        <v>2024</v>
      </c>
      <c r="I139" t="s">
        <v>1018</v>
      </c>
      <c r="J139" t="s">
        <v>1019</v>
      </c>
      <c r="K139">
        <v>4</v>
      </c>
    </row>
    <row r="140" spans="1:11" x14ac:dyDescent="0.3">
      <c r="A140" t="s">
        <v>1734</v>
      </c>
      <c r="B140" t="s">
        <v>1078</v>
      </c>
      <c r="C140">
        <v>165</v>
      </c>
      <c r="D140" t="s">
        <v>1042</v>
      </c>
      <c r="E140" s="1">
        <v>45164</v>
      </c>
      <c r="F140">
        <v>82</v>
      </c>
      <c r="G140">
        <v>3.4</v>
      </c>
      <c r="H140">
        <v>2024</v>
      </c>
      <c r="I140" t="s">
        <v>1062</v>
      </c>
      <c r="J140" t="s">
        <v>1031</v>
      </c>
      <c r="K140">
        <v>3</v>
      </c>
    </row>
    <row r="141" spans="1:11" x14ac:dyDescent="0.3">
      <c r="A141" t="s">
        <v>1737</v>
      </c>
      <c r="B141" t="s">
        <v>1065</v>
      </c>
      <c r="C141">
        <v>80</v>
      </c>
      <c r="D141" t="s">
        <v>1042</v>
      </c>
      <c r="E141" s="1">
        <v>45165</v>
      </c>
      <c r="F141">
        <v>104</v>
      </c>
      <c r="G141">
        <v>4.7</v>
      </c>
      <c r="H141">
        <v>2024</v>
      </c>
      <c r="I141" t="s">
        <v>1018</v>
      </c>
      <c r="J141" t="s">
        <v>1019</v>
      </c>
      <c r="K141">
        <v>5</v>
      </c>
    </row>
    <row r="142" spans="1:11" x14ac:dyDescent="0.3">
      <c r="A142" t="s">
        <v>1740</v>
      </c>
      <c r="B142" t="s">
        <v>1036</v>
      </c>
      <c r="C142">
        <v>117</v>
      </c>
      <c r="D142" t="s">
        <v>1042</v>
      </c>
      <c r="E142" s="1">
        <v>45165</v>
      </c>
      <c r="F142">
        <v>90</v>
      </c>
      <c r="G142">
        <v>4.0999999999999996</v>
      </c>
      <c r="H142">
        <v>2024</v>
      </c>
      <c r="I142" t="s">
        <v>1018</v>
      </c>
      <c r="J142" t="s">
        <v>1019</v>
      </c>
      <c r="K142">
        <v>4</v>
      </c>
    </row>
    <row r="143" spans="1:11" x14ac:dyDescent="0.3">
      <c r="A143" t="s">
        <v>1742</v>
      </c>
      <c r="B143" t="s">
        <v>1059</v>
      </c>
      <c r="C143">
        <v>109</v>
      </c>
      <c r="D143" t="s">
        <v>1042</v>
      </c>
      <c r="E143" s="1">
        <v>45167</v>
      </c>
      <c r="F143">
        <v>68</v>
      </c>
      <c r="G143">
        <v>2.2999999999999998</v>
      </c>
      <c r="H143">
        <v>2024</v>
      </c>
      <c r="I143" t="s">
        <v>1033</v>
      </c>
      <c r="J143" t="s">
        <v>1019</v>
      </c>
      <c r="K143">
        <v>2</v>
      </c>
    </row>
    <row r="144" spans="1:11" x14ac:dyDescent="0.3">
      <c r="A144" t="s">
        <v>1747</v>
      </c>
      <c r="B144" t="s">
        <v>1016</v>
      </c>
      <c r="C144">
        <v>143</v>
      </c>
      <c r="D144" t="s">
        <v>1042</v>
      </c>
      <c r="E144" s="1">
        <v>45170</v>
      </c>
      <c r="F144">
        <v>20</v>
      </c>
      <c r="G144">
        <v>4.7</v>
      </c>
      <c r="H144">
        <v>2024</v>
      </c>
      <c r="I144" t="s">
        <v>411</v>
      </c>
      <c r="J144" t="s">
        <v>1031</v>
      </c>
      <c r="K144">
        <v>5</v>
      </c>
    </row>
    <row r="145" spans="1:11" x14ac:dyDescent="0.3">
      <c r="A145" t="s">
        <v>1758</v>
      </c>
      <c r="B145" t="s">
        <v>1026</v>
      </c>
      <c r="C145">
        <v>58</v>
      </c>
      <c r="D145" t="s">
        <v>1042</v>
      </c>
      <c r="E145" s="1">
        <v>45175</v>
      </c>
      <c r="F145">
        <v>96</v>
      </c>
      <c r="G145">
        <v>3.2</v>
      </c>
      <c r="H145">
        <v>2024</v>
      </c>
      <c r="I145" t="s">
        <v>1048</v>
      </c>
      <c r="J145" t="s">
        <v>1034</v>
      </c>
      <c r="K145">
        <v>3</v>
      </c>
    </row>
    <row r="146" spans="1:11" x14ac:dyDescent="0.3">
      <c r="A146" t="s">
        <v>1759</v>
      </c>
      <c r="B146" t="s">
        <v>1028</v>
      </c>
      <c r="C146">
        <v>144</v>
      </c>
      <c r="D146" t="s">
        <v>1042</v>
      </c>
      <c r="E146" s="1">
        <v>45176</v>
      </c>
      <c r="F146">
        <v>124</v>
      </c>
      <c r="G146">
        <v>2.2999999999999998</v>
      </c>
      <c r="H146">
        <v>2024</v>
      </c>
      <c r="I146" t="s">
        <v>1052</v>
      </c>
      <c r="J146" t="s">
        <v>1031</v>
      </c>
      <c r="K146">
        <v>2</v>
      </c>
    </row>
    <row r="147" spans="1:11" x14ac:dyDescent="0.3">
      <c r="A147" t="s">
        <v>1762</v>
      </c>
      <c r="B147" t="s">
        <v>1023</v>
      </c>
      <c r="C147">
        <v>64</v>
      </c>
      <c r="D147" t="s">
        <v>1042</v>
      </c>
      <c r="E147" s="1">
        <v>45177</v>
      </c>
      <c r="F147">
        <v>66</v>
      </c>
      <c r="G147">
        <v>4</v>
      </c>
      <c r="H147">
        <v>2024</v>
      </c>
      <c r="I147" t="s">
        <v>411</v>
      </c>
      <c r="J147" t="s">
        <v>1019</v>
      </c>
      <c r="K147">
        <v>4</v>
      </c>
    </row>
    <row r="148" spans="1:11" x14ac:dyDescent="0.3">
      <c r="A148" t="s">
        <v>1764</v>
      </c>
      <c r="B148" t="s">
        <v>1078</v>
      </c>
      <c r="C148">
        <v>36</v>
      </c>
      <c r="D148" t="s">
        <v>1042</v>
      </c>
      <c r="E148" s="1">
        <v>45178</v>
      </c>
      <c r="F148">
        <v>152</v>
      </c>
      <c r="G148">
        <v>4.3</v>
      </c>
      <c r="H148">
        <v>2024</v>
      </c>
      <c r="I148" t="s">
        <v>1062</v>
      </c>
      <c r="J148" t="s">
        <v>1034</v>
      </c>
      <c r="K148">
        <v>4</v>
      </c>
    </row>
    <row r="149" spans="1:11" x14ac:dyDescent="0.3">
      <c r="A149" t="s">
        <v>1769</v>
      </c>
      <c r="B149" t="s">
        <v>1078</v>
      </c>
      <c r="C149">
        <v>156</v>
      </c>
      <c r="D149" t="s">
        <v>1042</v>
      </c>
      <c r="E149" s="1">
        <v>45179</v>
      </c>
      <c r="F149">
        <v>64</v>
      </c>
      <c r="G149">
        <v>2.7</v>
      </c>
      <c r="H149">
        <v>2024</v>
      </c>
      <c r="I149" t="s">
        <v>1018</v>
      </c>
      <c r="J149" t="s">
        <v>1031</v>
      </c>
      <c r="K149">
        <v>3</v>
      </c>
    </row>
    <row r="150" spans="1:11" x14ac:dyDescent="0.3">
      <c r="A150" t="s">
        <v>1773</v>
      </c>
      <c r="B150" t="s">
        <v>1047</v>
      </c>
      <c r="C150">
        <v>75</v>
      </c>
      <c r="D150" t="s">
        <v>1042</v>
      </c>
      <c r="E150" s="1">
        <v>45181</v>
      </c>
      <c r="F150">
        <v>120</v>
      </c>
      <c r="G150">
        <v>4.4000000000000004</v>
      </c>
      <c r="H150">
        <v>2024</v>
      </c>
      <c r="I150" t="s">
        <v>1033</v>
      </c>
      <c r="J150" t="s">
        <v>1019</v>
      </c>
      <c r="K150">
        <v>4</v>
      </c>
    </row>
    <row r="151" spans="1:11" x14ac:dyDescent="0.3">
      <c r="A151" t="s">
        <v>1775</v>
      </c>
      <c r="B151" t="s">
        <v>1023</v>
      </c>
      <c r="C151">
        <v>76</v>
      </c>
      <c r="D151" t="s">
        <v>1042</v>
      </c>
      <c r="E151" s="1">
        <v>45182</v>
      </c>
      <c r="F151">
        <v>108</v>
      </c>
      <c r="G151">
        <v>4.9000000000000004</v>
      </c>
      <c r="H151">
        <v>2024</v>
      </c>
      <c r="I151" t="s">
        <v>1048</v>
      </c>
      <c r="J151" t="s">
        <v>1019</v>
      </c>
      <c r="K151">
        <v>5</v>
      </c>
    </row>
    <row r="152" spans="1:11" x14ac:dyDescent="0.3">
      <c r="A152" t="s">
        <v>1776</v>
      </c>
      <c r="B152" t="s">
        <v>1016</v>
      </c>
      <c r="C152">
        <v>110</v>
      </c>
      <c r="D152" t="s">
        <v>1042</v>
      </c>
      <c r="E152" s="1">
        <v>45182</v>
      </c>
      <c r="F152">
        <v>180</v>
      </c>
      <c r="G152">
        <v>4.2</v>
      </c>
      <c r="H152">
        <v>2024</v>
      </c>
      <c r="I152" t="s">
        <v>1048</v>
      </c>
      <c r="J152" t="s">
        <v>1019</v>
      </c>
      <c r="K152">
        <v>4</v>
      </c>
    </row>
    <row r="153" spans="1:11" x14ac:dyDescent="0.3">
      <c r="A153" t="s">
        <v>1782</v>
      </c>
      <c r="B153" t="s">
        <v>1078</v>
      </c>
      <c r="C153">
        <v>79</v>
      </c>
      <c r="D153" t="s">
        <v>1042</v>
      </c>
      <c r="E153" s="1">
        <v>45188</v>
      </c>
      <c r="F153">
        <v>125</v>
      </c>
      <c r="G153">
        <v>4.8</v>
      </c>
      <c r="H153">
        <v>2024</v>
      </c>
      <c r="I153" t="s">
        <v>1033</v>
      </c>
      <c r="J153" t="s">
        <v>1019</v>
      </c>
      <c r="K153">
        <v>5</v>
      </c>
    </row>
    <row r="154" spans="1:11" x14ac:dyDescent="0.3">
      <c r="A154" t="s">
        <v>1797</v>
      </c>
      <c r="B154" t="s">
        <v>1098</v>
      </c>
      <c r="C154">
        <v>109</v>
      </c>
      <c r="D154" t="s">
        <v>1042</v>
      </c>
      <c r="E154" s="1">
        <v>45193</v>
      </c>
      <c r="F154">
        <v>52</v>
      </c>
      <c r="G154">
        <v>3.9</v>
      </c>
      <c r="H154">
        <v>2024</v>
      </c>
      <c r="I154" t="s">
        <v>1018</v>
      </c>
      <c r="J154" t="s">
        <v>1019</v>
      </c>
      <c r="K154">
        <v>4</v>
      </c>
    </row>
    <row r="155" spans="1:11" x14ac:dyDescent="0.3">
      <c r="A155" t="s">
        <v>1798</v>
      </c>
      <c r="B155" t="s">
        <v>1036</v>
      </c>
      <c r="C155">
        <v>107</v>
      </c>
      <c r="D155" t="s">
        <v>1042</v>
      </c>
      <c r="E155" s="1">
        <v>45193</v>
      </c>
      <c r="F155">
        <v>60</v>
      </c>
      <c r="G155">
        <v>4.2</v>
      </c>
      <c r="H155">
        <v>2024</v>
      </c>
      <c r="I155" t="s">
        <v>1018</v>
      </c>
      <c r="J155" t="s">
        <v>1019</v>
      </c>
      <c r="K155">
        <v>4</v>
      </c>
    </row>
    <row r="156" spans="1:11" x14ac:dyDescent="0.3">
      <c r="A156" t="s">
        <v>1815</v>
      </c>
      <c r="B156" t="s">
        <v>1021</v>
      </c>
      <c r="C156">
        <v>120</v>
      </c>
      <c r="D156" t="s">
        <v>1042</v>
      </c>
      <c r="E156" s="1">
        <v>45199</v>
      </c>
      <c r="F156">
        <v>68</v>
      </c>
      <c r="G156">
        <v>3.4</v>
      </c>
      <c r="H156">
        <v>2024</v>
      </c>
      <c r="I156" t="s">
        <v>1062</v>
      </c>
      <c r="J156" t="s">
        <v>1019</v>
      </c>
      <c r="K156">
        <v>3</v>
      </c>
    </row>
    <row r="157" spans="1:11" x14ac:dyDescent="0.3">
      <c r="A157" t="s">
        <v>1821</v>
      </c>
      <c r="B157" t="s">
        <v>1047</v>
      </c>
      <c r="C157">
        <v>134</v>
      </c>
      <c r="D157" t="s">
        <v>1042</v>
      </c>
      <c r="E157" s="1">
        <v>45199</v>
      </c>
      <c r="F157">
        <v>117</v>
      </c>
      <c r="G157">
        <v>4</v>
      </c>
      <c r="H157">
        <v>2024</v>
      </c>
      <c r="I157" t="s">
        <v>1062</v>
      </c>
      <c r="J157" t="s">
        <v>1031</v>
      </c>
      <c r="K157">
        <v>4</v>
      </c>
    </row>
    <row r="158" spans="1:11" x14ac:dyDescent="0.3">
      <c r="A158" t="s">
        <v>1823</v>
      </c>
      <c r="B158" t="s">
        <v>1078</v>
      </c>
      <c r="C158">
        <v>12</v>
      </c>
      <c r="D158" t="s">
        <v>1042</v>
      </c>
      <c r="E158" s="1">
        <v>45200</v>
      </c>
      <c r="F158">
        <v>117</v>
      </c>
      <c r="G158">
        <v>4.8</v>
      </c>
      <c r="H158">
        <v>2024</v>
      </c>
      <c r="I158" t="s">
        <v>1018</v>
      </c>
      <c r="J158" t="s">
        <v>1056</v>
      </c>
      <c r="K158">
        <v>5</v>
      </c>
    </row>
    <row r="159" spans="1:11" x14ac:dyDescent="0.3">
      <c r="A159" t="s">
        <v>1827</v>
      </c>
      <c r="B159" t="s">
        <v>1036</v>
      </c>
      <c r="C159">
        <v>56</v>
      </c>
      <c r="D159" t="s">
        <v>1042</v>
      </c>
      <c r="E159" s="1">
        <v>45200</v>
      </c>
      <c r="F159">
        <v>96</v>
      </c>
      <c r="G159">
        <v>4.7</v>
      </c>
      <c r="H159">
        <v>2024</v>
      </c>
      <c r="I159" t="s">
        <v>1018</v>
      </c>
      <c r="J159" t="s">
        <v>1034</v>
      </c>
      <c r="K159">
        <v>5</v>
      </c>
    </row>
    <row r="160" spans="1:11" x14ac:dyDescent="0.3">
      <c r="A160" t="s">
        <v>1832</v>
      </c>
      <c r="B160" t="s">
        <v>1055</v>
      </c>
      <c r="C160">
        <v>114</v>
      </c>
      <c r="D160" t="s">
        <v>1042</v>
      </c>
      <c r="E160" s="1">
        <v>45201</v>
      </c>
      <c r="F160">
        <v>135</v>
      </c>
      <c r="G160">
        <v>2</v>
      </c>
      <c r="H160">
        <v>2024</v>
      </c>
      <c r="I160" t="s">
        <v>1030</v>
      </c>
      <c r="J160" t="s">
        <v>1019</v>
      </c>
      <c r="K160">
        <v>2</v>
      </c>
    </row>
    <row r="161" spans="1:11" x14ac:dyDescent="0.3">
      <c r="A161" t="s">
        <v>1840</v>
      </c>
      <c r="B161" t="s">
        <v>1026</v>
      </c>
      <c r="C161">
        <v>103</v>
      </c>
      <c r="D161" t="s">
        <v>1042</v>
      </c>
      <c r="E161" s="1">
        <v>45203</v>
      </c>
      <c r="F161">
        <v>160</v>
      </c>
      <c r="G161">
        <v>4.5</v>
      </c>
      <c r="H161">
        <v>2024</v>
      </c>
      <c r="I161" t="s">
        <v>1048</v>
      </c>
      <c r="J161" t="s">
        <v>1019</v>
      </c>
      <c r="K161">
        <v>5</v>
      </c>
    </row>
    <row r="162" spans="1:11" x14ac:dyDescent="0.3">
      <c r="A162" t="s">
        <v>1845</v>
      </c>
      <c r="B162" t="s">
        <v>1078</v>
      </c>
      <c r="C162">
        <v>78</v>
      </c>
      <c r="D162" t="s">
        <v>1042</v>
      </c>
      <c r="E162" s="1">
        <v>45205</v>
      </c>
      <c r="F162">
        <v>74</v>
      </c>
      <c r="G162">
        <v>3.5</v>
      </c>
      <c r="H162">
        <v>2024</v>
      </c>
      <c r="I162" t="s">
        <v>411</v>
      </c>
      <c r="J162" t="s">
        <v>1019</v>
      </c>
      <c r="K162">
        <v>4</v>
      </c>
    </row>
    <row r="163" spans="1:11" x14ac:dyDescent="0.3">
      <c r="A163" t="s">
        <v>1850</v>
      </c>
      <c r="B163" t="s">
        <v>1023</v>
      </c>
      <c r="C163">
        <v>54</v>
      </c>
      <c r="D163" t="s">
        <v>1042</v>
      </c>
      <c r="E163" s="1">
        <v>45206</v>
      </c>
      <c r="F163">
        <v>176</v>
      </c>
      <c r="G163">
        <v>4.4000000000000004</v>
      </c>
      <c r="H163">
        <v>2024</v>
      </c>
      <c r="I163" t="s">
        <v>1062</v>
      </c>
      <c r="J163" t="s">
        <v>1034</v>
      </c>
      <c r="K163">
        <v>4</v>
      </c>
    </row>
    <row r="164" spans="1:11" x14ac:dyDescent="0.3">
      <c r="A164" t="s">
        <v>1851</v>
      </c>
      <c r="B164" t="s">
        <v>1023</v>
      </c>
      <c r="C164">
        <v>90</v>
      </c>
      <c r="D164" t="s">
        <v>1042</v>
      </c>
      <c r="E164" s="1">
        <v>45206</v>
      </c>
      <c r="F164">
        <v>84</v>
      </c>
      <c r="G164">
        <v>4.3</v>
      </c>
      <c r="H164">
        <v>2024</v>
      </c>
      <c r="I164" t="s">
        <v>1062</v>
      </c>
      <c r="J164" t="s">
        <v>1019</v>
      </c>
      <c r="K164">
        <v>4</v>
      </c>
    </row>
    <row r="165" spans="1:11" x14ac:dyDescent="0.3">
      <c r="A165" t="s">
        <v>1852</v>
      </c>
      <c r="B165" t="s">
        <v>1036</v>
      </c>
      <c r="C165">
        <v>66</v>
      </c>
      <c r="D165" t="s">
        <v>1042</v>
      </c>
      <c r="E165" s="1">
        <v>45206</v>
      </c>
      <c r="F165">
        <v>136</v>
      </c>
      <c r="G165">
        <v>4.7</v>
      </c>
      <c r="H165">
        <v>2024</v>
      </c>
      <c r="I165" t="s">
        <v>1062</v>
      </c>
      <c r="J165" t="s">
        <v>1019</v>
      </c>
      <c r="K165">
        <v>5</v>
      </c>
    </row>
    <row r="166" spans="1:11" x14ac:dyDescent="0.3">
      <c r="A166" t="s">
        <v>1853</v>
      </c>
      <c r="B166" t="s">
        <v>1028</v>
      </c>
      <c r="C166">
        <v>150</v>
      </c>
      <c r="D166" t="s">
        <v>1042</v>
      </c>
      <c r="E166" s="1">
        <v>45207</v>
      </c>
      <c r="F166">
        <v>70</v>
      </c>
      <c r="G166">
        <v>4.0999999999999996</v>
      </c>
      <c r="H166">
        <v>2024</v>
      </c>
      <c r="I166" t="s">
        <v>1018</v>
      </c>
      <c r="J166" t="s">
        <v>1031</v>
      </c>
      <c r="K166">
        <v>4</v>
      </c>
    </row>
    <row r="167" spans="1:11" x14ac:dyDescent="0.3">
      <c r="A167" t="s">
        <v>1856</v>
      </c>
      <c r="B167" t="s">
        <v>1045</v>
      </c>
      <c r="C167">
        <v>94</v>
      </c>
      <c r="D167" t="s">
        <v>1042</v>
      </c>
      <c r="E167" s="1">
        <v>45208</v>
      </c>
      <c r="F167">
        <v>120</v>
      </c>
      <c r="G167">
        <v>3.4</v>
      </c>
      <c r="H167">
        <v>2024</v>
      </c>
      <c r="I167" t="s">
        <v>1030</v>
      </c>
      <c r="J167" t="s">
        <v>1019</v>
      </c>
      <c r="K167">
        <v>3</v>
      </c>
    </row>
    <row r="168" spans="1:11" x14ac:dyDescent="0.3">
      <c r="A168" t="s">
        <v>1857</v>
      </c>
      <c r="B168" t="s">
        <v>1068</v>
      </c>
      <c r="C168">
        <v>56</v>
      </c>
      <c r="D168" t="s">
        <v>1042</v>
      </c>
      <c r="E168" s="1">
        <v>45208</v>
      </c>
      <c r="F168">
        <v>205</v>
      </c>
      <c r="G168">
        <v>3.3</v>
      </c>
      <c r="H168">
        <v>2024</v>
      </c>
      <c r="I168" t="s">
        <v>1030</v>
      </c>
      <c r="J168" t="s">
        <v>1034</v>
      </c>
      <c r="K168">
        <v>3</v>
      </c>
    </row>
    <row r="169" spans="1:11" x14ac:dyDescent="0.3">
      <c r="A169" t="s">
        <v>1860</v>
      </c>
      <c r="B169" t="s">
        <v>1026</v>
      </c>
      <c r="C169">
        <v>108</v>
      </c>
      <c r="D169" t="s">
        <v>1042</v>
      </c>
      <c r="E169" s="1">
        <v>45209</v>
      </c>
      <c r="F169">
        <v>68</v>
      </c>
      <c r="G169">
        <v>2.5</v>
      </c>
      <c r="H169">
        <v>2024</v>
      </c>
      <c r="I169" t="s">
        <v>1033</v>
      </c>
      <c r="J169" t="s">
        <v>1019</v>
      </c>
      <c r="K169">
        <v>3</v>
      </c>
    </row>
    <row r="170" spans="1:11" x14ac:dyDescent="0.3">
      <c r="A170" t="s">
        <v>1862</v>
      </c>
      <c r="B170" t="s">
        <v>1065</v>
      </c>
      <c r="C170">
        <v>59</v>
      </c>
      <c r="D170" t="s">
        <v>1042</v>
      </c>
      <c r="E170" s="1">
        <v>45209</v>
      </c>
      <c r="F170">
        <v>152</v>
      </c>
      <c r="G170">
        <v>4.8</v>
      </c>
      <c r="H170">
        <v>2024</v>
      </c>
      <c r="I170" t="s">
        <v>1033</v>
      </c>
      <c r="J170" t="s">
        <v>1034</v>
      </c>
      <c r="K170">
        <v>5</v>
      </c>
    </row>
    <row r="171" spans="1:11" x14ac:dyDescent="0.3">
      <c r="A171" t="s">
        <v>1867</v>
      </c>
      <c r="B171" t="s">
        <v>1098</v>
      </c>
      <c r="C171">
        <v>69</v>
      </c>
      <c r="D171" t="s">
        <v>1042</v>
      </c>
      <c r="E171" s="1">
        <v>45210</v>
      </c>
      <c r="F171">
        <v>36</v>
      </c>
      <c r="G171">
        <v>4.5</v>
      </c>
      <c r="H171">
        <v>2024</v>
      </c>
      <c r="I171" t="s">
        <v>1048</v>
      </c>
      <c r="J171" t="s">
        <v>1019</v>
      </c>
      <c r="K171">
        <v>5</v>
      </c>
    </row>
    <row r="172" spans="1:11" x14ac:dyDescent="0.3">
      <c r="A172" t="s">
        <v>1872</v>
      </c>
      <c r="B172" t="s">
        <v>1041</v>
      </c>
      <c r="C172">
        <v>124</v>
      </c>
      <c r="D172" t="s">
        <v>1042</v>
      </c>
      <c r="E172" s="1">
        <v>45213</v>
      </c>
      <c r="F172">
        <v>29</v>
      </c>
      <c r="G172">
        <v>4.8</v>
      </c>
      <c r="H172">
        <v>2024</v>
      </c>
      <c r="I172" t="s">
        <v>1062</v>
      </c>
      <c r="J172" t="s">
        <v>1031</v>
      </c>
      <c r="K172">
        <v>5</v>
      </c>
    </row>
    <row r="173" spans="1:11" x14ac:dyDescent="0.3">
      <c r="A173" t="s">
        <v>1878</v>
      </c>
      <c r="B173" t="s">
        <v>1028</v>
      </c>
      <c r="C173">
        <v>131</v>
      </c>
      <c r="D173" t="s">
        <v>1042</v>
      </c>
      <c r="E173" s="1">
        <v>45214</v>
      </c>
      <c r="F173">
        <v>205</v>
      </c>
      <c r="G173">
        <v>4.8</v>
      </c>
      <c r="H173">
        <v>2024</v>
      </c>
      <c r="I173" t="s">
        <v>1018</v>
      </c>
      <c r="J173" t="s">
        <v>1031</v>
      </c>
      <c r="K173">
        <v>5</v>
      </c>
    </row>
    <row r="174" spans="1:11" x14ac:dyDescent="0.3">
      <c r="A174" t="s">
        <v>1880</v>
      </c>
      <c r="B174" t="s">
        <v>1028</v>
      </c>
      <c r="C174">
        <v>70</v>
      </c>
      <c r="D174" t="s">
        <v>1042</v>
      </c>
      <c r="E174" s="1">
        <v>45214</v>
      </c>
      <c r="F174">
        <v>50</v>
      </c>
      <c r="G174">
        <v>3.4</v>
      </c>
      <c r="H174">
        <v>2024</v>
      </c>
      <c r="I174" t="s">
        <v>1018</v>
      </c>
      <c r="J174" t="s">
        <v>1019</v>
      </c>
      <c r="K174">
        <v>3</v>
      </c>
    </row>
    <row r="175" spans="1:11" x14ac:dyDescent="0.3">
      <c r="A175" t="s">
        <v>1883</v>
      </c>
      <c r="B175" t="s">
        <v>1026</v>
      </c>
      <c r="C175">
        <v>133</v>
      </c>
      <c r="D175" t="s">
        <v>1042</v>
      </c>
      <c r="E175" s="1">
        <v>45215</v>
      </c>
      <c r="F175">
        <v>40</v>
      </c>
      <c r="G175">
        <v>3.9</v>
      </c>
      <c r="H175">
        <v>2024</v>
      </c>
      <c r="I175" t="s">
        <v>1030</v>
      </c>
      <c r="J175" t="s">
        <v>1031</v>
      </c>
      <c r="K175">
        <v>4</v>
      </c>
    </row>
    <row r="176" spans="1:11" x14ac:dyDescent="0.3">
      <c r="A176" t="s">
        <v>1885</v>
      </c>
      <c r="B176" t="s">
        <v>1065</v>
      </c>
      <c r="C176">
        <v>103</v>
      </c>
      <c r="D176" t="s">
        <v>1042</v>
      </c>
      <c r="E176" s="1">
        <v>45215</v>
      </c>
      <c r="F176">
        <v>78</v>
      </c>
      <c r="G176">
        <v>3</v>
      </c>
      <c r="H176">
        <v>2024</v>
      </c>
      <c r="I176" t="s">
        <v>1030</v>
      </c>
      <c r="J176" t="s">
        <v>1019</v>
      </c>
      <c r="K176">
        <v>3</v>
      </c>
    </row>
    <row r="177" spans="1:11" x14ac:dyDescent="0.3">
      <c r="A177" t="s">
        <v>1887</v>
      </c>
      <c r="B177" t="s">
        <v>1026</v>
      </c>
      <c r="C177">
        <v>30</v>
      </c>
      <c r="D177" t="s">
        <v>1042</v>
      </c>
      <c r="E177" s="1">
        <v>45215</v>
      </c>
      <c r="F177">
        <v>38</v>
      </c>
      <c r="G177">
        <v>3.7</v>
      </c>
      <c r="H177">
        <v>2024</v>
      </c>
      <c r="I177" t="s">
        <v>1030</v>
      </c>
      <c r="J177" t="s">
        <v>1056</v>
      </c>
      <c r="K177">
        <v>4</v>
      </c>
    </row>
    <row r="178" spans="1:11" x14ac:dyDescent="0.3">
      <c r="A178" t="s">
        <v>1890</v>
      </c>
      <c r="B178" t="s">
        <v>1045</v>
      </c>
      <c r="C178">
        <v>96</v>
      </c>
      <c r="D178" t="s">
        <v>1042</v>
      </c>
      <c r="E178" s="1">
        <v>45216</v>
      </c>
      <c r="F178">
        <v>215</v>
      </c>
      <c r="G178">
        <v>4</v>
      </c>
      <c r="H178">
        <v>2024</v>
      </c>
      <c r="I178" t="s">
        <v>1033</v>
      </c>
      <c r="J178" t="s">
        <v>1019</v>
      </c>
      <c r="K178">
        <v>4</v>
      </c>
    </row>
    <row r="179" spans="1:11" x14ac:dyDescent="0.3">
      <c r="A179" t="s">
        <v>1891</v>
      </c>
      <c r="B179" t="s">
        <v>1041</v>
      </c>
      <c r="C179">
        <v>155</v>
      </c>
      <c r="D179" t="s">
        <v>1042</v>
      </c>
      <c r="E179" s="1">
        <v>45217</v>
      </c>
      <c r="F179">
        <v>72</v>
      </c>
      <c r="G179">
        <v>4.7</v>
      </c>
      <c r="H179">
        <v>2024</v>
      </c>
      <c r="I179" t="s">
        <v>1048</v>
      </c>
      <c r="J179" t="s">
        <v>1031</v>
      </c>
      <c r="K179">
        <v>5</v>
      </c>
    </row>
    <row r="180" spans="1:11" x14ac:dyDescent="0.3">
      <c r="A180" t="s">
        <v>1893</v>
      </c>
      <c r="B180" t="s">
        <v>1041</v>
      </c>
      <c r="C180">
        <v>127</v>
      </c>
      <c r="D180" t="s">
        <v>1042</v>
      </c>
      <c r="E180" s="1">
        <v>45217</v>
      </c>
      <c r="F180">
        <v>165</v>
      </c>
      <c r="G180">
        <v>2.5</v>
      </c>
      <c r="H180">
        <v>2024</v>
      </c>
      <c r="I180" t="s">
        <v>1048</v>
      </c>
      <c r="J180" t="s">
        <v>1031</v>
      </c>
      <c r="K180">
        <v>3</v>
      </c>
    </row>
    <row r="181" spans="1:11" x14ac:dyDescent="0.3">
      <c r="A181" t="s">
        <v>1899</v>
      </c>
      <c r="B181" t="s">
        <v>1045</v>
      </c>
      <c r="C181">
        <v>124</v>
      </c>
      <c r="D181" t="s">
        <v>1042</v>
      </c>
      <c r="E181" s="1">
        <v>45218</v>
      </c>
      <c r="F181">
        <v>42</v>
      </c>
      <c r="G181">
        <v>3.7</v>
      </c>
      <c r="H181">
        <v>2024</v>
      </c>
      <c r="I181" t="s">
        <v>1052</v>
      </c>
      <c r="J181" t="s">
        <v>1031</v>
      </c>
      <c r="K181">
        <v>4</v>
      </c>
    </row>
    <row r="182" spans="1:11" x14ac:dyDescent="0.3">
      <c r="A182" t="s">
        <v>1900</v>
      </c>
      <c r="B182" t="s">
        <v>1026</v>
      </c>
      <c r="C182">
        <v>94</v>
      </c>
      <c r="D182" t="s">
        <v>1042</v>
      </c>
      <c r="E182" s="1">
        <v>45218</v>
      </c>
      <c r="F182">
        <v>120</v>
      </c>
      <c r="G182">
        <v>3.5</v>
      </c>
      <c r="H182">
        <v>2024</v>
      </c>
      <c r="I182" t="s">
        <v>1052</v>
      </c>
      <c r="J182" t="s">
        <v>1019</v>
      </c>
      <c r="K182">
        <v>4</v>
      </c>
    </row>
    <row r="183" spans="1:11" x14ac:dyDescent="0.3">
      <c r="A183" t="s">
        <v>1908</v>
      </c>
      <c r="B183" t="s">
        <v>1098</v>
      </c>
      <c r="C183">
        <v>76</v>
      </c>
      <c r="D183" t="s">
        <v>1042</v>
      </c>
      <c r="E183" s="1">
        <v>45221</v>
      </c>
      <c r="F183">
        <v>80</v>
      </c>
      <c r="G183">
        <v>4.5</v>
      </c>
      <c r="H183">
        <v>2024</v>
      </c>
      <c r="I183" t="s">
        <v>1018</v>
      </c>
      <c r="J183" t="s">
        <v>1019</v>
      </c>
      <c r="K183">
        <v>5</v>
      </c>
    </row>
    <row r="184" spans="1:11" x14ac:dyDescent="0.3">
      <c r="A184" t="s">
        <v>1911</v>
      </c>
      <c r="B184" t="s">
        <v>1028</v>
      </c>
      <c r="C184">
        <v>19</v>
      </c>
      <c r="D184" t="s">
        <v>1042</v>
      </c>
      <c r="E184" s="1">
        <v>45223</v>
      </c>
      <c r="F184">
        <v>58</v>
      </c>
      <c r="G184">
        <v>3.9</v>
      </c>
      <c r="H184">
        <v>2024</v>
      </c>
      <c r="I184" t="s">
        <v>1033</v>
      </c>
      <c r="J184" t="s">
        <v>1056</v>
      </c>
      <c r="K184">
        <v>4</v>
      </c>
    </row>
    <row r="185" spans="1:11" x14ac:dyDescent="0.3">
      <c r="A185" t="s">
        <v>1927</v>
      </c>
      <c r="B185" t="s">
        <v>1045</v>
      </c>
      <c r="C185">
        <v>18</v>
      </c>
      <c r="D185" t="s">
        <v>1042</v>
      </c>
      <c r="E185" s="1">
        <v>45227</v>
      </c>
      <c r="F185">
        <v>225</v>
      </c>
      <c r="G185">
        <v>2.6</v>
      </c>
      <c r="H185">
        <v>2024</v>
      </c>
      <c r="I185" t="s">
        <v>1062</v>
      </c>
      <c r="J185" t="s">
        <v>1056</v>
      </c>
      <c r="K185">
        <v>3</v>
      </c>
    </row>
    <row r="186" spans="1:11" x14ac:dyDescent="0.3">
      <c r="A186" t="s">
        <v>1932</v>
      </c>
      <c r="B186" t="s">
        <v>1021</v>
      </c>
      <c r="C186">
        <v>31</v>
      </c>
      <c r="D186" t="s">
        <v>1042</v>
      </c>
      <c r="E186" s="1">
        <v>45229</v>
      </c>
      <c r="F186">
        <v>105</v>
      </c>
      <c r="G186">
        <v>3.6</v>
      </c>
      <c r="H186">
        <v>2024</v>
      </c>
      <c r="I186" t="s">
        <v>1030</v>
      </c>
      <c r="J186" t="s">
        <v>1034</v>
      </c>
      <c r="K186">
        <v>4</v>
      </c>
    </row>
    <row r="187" spans="1:11" x14ac:dyDescent="0.3">
      <c r="A187" t="s">
        <v>1935</v>
      </c>
      <c r="B187" t="s">
        <v>1016</v>
      </c>
      <c r="C187">
        <v>86</v>
      </c>
      <c r="D187" t="s">
        <v>1042</v>
      </c>
      <c r="E187" s="1">
        <v>45230</v>
      </c>
      <c r="F187">
        <v>90</v>
      </c>
      <c r="G187">
        <v>4.4000000000000004</v>
      </c>
      <c r="H187">
        <v>2024</v>
      </c>
      <c r="I187" t="s">
        <v>1033</v>
      </c>
      <c r="J187" t="s">
        <v>1019</v>
      </c>
      <c r="K187">
        <v>4</v>
      </c>
    </row>
    <row r="188" spans="1:11" x14ac:dyDescent="0.3">
      <c r="A188" t="s">
        <v>1939</v>
      </c>
      <c r="B188" t="s">
        <v>1078</v>
      </c>
      <c r="C188">
        <v>56</v>
      </c>
      <c r="D188" t="s">
        <v>1042</v>
      </c>
      <c r="E188" s="1">
        <v>45233</v>
      </c>
      <c r="F188">
        <v>160</v>
      </c>
      <c r="G188">
        <v>3.8</v>
      </c>
      <c r="H188">
        <v>2024</v>
      </c>
      <c r="I188" t="s">
        <v>411</v>
      </c>
      <c r="J188" t="s">
        <v>1034</v>
      </c>
      <c r="K188">
        <v>4</v>
      </c>
    </row>
    <row r="189" spans="1:11" x14ac:dyDescent="0.3">
      <c r="A189" t="s">
        <v>1944</v>
      </c>
      <c r="B189" t="s">
        <v>1023</v>
      </c>
      <c r="C189">
        <v>91</v>
      </c>
      <c r="D189" t="s">
        <v>1042</v>
      </c>
      <c r="E189" s="1">
        <v>45237</v>
      </c>
      <c r="F189">
        <v>110</v>
      </c>
      <c r="G189">
        <v>3.7</v>
      </c>
      <c r="H189">
        <v>2024</v>
      </c>
      <c r="I189" t="s">
        <v>1033</v>
      </c>
      <c r="J189" t="s">
        <v>1019</v>
      </c>
      <c r="K189">
        <v>4</v>
      </c>
    </row>
    <row r="190" spans="1:11" x14ac:dyDescent="0.3">
      <c r="A190" t="s">
        <v>1946</v>
      </c>
      <c r="B190" t="s">
        <v>1065</v>
      </c>
      <c r="C190">
        <v>30</v>
      </c>
      <c r="D190" t="s">
        <v>1042</v>
      </c>
      <c r="E190" s="1">
        <v>45238</v>
      </c>
      <c r="F190">
        <v>84</v>
      </c>
      <c r="G190">
        <v>4</v>
      </c>
      <c r="H190">
        <v>2024</v>
      </c>
      <c r="I190" t="s">
        <v>1048</v>
      </c>
      <c r="J190" t="s">
        <v>1056</v>
      </c>
      <c r="K190">
        <v>4</v>
      </c>
    </row>
    <row r="191" spans="1:11" x14ac:dyDescent="0.3">
      <c r="A191" t="s">
        <v>1957</v>
      </c>
      <c r="B191" t="s">
        <v>1045</v>
      </c>
      <c r="C191">
        <v>62</v>
      </c>
      <c r="D191" t="s">
        <v>1042</v>
      </c>
      <c r="E191" s="1">
        <v>45243</v>
      </c>
      <c r="F191">
        <v>175</v>
      </c>
      <c r="G191">
        <v>4.4000000000000004</v>
      </c>
      <c r="H191">
        <v>2024</v>
      </c>
      <c r="I191" t="s">
        <v>1030</v>
      </c>
      <c r="J191" t="s">
        <v>1019</v>
      </c>
      <c r="K191">
        <v>4</v>
      </c>
    </row>
    <row r="192" spans="1:11" x14ac:dyDescent="0.3">
      <c r="A192" t="s">
        <v>1962</v>
      </c>
      <c r="B192" t="s">
        <v>1078</v>
      </c>
      <c r="C192">
        <v>138</v>
      </c>
      <c r="D192" t="s">
        <v>1042</v>
      </c>
      <c r="E192" s="1">
        <v>45244</v>
      </c>
      <c r="F192">
        <v>105</v>
      </c>
      <c r="G192">
        <v>3.9</v>
      </c>
      <c r="H192">
        <v>2024</v>
      </c>
      <c r="I192" t="s">
        <v>1033</v>
      </c>
      <c r="J192" t="s">
        <v>1031</v>
      </c>
      <c r="K192">
        <v>4</v>
      </c>
    </row>
    <row r="193" spans="1:11" x14ac:dyDescent="0.3">
      <c r="A193" t="s">
        <v>1965</v>
      </c>
      <c r="B193" t="s">
        <v>1016</v>
      </c>
      <c r="C193">
        <v>64</v>
      </c>
      <c r="D193" t="s">
        <v>1042</v>
      </c>
      <c r="E193" s="1">
        <v>45245</v>
      </c>
      <c r="F193">
        <v>225</v>
      </c>
      <c r="G193">
        <v>4.5999999999999996</v>
      </c>
      <c r="H193">
        <v>2024</v>
      </c>
      <c r="I193" t="s">
        <v>1048</v>
      </c>
      <c r="J193" t="s">
        <v>1019</v>
      </c>
      <c r="K193">
        <v>5</v>
      </c>
    </row>
    <row r="194" spans="1:11" x14ac:dyDescent="0.3">
      <c r="A194" t="s">
        <v>1966</v>
      </c>
      <c r="B194" t="s">
        <v>1023</v>
      </c>
      <c r="C194">
        <v>53</v>
      </c>
      <c r="D194" t="s">
        <v>1042</v>
      </c>
      <c r="E194" s="1">
        <v>45246</v>
      </c>
      <c r="F194">
        <v>37</v>
      </c>
      <c r="G194">
        <v>4.0999999999999996</v>
      </c>
      <c r="H194">
        <v>2024</v>
      </c>
      <c r="I194" t="s">
        <v>1052</v>
      </c>
      <c r="J194" t="s">
        <v>1034</v>
      </c>
      <c r="K194">
        <v>4</v>
      </c>
    </row>
    <row r="195" spans="1:11" x14ac:dyDescent="0.3">
      <c r="A195" t="s">
        <v>1970</v>
      </c>
      <c r="B195" t="s">
        <v>1041</v>
      </c>
      <c r="C195">
        <v>71</v>
      </c>
      <c r="D195" t="s">
        <v>1042</v>
      </c>
      <c r="E195" s="1">
        <v>45247</v>
      </c>
      <c r="F195">
        <v>64</v>
      </c>
      <c r="G195">
        <v>3.9</v>
      </c>
      <c r="H195">
        <v>2024</v>
      </c>
      <c r="I195" t="s">
        <v>411</v>
      </c>
      <c r="J195" t="s">
        <v>1019</v>
      </c>
      <c r="K195">
        <v>4</v>
      </c>
    </row>
    <row r="196" spans="1:11" x14ac:dyDescent="0.3">
      <c r="A196" t="s">
        <v>1974</v>
      </c>
      <c r="B196" t="s">
        <v>1068</v>
      </c>
      <c r="C196">
        <v>107</v>
      </c>
      <c r="D196" t="s">
        <v>1042</v>
      </c>
      <c r="E196" s="1">
        <v>45248</v>
      </c>
      <c r="F196">
        <v>23</v>
      </c>
      <c r="G196">
        <v>3.4</v>
      </c>
      <c r="H196">
        <v>2024</v>
      </c>
      <c r="I196" t="s">
        <v>1062</v>
      </c>
      <c r="J196" t="s">
        <v>1019</v>
      </c>
      <c r="K196">
        <v>3</v>
      </c>
    </row>
    <row r="197" spans="1:11" x14ac:dyDescent="0.3">
      <c r="A197" t="s">
        <v>1976</v>
      </c>
      <c r="B197" t="s">
        <v>1078</v>
      </c>
      <c r="C197">
        <v>69</v>
      </c>
      <c r="D197" t="s">
        <v>1042</v>
      </c>
      <c r="E197" s="1">
        <v>45250</v>
      </c>
      <c r="F197">
        <v>225</v>
      </c>
      <c r="G197">
        <v>3.7</v>
      </c>
      <c r="H197">
        <v>2024</v>
      </c>
      <c r="I197" t="s">
        <v>1030</v>
      </c>
      <c r="J197" t="s">
        <v>1019</v>
      </c>
      <c r="K197">
        <v>4</v>
      </c>
    </row>
    <row r="198" spans="1:11" x14ac:dyDescent="0.3">
      <c r="A198" t="s">
        <v>1978</v>
      </c>
      <c r="B198" t="s">
        <v>1026</v>
      </c>
      <c r="C198">
        <v>158</v>
      </c>
      <c r="D198" t="s">
        <v>1042</v>
      </c>
      <c r="E198" s="1">
        <v>45251</v>
      </c>
      <c r="F198">
        <v>36</v>
      </c>
      <c r="G198">
        <v>3</v>
      </c>
      <c r="H198">
        <v>2024</v>
      </c>
      <c r="I198" t="s">
        <v>1033</v>
      </c>
      <c r="J198" t="s">
        <v>1031</v>
      </c>
      <c r="K198">
        <v>3</v>
      </c>
    </row>
    <row r="199" spans="1:11" x14ac:dyDescent="0.3">
      <c r="A199" t="s">
        <v>1979</v>
      </c>
      <c r="B199" t="s">
        <v>1036</v>
      </c>
      <c r="C199">
        <v>99</v>
      </c>
      <c r="D199" t="s">
        <v>1042</v>
      </c>
      <c r="E199" s="1">
        <v>45253</v>
      </c>
      <c r="F199">
        <v>116</v>
      </c>
      <c r="G199">
        <v>3.9</v>
      </c>
      <c r="H199">
        <v>2024</v>
      </c>
      <c r="I199" t="s">
        <v>1052</v>
      </c>
      <c r="J199" t="s">
        <v>1019</v>
      </c>
      <c r="K199">
        <v>4</v>
      </c>
    </row>
    <row r="200" spans="1:11" x14ac:dyDescent="0.3">
      <c r="A200" t="s">
        <v>1983</v>
      </c>
      <c r="B200" t="s">
        <v>1047</v>
      </c>
      <c r="C200">
        <v>56</v>
      </c>
      <c r="D200" t="s">
        <v>1042</v>
      </c>
      <c r="E200" s="1">
        <v>45254</v>
      </c>
      <c r="F200">
        <v>205</v>
      </c>
      <c r="G200">
        <v>4.3</v>
      </c>
      <c r="H200">
        <v>2024</v>
      </c>
      <c r="I200" t="s">
        <v>411</v>
      </c>
      <c r="J200" t="s">
        <v>1034</v>
      </c>
      <c r="K200">
        <v>4</v>
      </c>
    </row>
    <row r="201" spans="1:11" x14ac:dyDescent="0.3">
      <c r="A201" t="s">
        <v>1991</v>
      </c>
      <c r="B201" t="s">
        <v>1045</v>
      </c>
      <c r="C201">
        <v>2</v>
      </c>
      <c r="D201" t="s">
        <v>1042</v>
      </c>
      <c r="E201" s="1">
        <v>45259</v>
      </c>
      <c r="F201">
        <v>62</v>
      </c>
      <c r="G201">
        <v>2.8</v>
      </c>
      <c r="H201">
        <v>2024</v>
      </c>
      <c r="I201" t="s">
        <v>1048</v>
      </c>
      <c r="J201" t="s">
        <v>1186</v>
      </c>
      <c r="K201">
        <v>3</v>
      </c>
    </row>
    <row r="202" spans="1:11" x14ac:dyDescent="0.3">
      <c r="A202" t="s">
        <v>1994</v>
      </c>
      <c r="B202" t="s">
        <v>1026</v>
      </c>
      <c r="C202">
        <v>79</v>
      </c>
      <c r="D202" t="s">
        <v>1042</v>
      </c>
      <c r="E202" s="1">
        <v>45261</v>
      </c>
      <c r="F202">
        <v>115</v>
      </c>
      <c r="G202">
        <v>2.2999999999999998</v>
      </c>
      <c r="H202">
        <v>2024</v>
      </c>
      <c r="I202" t="s">
        <v>411</v>
      </c>
      <c r="J202" t="s">
        <v>1019</v>
      </c>
      <c r="K202">
        <v>2</v>
      </c>
    </row>
    <row r="203" spans="1:11" x14ac:dyDescent="0.3">
      <c r="A203" t="s">
        <v>2001</v>
      </c>
      <c r="B203" t="s">
        <v>1026</v>
      </c>
      <c r="C203">
        <v>51</v>
      </c>
      <c r="D203" t="s">
        <v>1042</v>
      </c>
      <c r="E203" s="1">
        <v>45263</v>
      </c>
      <c r="F203">
        <v>64</v>
      </c>
      <c r="G203">
        <v>3.7</v>
      </c>
      <c r="H203">
        <v>2024</v>
      </c>
      <c r="I203" t="s">
        <v>1018</v>
      </c>
      <c r="J203" t="s">
        <v>1034</v>
      </c>
      <c r="K203">
        <v>4</v>
      </c>
    </row>
    <row r="204" spans="1:11" x14ac:dyDescent="0.3">
      <c r="A204" t="s">
        <v>2006</v>
      </c>
      <c r="B204" t="s">
        <v>1068</v>
      </c>
      <c r="C204">
        <v>50</v>
      </c>
      <c r="D204" t="s">
        <v>1042</v>
      </c>
      <c r="E204" s="1">
        <v>45268</v>
      </c>
      <c r="F204">
        <v>54</v>
      </c>
      <c r="G204">
        <v>4.3</v>
      </c>
      <c r="H204">
        <v>2024</v>
      </c>
      <c r="I204" t="s">
        <v>411</v>
      </c>
      <c r="J204" t="s">
        <v>1034</v>
      </c>
      <c r="K204">
        <v>4</v>
      </c>
    </row>
    <row r="205" spans="1:11" x14ac:dyDescent="0.3">
      <c r="A205" t="s">
        <v>2009</v>
      </c>
      <c r="B205" t="s">
        <v>1068</v>
      </c>
      <c r="C205">
        <v>96</v>
      </c>
      <c r="D205" t="s">
        <v>1042</v>
      </c>
      <c r="E205" s="1">
        <v>45273</v>
      </c>
      <c r="F205">
        <v>164</v>
      </c>
      <c r="G205">
        <v>4.8</v>
      </c>
      <c r="H205">
        <v>2024</v>
      </c>
      <c r="I205" t="s">
        <v>1048</v>
      </c>
      <c r="J205" t="s">
        <v>1019</v>
      </c>
      <c r="K205">
        <v>5</v>
      </c>
    </row>
    <row r="206" spans="1:11" x14ac:dyDescent="0.3">
      <c r="A206" t="s">
        <v>2012</v>
      </c>
      <c r="B206" t="s">
        <v>1098</v>
      </c>
      <c r="C206">
        <v>127</v>
      </c>
      <c r="D206" t="s">
        <v>1042</v>
      </c>
      <c r="E206" s="1">
        <v>45275</v>
      </c>
      <c r="F206">
        <v>145</v>
      </c>
      <c r="G206">
        <v>2.6</v>
      </c>
      <c r="H206">
        <v>2024</v>
      </c>
      <c r="I206" t="s">
        <v>411</v>
      </c>
      <c r="J206" t="s">
        <v>1031</v>
      </c>
      <c r="K206">
        <v>3</v>
      </c>
    </row>
    <row r="207" spans="1:11" x14ac:dyDescent="0.3">
      <c r="A207" t="s">
        <v>2022</v>
      </c>
      <c r="B207" t="s">
        <v>1023</v>
      </c>
      <c r="C207">
        <v>84</v>
      </c>
      <c r="D207" t="s">
        <v>1042</v>
      </c>
      <c r="E207" s="1">
        <v>45279</v>
      </c>
      <c r="F207">
        <v>180</v>
      </c>
      <c r="G207">
        <v>4.9000000000000004</v>
      </c>
      <c r="H207">
        <v>2024</v>
      </c>
      <c r="I207" t="s">
        <v>1033</v>
      </c>
      <c r="J207" t="s">
        <v>1019</v>
      </c>
      <c r="K207">
        <v>5</v>
      </c>
    </row>
    <row r="208" spans="1:11" x14ac:dyDescent="0.3">
      <c r="A208" t="s">
        <v>2027</v>
      </c>
      <c r="B208" t="s">
        <v>1026</v>
      </c>
      <c r="C208">
        <v>91</v>
      </c>
      <c r="D208" t="s">
        <v>1042</v>
      </c>
      <c r="E208" s="1">
        <v>45284</v>
      </c>
      <c r="F208">
        <v>42</v>
      </c>
      <c r="G208">
        <v>4.0999999999999996</v>
      </c>
      <c r="H208">
        <v>2024</v>
      </c>
      <c r="I208" t="s">
        <v>1018</v>
      </c>
      <c r="J208" t="s">
        <v>1019</v>
      </c>
      <c r="K208">
        <v>4</v>
      </c>
    </row>
    <row r="209" spans="1:11" x14ac:dyDescent="0.3">
      <c r="A209" t="s">
        <v>2035</v>
      </c>
      <c r="B209" t="s">
        <v>1047</v>
      </c>
      <c r="C209">
        <v>86</v>
      </c>
      <c r="D209" t="s">
        <v>1042</v>
      </c>
      <c r="E209" s="1">
        <v>45288</v>
      </c>
      <c r="F209">
        <v>205</v>
      </c>
      <c r="G209">
        <v>4.5</v>
      </c>
      <c r="H209">
        <v>2024</v>
      </c>
      <c r="I209" t="s">
        <v>1052</v>
      </c>
      <c r="J209" t="s">
        <v>1019</v>
      </c>
      <c r="K209">
        <v>5</v>
      </c>
    </row>
    <row r="210" spans="1:11" x14ac:dyDescent="0.3">
      <c r="A210" t="s">
        <v>2036</v>
      </c>
      <c r="B210" t="s">
        <v>1023</v>
      </c>
      <c r="C210">
        <v>164</v>
      </c>
      <c r="D210" t="s">
        <v>1042</v>
      </c>
      <c r="E210" s="1">
        <v>45289</v>
      </c>
      <c r="F210">
        <v>100</v>
      </c>
      <c r="G210">
        <v>4.5999999999999996</v>
      </c>
      <c r="H210">
        <v>2024</v>
      </c>
      <c r="I210" t="s">
        <v>411</v>
      </c>
      <c r="J210" t="s">
        <v>1031</v>
      </c>
      <c r="K210">
        <v>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E566-BBB4-4059-B756-4BA84ECA54E8}">
  <dimension ref="A1:U16"/>
  <sheetViews>
    <sheetView workbookViewId="0">
      <selection activeCell="B8" sqref="B8"/>
    </sheetView>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 min="20" max="20" width="27.33203125" bestFit="1" customWidth="1"/>
    <col min="21" max="21" width="32.44140625" bestFit="1" customWidth="1"/>
  </cols>
  <sheetData>
    <row r="1" spans="1:21" x14ac:dyDescent="0.3">
      <c r="A1" s="15" t="s">
        <v>2120</v>
      </c>
    </row>
    <row r="3" spans="1:21"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c r="T3" t="s">
        <v>2107</v>
      </c>
      <c r="U3" t="s">
        <v>2108</v>
      </c>
    </row>
    <row r="4" spans="1:21" x14ac:dyDescent="0.3">
      <c r="A4" t="s">
        <v>1748</v>
      </c>
      <c r="B4" t="s">
        <v>1041</v>
      </c>
      <c r="C4">
        <v>96</v>
      </c>
      <c r="D4" t="s">
        <v>1038</v>
      </c>
      <c r="E4" s="1">
        <v>45170</v>
      </c>
      <c r="F4">
        <v>36</v>
      </c>
      <c r="G4">
        <v>3.4</v>
      </c>
      <c r="H4">
        <v>2024</v>
      </c>
      <c r="I4" t="s">
        <v>411</v>
      </c>
      <c r="J4" t="s">
        <v>1019</v>
      </c>
      <c r="K4">
        <v>3</v>
      </c>
      <c r="T4" t="s">
        <v>2077</v>
      </c>
      <c r="U4">
        <v>9</v>
      </c>
    </row>
    <row r="5" spans="1:21" x14ac:dyDescent="0.3">
      <c r="A5" t="s">
        <v>1753</v>
      </c>
      <c r="B5" t="s">
        <v>1068</v>
      </c>
      <c r="C5">
        <v>113</v>
      </c>
      <c r="D5" t="s">
        <v>1038</v>
      </c>
      <c r="E5" s="1">
        <v>45173</v>
      </c>
      <c r="F5">
        <v>46</v>
      </c>
      <c r="G5">
        <v>4.4000000000000004</v>
      </c>
      <c r="H5">
        <v>2024</v>
      </c>
      <c r="I5" t="s">
        <v>1030</v>
      </c>
      <c r="J5" t="s">
        <v>1019</v>
      </c>
      <c r="K5">
        <v>4</v>
      </c>
      <c r="T5" t="s">
        <v>2077</v>
      </c>
      <c r="U5">
        <v>9</v>
      </c>
    </row>
    <row r="6" spans="1:21" x14ac:dyDescent="0.3">
      <c r="A6" t="s">
        <v>1754</v>
      </c>
      <c r="B6" t="s">
        <v>1068</v>
      </c>
      <c r="C6">
        <v>96</v>
      </c>
      <c r="D6" t="s">
        <v>1038</v>
      </c>
      <c r="E6" s="1">
        <v>45173</v>
      </c>
      <c r="F6">
        <v>96</v>
      </c>
      <c r="G6">
        <v>2.9</v>
      </c>
      <c r="H6">
        <v>2024</v>
      </c>
      <c r="I6" t="s">
        <v>1030</v>
      </c>
      <c r="J6" t="s">
        <v>1019</v>
      </c>
      <c r="K6">
        <v>3</v>
      </c>
      <c r="T6" t="s">
        <v>2077</v>
      </c>
      <c r="U6">
        <v>9</v>
      </c>
    </row>
    <row r="7" spans="1:21" x14ac:dyDescent="0.3">
      <c r="A7" t="s">
        <v>1756</v>
      </c>
      <c r="B7" t="s">
        <v>1036</v>
      </c>
      <c r="C7">
        <v>52</v>
      </c>
      <c r="D7" t="s">
        <v>1038</v>
      </c>
      <c r="E7" s="1">
        <v>45175</v>
      </c>
      <c r="F7">
        <v>88</v>
      </c>
      <c r="G7">
        <v>4.3</v>
      </c>
      <c r="H7">
        <v>2024</v>
      </c>
      <c r="I7" t="s">
        <v>1048</v>
      </c>
      <c r="J7" t="s">
        <v>1034</v>
      </c>
      <c r="K7">
        <v>4</v>
      </c>
      <c r="T7" t="s">
        <v>2077</v>
      </c>
      <c r="U7">
        <v>9</v>
      </c>
    </row>
    <row r="8" spans="1:21" x14ac:dyDescent="0.3">
      <c r="A8" t="s">
        <v>1765</v>
      </c>
      <c r="B8" t="s">
        <v>1028</v>
      </c>
      <c r="C8">
        <v>74</v>
      </c>
      <c r="D8" t="s">
        <v>1038</v>
      </c>
      <c r="E8" s="1">
        <v>45178</v>
      </c>
      <c r="F8">
        <v>75</v>
      </c>
      <c r="G8">
        <v>2.8</v>
      </c>
      <c r="H8">
        <v>2024</v>
      </c>
      <c r="I8" t="s">
        <v>1062</v>
      </c>
      <c r="J8" t="s">
        <v>1019</v>
      </c>
      <c r="K8">
        <v>3</v>
      </c>
      <c r="T8" t="s">
        <v>2077</v>
      </c>
      <c r="U8">
        <v>9</v>
      </c>
    </row>
    <row r="9" spans="1:21" x14ac:dyDescent="0.3">
      <c r="A9" t="s">
        <v>1795</v>
      </c>
      <c r="B9" t="s">
        <v>1068</v>
      </c>
      <c r="C9">
        <v>95</v>
      </c>
      <c r="D9" t="s">
        <v>1038</v>
      </c>
      <c r="E9" s="1">
        <v>45193</v>
      </c>
      <c r="F9">
        <v>23</v>
      </c>
      <c r="G9">
        <v>2.4</v>
      </c>
      <c r="H9">
        <v>2024</v>
      </c>
      <c r="I9" t="s">
        <v>1018</v>
      </c>
      <c r="J9" t="s">
        <v>1019</v>
      </c>
      <c r="K9">
        <v>2</v>
      </c>
      <c r="T9" t="s">
        <v>2077</v>
      </c>
      <c r="U9">
        <v>9</v>
      </c>
    </row>
    <row r="10" spans="1:21" x14ac:dyDescent="0.3">
      <c r="A10" t="s">
        <v>1802</v>
      </c>
      <c r="B10" t="s">
        <v>1059</v>
      </c>
      <c r="C10">
        <v>71</v>
      </c>
      <c r="D10" t="s">
        <v>1038</v>
      </c>
      <c r="E10" s="1">
        <v>45196</v>
      </c>
      <c r="F10">
        <v>135</v>
      </c>
      <c r="G10">
        <v>3.9</v>
      </c>
      <c r="H10">
        <v>2024</v>
      </c>
      <c r="I10" t="s">
        <v>1048</v>
      </c>
      <c r="J10" t="s">
        <v>1019</v>
      </c>
      <c r="K10">
        <v>4</v>
      </c>
      <c r="T10" t="s">
        <v>2077</v>
      </c>
      <c r="U10">
        <v>9</v>
      </c>
    </row>
    <row r="11" spans="1:21" x14ac:dyDescent="0.3">
      <c r="A11" t="s">
        <v>1803</v>
      </c>
      <c r="B11" t="s">
        <v>1047</v>
      </c>
      <c r="C11">
        <v>152</v>
      </c>
      <c r="D11" t="s">
        <v>1038</v>
      </c>
      <c r="E11" s="1">
        <v>45196</v>
      </c>
      <c r="F11">
        <v>88</v>
      </c>
      <c r="G11">
        <v>4.7</v>
      </c>
      <c r="H11">
        <v>2024</v>
      </c>
      <c r="I11" t="s">
        <v>1048</v>
      </c>
      <c r="J11" t="s">
        <v>1031</v>
      </c>
      <c r="K11">
        <v>5</v>
      </c>
      <c r="T11" t="s">
        <v>2077</v>
      </c>
      <c r="U11">
        <v>9</v>
      </c>
    </row>
    <row r="12" spans="1:21" x14ac:dyDescent="0.3">
      <c r="A12" t="s">
        <v>1805</v>
      </c>
      <c r="B12" t="s">
        <v>1078</v>
      </c>
      <c r="C12">
        <v>156</v>
      </c>
      <c r="D12" t="s">
        <v>1038</v>
      </c>
      <c r="E12" s="1">
        <v>45196</v>
      </c>
      <c r="F12">
        <v>81</v>
      </c>
      <c r="G12">
        <v>5</v>
      </c>
      <c r="H12">
        <v>2024</v>
      </c>
      <c r="I12" t="s">
        <v>1048</v>
      </c>
      <c r="J12" t="s">
        <v>1031</v>
      </c>
      <c r="K12">
        <v>5</v>
      </c>
      <c r="T12" t="s">
        <v>2077</v>
      </c>
      <c r="U12">
        <v>9</v>
      </c>
    </row>
    <row r="13" spans="1:21" x14ac:dyDescent="0.3">
      <c r="A13" t="s">
        <v>1807</v>
      </c>
      <c r="B13" t="s">
        <v>1023</v>
      </c>
      <c r="C13">
        <v>135</v>
      </c>
      <c r="D13" t="s">
        <v>1038</v>
      </c>
      <c r="E13" s="1">
        <v>45197</v>
      </c>
      <c r="F13">
        <v>92</v>
      </c>
      <c r="G13">
        <v>3.9</v>
      </c>
      <c r="H13">
        <v>2024</v>
      </c>
      <c r="I13" t="s">
        <v>1052</v>
      </c>
      <c r="J13" t="s">
        <v>1031</v>
      </c>
      <c r="K13">
        <v>4</v>
      </c>
      <c r="T13" t="s">
        <v>2077</v>
      </c>
      <c r="U13">
        <v>9</v>
      </c>
    </row>
    <row r="14" spans="1:21" x14ac:dyDescent="0.3">
      <c r="A14" t="s">
        <v>1809</v>
      </c>
      <c r="B14" t="s">
        <v>1065</v>
      </c>
      <c r="C14">
        <v>64</v>
      </c>
      <c r="D14" t="s">
        <v>1038</v>
      </c>
      <c r="E14" s="1">
        <v>45198</v>
      </c>
      <c r="F14">
        <v>112</v>
      </c>
      <c r="G14">
        <v>2</v>
      </c>
      <c r="H14">
        <v>2024</v>
      </c>
      <c r="I14" t="s">
        <v>411</v>
      </c>
      <c r="J14" t="s">
        <v>1019</v>
      </c>
      <c r="K14">
        <v>2</v>
      </c>
      <c r="T14" t="s">
        <v>2077</v>
      </c>
      <c r="U14">
        <v>9</v>
      </c>
    </row>
    <row r="15" spans="1:21" x14ac:dyDescent="0.3">
      <c r="A15" t="s">
        <v>1814</v>
      </c>
      <c r="B15" t="s">
        <v>1055</v>
      </c>
      <c r="C15">
        <v>93</v>
      </c>
      <c r="D15" t="s">
        <v>1038</v>
      </c>
      <c r="E15" s="1">
        <v>45199</v>
      </c>
      <c r="F15">
        <v>170</v>
      </c>
      <c r="G15">
        <v>2.2000000000000002</v>
      </c>
      <c r="H15">
        <v>2024</v>
      </c>
      <c r="I15" t="s">
        <v>1062</v>
      </c>
      <c r="J15" t="s">
        <v>1019</v>
      </c>
      <c r="K15">
        <v>2</v>
      </c>
      <c r="T15" t="s">
        <v>2077</v>
      </c>
      <c r="U15">
        <v>9</v>
      </c>
    </row>
    <row r="16" spans="1:21" x14ac:dyDescent="0.3">
      <c r="A16" t="s">
        <v>1820</v>
      </c>
      <c r="B16" t="s">
        <v>1028</v>
      </c>
      <c r="C16">
        <v>29</v>
      </c>
      <c r="D16" t="s">
        <v>1038</v>
      </c>
      <c r="E16" s="1">
        <v>45199</v>
      </c>
      <c r="F16">
        <v>80</v>
      </c>
      <c r="G16">
        <v>4.8</v>
      </c>
      <c r="H16">
        <v>2024</v>
      </c>
      <c r="I16" t="s">
        <v>1062</v>
      </c>
      <c r="J16" t="s">
        <v>1056</v>
      </c>
      <c r="K16">
        <v>5</v>
      </c>
      <c r="T16" t="s">
        <v>2077</v>
      </c>
      <c r="U16">
        <v>9</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CF9C3-EFDB-459C-A515-D02E7984F8CF}">
  <dimension ref="A1:U25"/>
  <sheetViews>
    <sheetView workbookViewId="0"/>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 min="20" max="20" width="27.33203125" bestFit="1" customWidth="1"/>
    <col min="21" max="21" width="32.44140625" bestFit="1" customWidth="1"/>
  </cols>
  <sheetData>
    <row r="1" spans="1:21" x14ac:dyDescent="0.3">
      <c r="A1" s="15" t="s">
        <v>2121</v>
      </c>
    </row>
    <row r="3" spans="1:21"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c r="T3" t="s">
        <v>2107</v>
      </c>
      <c r="U3" t="s">
        <v>2108</v>
      </c>
    </row>
    <row r="4" spans="1:21" x14ac:dyDescent="0.3">
      <c r="A4" t="s">
        <v>1488</v>
      </c>
      <c r="B4" t="s">
        <v>1016</v>
      </c>
      <c r="C4">
        <v>135</v>
      </c>
      <c r="D4" t="s">
        <v>1038</v>
      </c>
      <c r="E4" s="1">
        <v>45048</v>
      </c>
      <c r="F4">
        <v>104</v>
      </c>
      <c r="G4">
        <v>4.0999999999999996</v>
      </c>
      <c r="H4">
        <v>2023</v>
      </c>
      <c r="I4" t="s">
        <v>1033</v>
      </c>
      <c r="J4" t="s">
        <v>1031</v>
      </c>
      <c r="K4">
        <v>4</v>
      </c>
      <c r="T4" t="s">
        <v>2073</v>
      </c>
      <c r="U4">
        <v>5</v>
      </c>
    </row>
    <row r="5" spans="1:21" x14ac:dyDescent="0.3">
      <c r="A5" t="s">
        <v>1490</v>
      </c>
      <c r="B5" t="s">
        <v>1023</v>
      </c>
      <c r="C5">
        <v>35</v>
      </c>
      <c r="D5" t="s">
        <v>1038</v>
      </c>
      <c r="E5" s="1">
        <v>45049</v>
      </c>
      <c r="F5">
        <v>215</v>
      </c>
      <c r="G5">
        <v>4.3</v>
      </c>
      <c r="H5">
        <v>2023</v>
      </c>
      <c r="I5" t="s">
        <v>1048</v>
      </c>
      <c r="J5" t="s">
        <v>1034</v>
      </c>
      <c r="K5">
        <v>4</v>
      </c>
      <c r="T5" t="s">
        <v>2073</v>
      </c>
      <c r="U5">
        <v>5</v>
      </c>
    </row>
    <row r="6" spans="1:21" x14ac:dyDescent="0.3">
      <c r="A6" t="s">
        <v>1497</v>
      </c>
      <c r="B6" t="s">
        <v>1047</v>
      </c>
      <c r="C6">
        <v>40</v>
      </c>
      <c r="D6" t="s">
        <v>1038</v>
      </c>
      <c r="E6" s="1">
        <v>45052</v>
      </c>
      <c r="F6">
        <v>108</v>
      </c>
      <c r="G6">
        <v>4.2</v>
      </c>
      <c r="H6">
        <v>2023</v>
      </c>
      <c r="I6" t="s">
        <v>1062</v>
      </c>
      <c r="J6" t="s">
        <v>1034</v>
      </c>
      <c r="K6">
        <v>4</v>
      </c>
      <c r="T6" t="s">
        <v>2073</v>
      </c>
      <c r="U6">
        <v>5</v>
      </c>
    </row>
    <row r="7" spans="1:21" x14ac:dyDescent="0.3">
      <c r="A7" t="s">
        <v>1498</v>
      </c>
      <c r="B7" t="s">
        <v>1098</v>
      </c>
      <c r="C7">
        <v>143</v>
      </c>
      <c r="D7" t="s">
        <v>1038</v>
      </c>
      <c r="E7" s="1">
        <v>45052</v>
      </c>
      <c r="F7">
        <v>54</v>
      </c>
      <c r="G7">
        <v>4.4000000000000004</v>
      </c>
      <c r="H7">
        <v>2023</v>
      </c>
      <c r="I7" t="s">
        <v>1062</v>
      </c>
      <c r="J7" t="s">
        <v>1031</v>
      </c>
      <c r="K7">
        <v>4</v>
      </c>
      <c r="T7" t="s">
        <v>2073</v>
      </c>
      <c r="U7">
        <v>5</v>
      </c>
    </row>
    <row r="8" spans="1:21" x14ac:dyDescent="0.3">
      <c r="A8" t="s">
        <v>1499</v>
      </c>
      <c r="B8" t="s">
        <v>1047</v>
      </c>
      <c r="C8">
        <v>70</v>
      </c>
      <c r="D8" t="s">
        <v>1038</v>
      </c>
      <c r="E8" s="1">
        <v>45053</v>
      </c>
      <c r="F8">
        <v>44</v>
      </c>
      <c r="G8">
        <v>3.5</v>
      </c>
      <c r="H8">
        <v>2023</v>
      </c>
      <c r="I8" t="s">
        <v>1018</v>
      </c>
      <c r="J8" t="s">
        <v>1019</v>
      </c>
      <c r="K8">
        <v>4</v>
      </c>
      <c r="T8" t="s">
        <v>2073</v>
      </c>
      <c r="U8">
        <v>5</v>
      </c>
    </row>
    <row r="9" spans="1:21" x14ac:dyDescent="0.3">
      <c r="A9" t="s">
        <v>1500</v>
      </c>
      <c r="B9" t="s">
        <v>1065</v>
      </c>
      <c r="C9">
        <v>137</v>
      </c>
      <c r="D9" t="s">
        <v>1038</v>
      </c>
      <c r="E9" s="1">
        <v>45053</v>
      </c>
      <c r="F9">
        <v>44</v>
      </c>
      <c r="G9">
        <v>4.7</v>
      </c>
      <c r="H9">
        <v>2023</v>
      </c>
      <c r="I9" t="s">
        <v>1018</v>
      </c>
      <c r="J9" t="s">
        <v>1031</v>
      </c>
      <c r="K9">
        <v>5</v>
      </c>
      <c r="T9" t="s">
        <v>2073</v>
      </c>
      <c r="U9">
        <v>5</v>
      </c>
    </row>
    <row r="10" spans="1:21" x14ac:dyDescent="0.3">
      <c r="A10" t="s">
        <v>1508</v>
      </c>
      <c r="B10" t="s">
        <v>1098</v>
      </c>
      <c r="C10">
        <v>89</v>
      </c>
      <c r="D10" t="s">
        <v>1038</v>
      </c>
      <c r="E10" s="1">
        <v>45056</v>
      </c>
      <c r="F10">
        <v>176</v>
      </c>
      <c r="G10">
        <v>4.5</v>
      </c>
      <c r="H10">
        <v>2023</v>
      </c>
      <c r="I10" t="s">
        <v>1048</v>
      </c>
      <c r="J10" t="s">
        <v>1019</v>
      </c>
      <c r="K10">
        <v>5</v>
      </c>
      <c r="T10" t="s">
        <v>2073</v>
      </c>
      <c r="U10">
        <v>5</v>
      </c>
    </row>
    <row r="11" spans="1:21" x14ac:dyDescent="0.3">
      <c r="A11" t="s">
        <v>1511</v>
      </c>
      <c r="B11" t="s">
        <v>1045</v>
      </c>
      <c r="C11">
        <v>91</v>
      </c>
      <c r="D11" t="s">
        <v>1038</v>
      </c>
      <c r="E11" s="1">
        <v>45058</v>
      </c>
      <c r="F11">
        <v>76</v>
      </c>
      <c r="G11">
        <v>4.9000000000000004</v>
      </c>
      <c r="H11">
        <v>2023</v>
      </c>
      <c r="I11" t="s">
        <v>411</v>
      </c>
      <c r="J11" t="s">
        <v>1019</v>
      </c>
      <c r="K11">
        <v>5</v>
      </c>
      <c r="T11" t="s">
        <v>2073</v>
      </c>
      <c r="U11">
        <v>5</v>
      </c>
    </row>
    <row r="12" spans="1:21" x14ac:dyDescent="0.3">
      <c r="A12" t="s">
        <v>1515</v>
      </c>
      <c r="B12" t="s">
        <v>1023</v>
      </c>
      <c r="C12">
        <v>115</v>
      </c>
      <c r="D12" t="s">
        <v>1038</v>
      </c>
      <c r="E12" s="1">
        <v>45060</v>
      </c>
      <c r="F12">
        <v>168</v>
      </c>
      <c r="G12">
        <v>3.4</v>
      </c>
      <c r="H12">
        <v>2023</v>
      </c>
      <c r="I12" t="s">
        <v>1018</v>
      </c>
      <c r="J12" t="s">
        <v>1019</v>
      </c>
      <c r="K12">
        <v>3</v>
      </c>
      <c r="T12" t="s">
        <v>2073</v>
      </c>
      <c r="U12">
        <v>5</v>
      </c>
    </row>
    <row r="13" spans="1:21" x14ac:dyDescent="0.3">
      <c r="A13" t="s">
        <v>1516</v>
      </c>
      <c r="B13" t="s">
        <v>1036</v>
      </c>
      <c r="C13">
        <v>56</v>
      </c>
      <c r="D13" t="s">
        <v>1038</v>
      </c>
      <c r="E13" s="1">
        <v>45061</v>
      </c>
      <c r="F13">
        <v>200</v>
      </c>
      <c r="G13">
        <v>4.5999999999999996</v>
      </c>
      <c r="H13">
        <v>2023</v>
      </c>
      <c r="I13" t="s">
        <v>1030</v>
      </c>
      <c r="J13" t="s">
        <v>1034</v>
      </c>
      <c r="K13">
        <v>5</v>
      </c>
      <c r="T13" t="s">
        <v>2073</v>
      </c>
      <c r="U13">
        <v>5</v>
      </c>
    </row>
    <row r="14" spans="1:21" x14ac:dyDescent="0.3">
      <c r="A14" t="s">
        <v>1518</v>
      </c>
      <c r="B14" t="s">
        <v>1098</v>
      </c>
      <c r="C14">
        <v>51</v>
      </c>
      <c r="D14" t="s">
        <v>1038</v>
      </c>
      <c r="E14" s="1">
        <v>45062</v>
      </c>
      <c r="F14">
        <v>117</v>
      </c>
      <c r="G14">
        <v>2.7</v>
      </c>
      <c r="H14">
        <v>2023</v>
      </c>
      <c r="I14" t="s">
        <v>1033</v>
      </c>
      <c r="J14" t="s">
        <v>1034</v>
      </c>
      <c r="K14">
        <v>3</v>
      </c>
      <c r="T14" t="s">
        <v>2073</v>
      </c>
      <c r="U14">
        <v>5</v>
      </c>
    </row>
    <row r="15" spans="1:21" x14ac:dyDescent="0.3">
      <c r="A15" t="s">
        <v>1520</v>
      </c>
      <c r="B15" t="s">
        <v>1023</v>
      </c>
      <c r="C15">
        <v>80</v>
      </c>
      <c r="D15" t="s">
        <v>1038</v>
      </c>
      <c r="E15" s="1">
        <v>45063</v>
      </c>
      <c r="F15">
        <v>145</v>
      </c>
      <c r="G15">
        <v>4.9000000000000004</v>
      </c>
      <c r="H15">
        <v>2023</v>
      </c>
      <c r="I15" t="s">
        <v>1048</v>
      </c>
      <c r="J15" t="s">
        <v>1019</v>
      </c>
      <c r="K15">
        <v>5</v>
      </c>
      <c r="T15" t="s">
        <v>2073</v>
      </c>
      <c r="U15">
        <v>5</v>
      </c>
    </row>
    <row r="16" spans="1:21" x14ac:dyDescent="0.3">
      <c r="A16" t="s">
        <v>1523</v>
      </c>
      <c r="B16" t="s">
        <v>1023</v>
      </c>
      <c r="C16">
        <v>88</v>
      </c>
      <c r="D16" t="s">
        <v>1038</v>
      </c>
      <c r="E16" s="1">
        <v>45063</v>
      </c>
      <c r="F16">
        <v>78</v>
      </c>
      <c r="G16">
        <v>4.3</v>
      </c>
      <c r="H16">
        <v>2023</v>
      </c>
      <c r="I16" t="s">
        <v>1048</v>
      </c>
      <c r="J16" t="s">
        <v>1019</v>
      </c>
      <c r="K16">
        <v>4</v>
      </c>
      <c r="T16" t="s">
        <v>2073</v>
      </c>
      <c r="U16">
        <v>5</v>
      </c>
    </row>
    <row r="17" spans="1:21" x14ac:dyDescent="0.3">
      <c r="A17" t="s">
        <v>1530</v>
      </c>
      <c r="B17" t="s">
        <v>1047</v>
      </c>
      <c r="C17">
        <v>76</v>
      </c>
      <c r="D17" t="s">
        <v>1038</v>
      </c>
      <c r="E17" s="1">
        <v>45068</v>
      </c>
      <c r="F17">
        <v>39</v>
      </c>
      <c r="G17">
        <v>4.5999999999999996</v>
      </c>
      <c r="H17">
        <v>2023</v>
      </c>
      <c r="I17" t="s">
        <v>1030</v>
      </c>
      <c r="J17" t="s">
        <v>1019</v>
      </c>
      <c r="K17">
        <v>5</v>
      </c>
      <c r="T17" t="s">
        <v>2073</v>
      </c>
      <c r="U17">
        <v>5</v>
      </c>
    </row>
    <row r="18" spans="1:21" x14ac:dyDescent="0.3">
      <c r="A18" t="s">
        <v>1534</v>
      </c>
      <c r="B18" t="s">
        <v>1026</v>
      </c>
      <c r="C18">
        <v>155</v>
      </c>
      <c r="D18" t="s">
        <v>1038</v>
      </c>
      <c r="E18" s="1">
        <v>45069</v>
      </c>
      <c r="F18">
        <v>37</v>
      </c>
      <c r="G18">
        <v>4</v>
      </c>
      <c r="H18">
        <v>2023</v>
      </c>
      <c r="I18" t="s">
        <v>1033</v>
      </c>
      <c r="J18" t="s">
        <v>1031</v>
      </c>
      <c r="K18">
        <v>4</v>
      </c>
      <c r="T18" t="s">
        <v>2073</v>
      </c>
      <c r="U18">
        <v>5</v>
      </c>
    </row>
    <row r="19" spans="1:21" x14ac:dyDescent="0.3">
      <c r="A19" t="s">
        <v>1535</v>
      </c>
      <c r="B19" t="s">
        <v>1021</v>
      </c>
      <c r="C19">
        <v>117</v>
      </c>
      <c r="D19" t="s">
        <v>1038</v>
      </c>
      <c r="E19" s="1">
        <v>45069</v>
      </c>
      <c r="F19">
        <v>88</v>
      </c>
      <c r="G19">
        <v>4.7</v>
      </c>
      <c r="H19">
        <v>2023</v>
      </c>
      <c r="I19" t="s">
        <v>1033</v>
      </c>
      <c r="J19" t="s">
        <v>1019</v>
      </c>
      <c r="K19">
        <v>5</v>
      </c>
      <c r="T19" t="s">
        <v>2073</v>
      </c>
      <c r="U19">
        <v>5</v>
      </c>
    </row>
    <row r="20" spans="1:21" x14ac:dyDescent="0.3">
      <c r="A20" t="s">
        <v>1536</v>
      </c>
      <c r="B20" t="s">
        <v>1098</v>
      </c>
      <c r="C20">
        <v>63</v>
      </c>
      <c r="D20" t="s">
        <v>1038</v>
      </c>
      <c r="E20" s="1">
        <v>45069</v>
      </c>
      <c r="F20">
        <v>80</v>
      </c>
      <c r="G20">
        <v>2.5</v>
      </c>
      <c r="H20">
        <v>2023</v>
      </c>
      <c r="I20" t="s">
        <v>1033</v>
      </c>
      <c r="J20" t="s">
        <v>1019</v>
      </c>
      <c r="K20">
        <v>3</v>
      </c>
      <c r="T20" t="s">
        <v>2073</v>
      </c>
      <c r="U20">
        <v>5</v>
      </c>
    </row>
    <row r="21" spans="1:21" x14ac:dyDescent="0.3">
      <c r="A21" t="s">
        <v>1540</v>
      </c>
      <c r="B21" t="s">
        <v>1045</v>
      </c>
      <c r="C21">
        <v>151</v>
      </c>
      <c r="D21" t="s">
        <v>1038</v>
      </c>
      <c r="E21" s="1">
        <v>45071</v>
      </c>
      <c r="F21">
        <v>123</v>
      </c>
      <c r="G21">
        <v>3.7</v>
      </c>
      <c r="H21">
        <v>2023</v>
      </c>
      <c r="I21" t="s">
        <v>1052</v>
      </c>
      <c r="J21" t="s">
        <v>1031</v>
      </c>
      <c r="K21">
        <v>4</v>
      </c>
      <c r="T21" t="s">
        <v>2073</v>
      </c>
      <c r="U21">
        <v>5</v>
      </c>
    </row>
    <row r="22" spans="1:21" x14ac:dyDescent="0.3">
      <c r="A22" t="s">
        <v>1545</v>
      </c>
      <c r="B22" t="s">
        <v>1055</v>
      </c>
      <c r="C22">
        <v>117</v>
      </c>
      <c r="D22" t="s">
        <v>1038</v>
      </c>
      <c r="E22" s="1">
        <v>45071</v>
      </c>
      <c r="F22">
        <v>40</v>
      </c>
      <c r="G22">
        <v>4</v>
      </c>
      <c r="H22">
        <v>2023</v>
      </c>
      <c r="I22" t="s">
        <v>1052</v>
      </c>
      <c r="J22" t="s">
        <v>1019</v>
      </c>
      <c r="K22">
        <v>4</v>
      </c>
      <c r="T22" t="s">
        <v>2073</v>
      </c>
      <c r="U22">
        <v>5</v>
      </c>
    </row>
    <row r="23" spans="1:21" x14ac:dyDescent="0.3">
      <c r="A23" t="s">
        <v>1551</v>
      </c>
      <c r="B23" t="s">
        <v>1078</v>
      </c>
      <c r="C23">
        <v>104</v>
      </c>
      <c r="D23" t="s">
        <v>1038</v>
      </c>
      <c r="E23" s="1">
        <v>45073</v>
      </c>
      <c r="F23">
        <v>56</v>
      </c>
      <c r="G23">
        <v>3.4</v>
      </c>
      <c r="H23">
        <v>2023</v>
      </c>
      <c r="I23" t="s">
        <v>1062</v>
      </c>
      <c r="J23" t="s">
        <v>1019</v>
      </c>
      <c r="K23">
        <v>3</v>
      </c>
      <c r="T23" t="s">
        <v>2073</v>
      </c>
      <c r="U23">
        <v>5</v>
      </c>
    </row>
    <row r="24" spans="1:21" x14ac:dyDescent="0.3">
      <c r="A24" t="s">
        <v>1552</v>
      </c>
      <c r="B24" t="s">
        <v>1078</v>
      </c>
      <c r="C24">
        <v>101</v>
      </c>
      <c r="D24" t="s">
        <v>1038</v>
      </c>
      <c r="E24" s="1">
        <v>45073</v>
      </c>
      <c r="F24">
        <v>185</v>
      </c>
      <c r="G24">
        <v>5</v>
      </c>
      <c r="H24">
        <v>2023</v>
      </c>
      <c r="I24" t="s">
        <v>1062</v>
      </c>
      <c r="J24" t="s">
        <v>1019</v>
      </c>
      <c r="K24">
        <v>5</v>
      </c>
      <c r="T24" t="s">
        <v>2073</v>
      </c>
      <c r="U24">
        <v>5</v>
      </c>
    </row>
    <row r="25" spans="1:21" x14ac:dyDescent="0.3">
      <c r="A25" t="s">
        <v>1556</v>
      </c>
      <c r="B25" t="s">
        <v>1028</v>
      </c>
      <c r="C25">
        <v>98</v>
      </c>
      <c r="D25" t="s">
        <v>1038</v>
      </c>
      <c r="E25" s="1">
        <v>45075</v>
      </c>
      <c r="F25">
        <v>35</v>
      </c>
      <c r="G25">
        <v>4.5</v>
      </c>
      <c r="H25">
        <v>2023</v>
      </c>
      <c r="I25" t="s">
        <v>1030</v>
      </c>
      <c r="J25" t="s">
        <v>1019</v>
      </c>
      <c r="K25">
        <v>5</v>
      </c>
      <c r="T25" t="s">
        <v>2073</v>
      </c>
      <c r="U25">
        <v>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E6308-947D-4000-8709-5722B9C131DD}">
  <dimension ref="A1:U26"/>
  <sheetViews>
    <sheetView workbookViewId="0"/>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 min="20" max="20" width="27.33203125" bestFit="1" customWidth="1"/>
    <col min="21" max="21" width="32.44140625" bestFit="1" customWidth="1"/>
  </cols>
  <sheetData>
    <row r="1" spans="1:21" x14ac:dyDescent="0.3">
      <c r="A1" s="15" t="s">
        <v>2122</v>
      </c>
    </row>
    <row r="3" spans="1:21"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c r="T3" t="s">
        <v>2107</v>
      </c>
      <c r="U3" t="s">
        <v>2108</v>
      </c>
    </row>
    <row r="4" spans="1:21" x14ac:dyDescent="0.3">
      <c r="A4" t="s">
        <v>1484</v>
      </c>
      <c r="B4" t="s">
        <v>1021</v>
      </c>
      <c r="C4">
        <v>112</v>
      </c>
      <c r="D4" t="s">
        <v>1042</v>
      </c>
      <c r="E4" s="1">
        <v>45047</v>
      </c>
      <c r="F4">
        <v>84</v>
      </c>
      <c r="G4">
        <v>2.6</v>
      </c>
      <c r="H4">
        <v>2023</v>
      </c>
      <c r="I4" t="s">
        <v>1030</v>
      </c>
      <c r="J4" t="s">
        <v>1019</v>
      </c>
      <c r="K4">
        <v>3</v>
      </c>
      <c r="T4" t="s">
        <v>2073</v>
      </c>
      <c r="U4">
        <v>5</v>
      </c>
    </row>
    <row r="5" spans="1:21" x14ac:dyDescent="0.3">
      <c r="A5" t="s">
        <v>1489</v>
      </c>
      <c r="B5" t="s">
        <v>1045</v>
      </c>
      <c r="C5">
        <v>41</v>
      </c>
      <c r="D5" t="s">
        <v>1042</v>
      </c>
      <c r="E5" s="1">
        <v>45048</v>
      </c>
      <c r="F5">
        <v>123</v>
      </c>
      <c r="G5">
        <v>3.2</v>
      </c>
      <c r="H5">
        <v>2023</v>
      </c>
      <c r="I5" t="s">
        <v>1033</v>
      </c>
      <c r="J5" t="s">
        <v>1034</v>
      </c>
      <c r="K5">
        <v>3</v>
      </c>
      <c r="T5" t="s">
        <v>2073</v>
      </c>
      <c r="U5">
        <v>5</v>
      </c>
    </row>
    <row r="6" spans="1:21" x14ac:dyDescent="0.3">
      <c r="A6" t="s">
        <v>1492</v>
      </c>
      <c r="B6" t="s">
        <v>1055</v>
      </c>
      <c r="C6">
        <v>61</v>
      </c>
      <c r="D6" t="s">
        <v>1042</v>
      </c>
      <c r="E6" s="1">
        <v>45049</v>
      </c>
      <c r="F6">
        <v>115</v>
      </c>
      <c r="G6">
        <v>3.7</v>
      </c>
      <c r="H6">
        <v>2023</v>
      </c>
      <c r="I6" t="s">
        <v>1048</v>
      </c>
      <c r="J6" t="s">
        <v>1019</v>
      </c>
      <c r="K6">
        <v>4</v>
      </c>
      <c r="T6" t="s">
        <v>2073</v>
      </c>
      <c r="U6">
        <v>5</v>
      </c>
    </row>
    <row r="7" spans="1:21" x14ac:dyDescent="0.3">
      <c r="A7" t="s">
        <v>1493</v>
      </c>
      <c r="B7" t="s">
        <v>1016</v>
      </c>
      <c r="C7">
        <v>91</v>
      </c>
      <c r="D7" t="s">
        <v>1042</v>
      </c>
      <c r="E7" s="1">
        <v>45049</v>
      </c>
      <c r="F7">
        <v>124</v>
      </c>
      <c r="G7">
        <v>3.9</v>
      </c>
      <c r="H7">
        <v>2023</v>
      </c>
      <c r="I7" t="s">
        <v>1048</v>
      </c>
      <c r="J7" t="s">
        <v>1019</v>
      </c>
      <c r="K7">
        <v>4</v>
      </c>
      <c r="T7" t="s">
        <v>2073</v>
      </c>
      <c r="U7">
        <v>5</v>
      </c>
    </row>
    <row r="8" spans="1:21" x14ac:dyDescent="0.3">
      <c r="A8" t="s">
        <v>1494</v>
      </c>
      <c r="B8" t="s">
        <v>1078</v>
      </c>
      <c r="C8">
        <v>30</v>
      </c>
      <c r="D8" t="s">
        <v>1042</v>
      </c>
      <c r="E8" s="1">
        <v>45050</v>
      </c>
      <c r="F8">
        <v>205</v>
      </c>
      <c r="G8">
        <v>4.5</v>
      </c>
      <c r="H8">
        <v>2023</v>
      </c>
      <c r="I8" t="s">
        <v>1052</v>
      </c>
      <c r="J8" t="s">
        <v>1056</v>
      </c>
      <c r="K8">
        <v>5</v>
      </c>
      <c r="T8" t="s">
        <v>2073</v>
      </c>
      <c r="U8">
        <v>5</v>
      </c>
    </row>
    <row r="9" spans="1:21" x14ac:dyDescent="0.3">
      <c r="A9" t="s">
        <v>1503</v>
      </c>
      <c r="B9" t="s">
        <v>1016</v>
      </c>
      <c r="C9">
        <v>114</v>
      </c>
      <c r="D9" t="s">
        <v>1042</v>
      </c>
      <c r="E9" s="1">
        <v>45054</v>
      </c>
      <c r="F9">
        <v>105</v>
      </c>
      <c r="G9">
        <v>4.9000000000000004</v>
      </c>
      <c r="H9">
        <v>2023</v>
      </c>
      <c r="I9" t="s">
        <v>1030</v>
      </c>
      <c r="J9" t="s">
        <v>1019</v>
      </c>
      <c r="K9">
        <v>5</v>
      </c>
      <c r="T9" t="s">
        <v>2073</v>
      </c>
      <c r="U9">
        <v>5</v>
      </c>
    </row>
    <row r="10" spans="1:21" x14ac:dyDescent="0.3">
      <c r="A10" t="s">
        <v>1506</v>
      </c>
      <c r="B10" t="s">
        <v>1028</v>
      </c>
      <c r="C10">
        <v>44</v>
      </c>
      <c r="D10" t="s">
        <v>1042</v>
      </c>
      <c r="E10" s="1">
        <v>45054</v>
      </c>
      <c r="F10">
        <v>63</v>
      </c>
      <c r="G10">
        <v>3.5</v>
      </c>
      <c r="H10">
        <v>2023</v>
      </c>
      <c r="I10" t="s">
        <v>1030</v>
      </c>
      <c r="J10" t="s">
        <v>1034</v>
      </c>
      <c r="K10">
        <v>4</v>
      </c>
      <c r="T10" t="s">
        <v>2073</v>
      </c>
      <c r="U10">
        <v>5</v>
      </c>
    </row>
    <row r="11" spans="1:21" x14ac:dyDescent="0.3">
      <c r="A11" t="s">
        <v>1512</v>
      </c>
      <c r="B11" t="s">
        <v>1028</v>
      </c>
      <c r="C11">
        <v>144</v>
      </c>
      <c r="D11" t="s">
        <v>1042</v>
      </c>
      <c r="E11" s="1">
        <v>45058</v>
      </c>
      <c r="F11">
        <v>62</v>
      </c>
      <c r="G11">
        <v>4.8</v>
      </c>
      <c r="H11">
        <v>2023</v>
      </c>
      <c r="I11" t="s">
        <v>411</v>
      </c>
      <c r="J11" t="s">
        <v>1031</v>
      </c>
      <c r="K11">
        <v>5</v>
      </c>
      <c r="T11" t="s">
        <v>2073</v>
      </c>
      <c r="U11">
        <v>5</v>
      </c>
    </row>
    <row r="12" spans="1:21" x14ac:dyDescent="0.3">
      <c r="A12" t="s">
        <v>1524</v>
      </c>
      <c r="B12" t="s">
        <v>1041</v>
      </c>
      <c r="C12">
        <v>19</v>
      </c>
      <c r="D12" t="s">
        <v>1042</v>
      </c>
      <c r="E12" s="1">
        <v>45064</v>
      </c>
      <c r="F12">
        <v>132</v>
      </c>
      <c r="G12">
        <v>4.3</v>
      </c>
      <c r="H12">
        <v>2023</v>
      </c>
      <c r="I12" t="s">
        <v>1052</v>
      </c>
      <c r="J12" t="s">
        <v>1056</v>
      </c>
      <c r="K12">
        <v>4</v>
      </c>
      <c r="T12" t="s">
        <v>2073</v>
      </c>
      <c r="U12">
        <v>5</v>
      </c>
    </row>
    <row r="13" spans="1:21" x14ac:dyDescent="0.3">
      <c r="A13" t="s">
        <v>1525</v>
      </c>
      <c r="B13" t="s">
        <v>1055</v>
      </c>
      <c r="C13">
        <v>104</v>
      </c>
      <c r="D13" t="s">
        <v>1042</v>
      </c>
      <c r="E13" s="1">
        <v>45065</v>
      </c>
      <c r="F13">
        <v>68</v>
      </c>
      <c r="G13">
        <v>3.7</v>
      </c>
      <c r="H13">
        <v>2023</v>
      </c>
      <c r="I13" t="s">
        <v>411</v>
      </c>
      <c r="J13" t="s">
        <v>1019</v>
      </c>
      <c r="K13">
        <v>4</v>
      </c>
      <c r="T13" t="s">
        <v>2073</v>
      </c>
      <c r="U13">
        <v>5</v>
      </c>
    </row>
    <row r="14" spans="1:21" x14ac:dyDescent="0.3">
      <c r="A14" t="s">
        <v>1527</v>
      </c>
      <c r="B14" t="s">
        <v>1068</v>
      </c>
      <c r="C14">
        <v>107</v>
      </c>
      <c r="D14" t="s">
        <v>1042</v>
      </c>
      <c r="E14" s="1">
        <v>45067</v>
      </c>
      <c r="F14">
        <v>115</v>
      </c>
      <c r="G14">
        <v>4.9000000000000004</v>
      </c>
      <c r="H14">
        <v>2023</v>
      </c>
      <c r="I14" t="s">
        <v>1018</v>
      </c>
      <c r="J14" t="s">
        <v>1019</v>
      </c>
      <c r="K14">
        <v>5</v>
      </c>
      <c r="T14" t="s">
        <v>2073</v>
      </c>
      <c r="U14">
        <v>5</v>
      </c>
    </row>
    <row r="15" spans="1:21" x14ac:dyDescent="0.3">
      <c r="A15" t="s">
        <v>1528</v>
      </c>
      <c r="B15" t="s">
        <v>1068</v>
      </c>
      <c r="C15">
        <v>93</v>
      </c>
      <c r="D15" t="s">
        <v>1042</v>
      </c>
      <c r="E15" s="1">
        <v>45067</v>
      </c>
      <c r="F15">
        <v>128</v>
      </c>
      <c r="G15">
        <v>3.9</v>
      </c>
      <c r="H15">
        <v>2023</v>
      </c>
      <c r="I15" t="s">
        <v>1018</v>
      </c>
      <c r="J15" t="s">
        <v>1019</v>
      </c>
      <c r="K15">
        <v>4</v>
      </c>
      <c r="T15" t="s">
        <v>2073</v>
      </c>
      <c r="U15">
        <v>5</v>
      </c>
    </row>
    <row r="16" spans="1:21" x14ac:dyDescent="0.3">
      <c r="A16" t="s">
        <v>1531</v>
      </c>
      <c r="B16" t="s">
        <v>1041</v>
      </c>
      <c r="C16">
        <v>64</v>
      </c>
      <c r="D16" t="s">
        <v>1042</v>
      </c>
      <c r="E16" s="1">
        <v>45068</v>
      </c>
      <c r="F16">
        <v>132</v>
      </c>
      <c r="G16">
        <v>3.3</v>
      </c>
      <c r="H16">
        <v>2023</v>
      </c>
      <c r="I16" t="s">
        <v>1030</v>
      </c>
      <c r="J16" t="s">
        <v>1019</v>
      </c>
      <c r="K16">
        <v>3</v>
      </c>
      <c r="T16" t="s">
        <v>2073</v>
      </c>
      <c r="U16">
        <v>5</v>
      </c>
    </row>
    <row r="17" spans="1:21" x14ac:dyDescent="0.3">
      <c r="A17" t="s">
        <v>1532</v>
      </c>
      <c r="B17" t="s">
        <v>1028</v>
      </c>
      <c r="C17">
        <v>33</v>
      </c>
      <c r="D17" t="s">
        <v>1042</v>
      </c>
      <c r="E17" s="1">
        <v>45068</v>
      </c>
      <c r="F17">
        <v>170</v>
      </c>
      <c r="G17">
        <v>3.8</v>
      </c>
      <c r="H17">
        <v>2023</v>
      </c>
      <c r="I17" t="s">
        <v>1030</v>
      </c>
      <c r="J17" t="s">
        <v>1034</v>
      </c>
      <c r="K17">
        <v>4</v>
      </c>
      <c r="T17" t="s">
        <v>2073</v>
      </c>
      <c r="U17">
        <v>5</v>
      </c>
    </row>
    <row r="18" spans="1:21" x14ac:dyDescent="0.3">
      <c r="A18" t="s">
        <v>1538</v>
      </c>
      <c r="B18" t="s">
        <v>1059</v>
      </c>
      <c r="C18">
        <v>133</v>
      </c>
      <c r="D18" t="s">
        <v>1042</v>
      </c>
      <c r="E18" s="1">
        <v>45070</v>
      </c>
      <c r="F18">
        <v>31</v>
      </c>
      <c r="G18">
        <v>3.7</v>
      </c>
      <c r="H18">
        <v>2023</v>
      </c>
      <c r="I18" t="s">
        <v>1048</v>
      </c>
      <c r="J18" t="s">
        <v>1031</v>
      </c>
      <c r="K18">
        <v>4</v>
      </c>
      <c r="T18" t="s">
        <v>2073</v>
      </c>
      <c r="U18">
        <v>5</v>
      </c>
    </row>
    <row r="19" spans="1:21" x14ac:dyDescent="0.3">
      <c r="A19" t="s">
        <v>1541</v>
      </c>
      <c r="B19" t="s">
        <v>1028</v>
      </c>
      <c r="C19">
        <v>146</v>
      </c>
      <c r="D19" t="s">
        <v>1042</v>
      </c>
      <c r="E19" s="1">
        <v>45071</v>
      </c>
      <c r="F19">
        <v>123</v>
      </c>
      <c r="G19">
        <v>4.3</v>
      </c>
      <c r="H19">
        <v>2023</v>
      </c>
      <c r="I19" t="s">
        <v>1052</v>
      </c>
      <c r="J19" t="s">
        <v>1031</v>
      </c>
      <c r="K19">
        <v>4</v>
      </c>
      <c r="T19" t="s">
        <v>2073</v>
      </c>
      <c r="U19">
        <v>5</v>
      </c>
    </row>
    <row r="20" spans="1:21" x14ac:dyDescent="0.3">
      <c r="A20" t="s">
        <v>1542</v>
      </c>
      <c r="B20" t="s">
        <v>1098</v>
      </c>
      <c r="C20">
        <v>148</v>
      </c>
      <c r="D20" t="s">
        <v>1042</v>
      </c>
      <c r="E20" s="1">
        <v>45071</v>
      </c>
      <c r="F20">
        <v>36</v>
      </c>
      <c r="G20">
        <v>2.9</v>
      </c>
      <c r="H20">
        <v>2023</v>
      </c>
      <c r="I20" t="s">
        <v>1052</v>
      </c>
      <c r="J20" t="s">
        <v>1031</v>
      </c>
      <c r="K20">
        <v>3</v>
      </c>
      <c r="T20" t="s">
        <v>2073</v>
      </c>
      <c r="U20">
        <v>5</v>
      </c>
    </row>
    <row r="21" spans="1:21" x14ac:dyDescent="0.3">
      <c r="A21" t="s">
        <v>1543</v>
      </c>
      <c r="B21" t="s">
        <v>1045</v>
      </c>
      <c r="C21">
        <v>81</v>
      </c>
      <c r="D21" t="s">
        <v>1042</v>
      </c>
      <c r="E21" s="1">
        <v>45071</v>
      </c>
      <c r="F21">
        <v>116</v>
      </c>
      <c r="G21">
        <v>4.3</v>
      </c>
      <c r="H21">
        <v>2023</v>
      </c>
      <c r="I21" t="s">
        <v>1052</v>
      </c>
      <c r="J21" t="s">
        <v>1019</v>
      </c>
      <c r="K21">
        <v>4</v>
      </c>
      <c r="T21" t="s">
        <v>2073</v>
      </c>
      <c r="U21">
        <v>5</v>
      </c>
    </row>
    <row r="22" spans="1:21" x14ac:dyDescent="0.3">
      <c r="A22" t="s">
        <v>1544</v>
      </c>
      <c r="B22" t="s">
        <v>1055</v>
      </c>
      <c r="C22">
        <v>115</v>
      </c>
      <c r="D22" t="s">
        <v>1042</v>
      </c>
      <c r="E22" s="1">
        <v>45071</v>
      </c>
      <c r="F22">
        <v>40</v>
      </c>
      <c r="G22">
        <v>4.9000000000000004</v>
      </c>
      <c r="H22">
        <v>2023</v>
      </c>
      <c r="I22" t="s">
        <v>1052</v>
      </c>
      <c r="J22" t="s">
        <v>1019</v>
      </c>
      <c r="K22">
        <v>5</v>
      </c>
      <c r="T22" t="s">
        <v>2073</v>
      </c>
      <c r="U22">
        <v>5</v>
      </c>
    </row>
    <row r="23" spans="1:21" x14ac:dyDescent="0.3">
      <c r="A23" t="s">
        <v>1555</v>
      </c>
      <c r="B23" t="s">
        <v>1041</v>
      </c>
      <c r="C23">
        <v>122</v>
      </c>
      <c r="D23" t="s">
        <v>1042</v>
      </c>
      <c r="E23" s="1">
        <v>45074</v>
      </c>
      <c r="F23">
        <v>45</v>
      </c>
      <c r="G23">
        <v>4.2</v>
      </c>
      <c r="H23">
        <v>2023</v>
      </c>
      <c r="I23" t="s">
        <v>1018</v>
      </c>
      <c r="J23" t="s">
        <v>1031</v>
      </c>
      <c r="K23">
        <v>4</v>
      </c>
      <c r="T23" t="s">
        <v>2073</v>
      </c>
      <c r="U23">
        <v>5</v>
      </c>
    </row>
    <row r="24" spans="1:21" x14ac:dyDescent="0.3">
      <c r="A24" t="s">
        <v>1559</v>
      </c>
      <c r="B24" t="s">
        <v>1041</v>
      </c>
      <c r="C24">
        <v>134</v>
      </c>
      <c r="D24" t="s">
        <v>1042</v>
      </c>
      <c r="E24" s="1">
        <v>45076</v>
      </c>
      <c r="F24">
        <v>120</v>
      </c>
      <c r="G24">
        <v>3</v>
      </c>
      <c r="H24">
        <v>2023</v>
      </c>
      <c r="I24" t="s">
        <v>1033</v>
      </c>
      <c r="J24" t="s">
        <v>1031</v>
      </c>
      <c r="K24">
        <v>3</v>
      </c>
      <c r="T24" t="s">
        <v>2073</v>
      </c>
      <c r="U24">
        <v>5</v>
      </c>
    </row>
    <row r="25" spans="1:21" x14ac:dyDescent="0.3">
      <c r="A25" t="s">
        <v>1562</v>
      </c>
      <c r="B25" t="s">
        <v>1059</v>
      </c>
      <c r="C25">
        <v>95</v>
      </c>
      <c r="D25" t="s">
        <v>1042</v>
      </c>
      <c r="E25" s="1">
        <v>45076</v>
      </c>
      <c r="F25">
        <v>86</v>
      </c>
      <c r="G25">
        <v>3.6</v>
      </c>
      <c r="H25">
        <v>2023</v>
      </c>
      <c r="I25" t="s">
        <v>1033</v>
      </c>
      <c r="J25" t="s">
        <v>1019</v>
      </c>
      <c r="K25">
        <v>4</v>
      </c>
      <c r="T25" t="s">
        <v>2073</v>
      </c>
      <c r="U25">
        <v>5</v>
      </c>
    </row>
    <row r="26" spans="1:21" x14ac:dyDescent="0.3">
      <c r="A26" t="s">
        <v>1563</v>
      </c>
      <c r="B26" t="s">
        <v>1041</v>
      </c>
      <c r="C26">
        <v>106</v>
      </c>
      <c r="D26" t="s">
        <v>1042</v>
      </c>
      <c r="E26" s="1">
        <v>45077</v>
      </c>
      <c r="F26">
        <v>120</v>
      </c>
      <c r="G26">
        <v>4.0999999999999996</v>
      </c>
      <c r="H26">
        <v>2023</v>
      </c>
      <c r="I26" t="s">
        <v>1048</v>
      </c>
      <c r="J26" t="s">
        <v>1019</v>
      </c>
      <c r="K26">
        <v>4</v>
      </c>
      <c r="T26" t="s">
        <v>2073</v>
      </c>
      <c r="U26">
        <v>5</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C517-172D-4175-8AA1-1583BB8A7453}">
  <dimension ref="A1:U392"/>
  <sheetViews>
    <sheetView workbookViewId="0"/>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 min="20" max="20" width="27.33203125" bestFit="1" customWidth="1"/>
    <col min="21" max="21" width="32.44140625" bestFit="1" customWidth="1"/>
  </cols>
  <sheetData>
    <row r="1" spans="1:21" x14ac:dyDescent="0.3">
      <c r="A1" s="15" t="s">
        <v>2130</v>
      </c>
    </row>
    <row r="3" spans="1:21"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c r="T3" t="s">
        <v>2107</v>
      </c>
      <c r="U3" t="s">
        <v>2108</v>
      </c>
    </row>
    <row r="4" spans="1:21" x14ac:dyDescent="0.3">
      <c r="A4" t="s">
        <v>1035</v>
      </c>
      <c r="B4" t="s">
        <v>1036</v>
      </c>
      <c r="C4">
        <v>84</v>
      </c>
      <c r="D4" t="s">
        <v>1017</v>
      </c>
      <c r="E4" s="1">
        <v>44929</v>
      </c>
      <c r="F4">
        <v>60</v>
      </c>
      <c r="G4">
        <v>4.7</v>
      </c>
      <c r="H4">
        <v>2023</v>
      </c>
      <c r="I4" t="s">
        <v>1033</v>
      </c>
      <c r="J4" t="s">
        <v>1019</v>
      </c>
      <c r="K4">
        <v>5</v>
      </c>
      <c r="P4" t="s">
        <v>1036</v>
      </c>
      <c r="Q4" t="s">
        <v>11</v>
      </c>
      <c r="R4">
        <v>22</v>
      </c>
      <c r="S4" t="s">
        <v>2057</v>
      </c>
      <c r="T4" t="s">
        <v>2069</v>
      </c>
      <c r="U4">
        <v>1</v>
      </c>
    </row>
    <row r="5" spans="1:21" x14ac:dyDescent="0.3">
      <c r="A5" t="s">
        <v>1040</v>
      </c>
      <c r="B5" t="s">
        <v>1041</v>
      </c>
      <c r="C5">
        <v>44</v>
      </c>
      <c r="D5" t="s">
        <v>1042</v>
      </c>
      <c r="E5" s="1">
        <v>44929</v>
      </c>
      <c r="F5">
        <v>105</v>
      </c>
      <c r="G5">
        <v>2.9</v>
      </c>
      <c r="H5">
        <v>2023</v>
      </c>
      <c r="I5" t="s">
        <v>1033</v>
      </c>
      <c r="J5" t="s">
        <v>1034</v>
      </c>
      <c r="K5">
        <v>3</v>
      </c>
      <c r="P5" t="s">
        <v>1041</v>
      </c>
      <c r="Q5" t="s">
        <v>11</v>
      </c>
      <c r="R5">
        <v>30</v>
      </c>
      <c r="S5" t="s">
        <v>2057</v>
      </c>
      <c r="T5" t="s">
        <v>2069</v>
      </c>
      <c r="U5">
        <v>1</v>
      </c>
    </row>
    <row r="6" spans="1:21" x14ac:dyDescent="0.3">
      <c r="A6" t="s">
        <v>1044</v>
      </c>
      <c r="B6" t="s">
        <v>1045</v>
      </c>
      <c r="C6">
        <v>135</v>
      </c>
      <c r="D6" t="s">
        <v>1017</v>
      </c>
      <c r="E6" s="1">
        <v>44929</v>
      </c>
      <c r="F6">
        <v>46</v>
      </c>
      <c r="G6">
        <v>3.4</v>
      </c>
      <c r="H6">
        <v>2023</v>
      </c>
      <c r="I6" t="s">
        <v>1033</v>
      </c>
      <c r="J6" t="s">
        <v>1031</v>
      </c>
      <c r="K6">
        <v>3</v>
      </c>
      <c r="P6" t="s">
        <v>1068</v>
      </c>
      <c r="Q6" t="s">
        <v>11</v>
      </c>
      <c r="R6">
        <v>28</v>
      </c>
      <c r="S6" t="s">
        <v>2058</v>
      </c>
      <c r="T6" t="s">
        <v>2069</v>
      </c>
      <c r="U6">
        <v>1</v>
      </c>
    </row>
    <row r="7" spans="1:21" x14ac:dyDescent="0.3">
      <c r="A7" t="s">
        <v>1046</v>
      </c>
      <c r="B7" t="s">
        <v>1047</v>
      </c>
      <c r="C7">
        <v>98</v>
      </c>
      <c r="D7" t="s">
        <v>1024</v>
      </c>
      <c r="E7" s="1">
        <v>44930</v>
      </c>
      <c r="F7">
        <v>108</v>
      </c>
      <c r="G7">
        <v>3.5</v>
      </c>
      <c r="H7">
        <v>2023</v>
      </c>
      <c r="I7" t="s">
        <v>1048</v>
      </c>
      <c r="J7" t="s">
        <v>1019</v>
      </c>
      <c r="K7">
        <v>4</v>
      </c>
      <c r="P7" t="s">
        <v>1045</v>
      </c>
      <c r="Q7" t="s">
        <v>11</v>
      </c>
      <c r="R7">
        <v>37</v>
      </c>
      <c r="S7" t="s">
        <v>2057</v>
      </c>
      <c r="T7" t="s">
        <v>2069</v>
      </c>
      <c r="U7">
        <v>1</v>
      </c>
    </row>
    <row r="8" spans="1:21" x14ac:dyDescent="0.3">
      <c r="A8" t="s">
        <v>1049</v>
      </c>
      <c r="B8" t="s">
        <v>1041</v>
      </c>
      <c r="C8">
        <v>139</v>
      </c>
      <c r="D8" t="s">
        <v>1024</v>
      </c>
      <c r="E8" s="1">
        <v>44930</v>
      </c>
      <c r="F8">
        <v>96</v>
      </c>
      <c r="G8">
        <v>4</v>
      </c>
      <c r="H8">
        <v>2023</v>
      </c>
      <c r="I8" t="s">
        <v>1048</v>
      </c>
      <c r="J8" t="s">
        <v>1031</v>
      </c>
      <c r="K8">
        <v>4</v>
      </c>
      <c r="P8" t="s">
        <v>1026</v>
      </c>
      <c r="Q8" t="s">
        <v>11</v>
      </c>
      <c r="R8">
        <v>38</v>
      </c>
      <c r="S8" t="s">
        <v>2056</v>
      </c>
      <c r="T8" t="s">
        <v>2069</v>
      </c>
      <c r="U8">
        <v>1</v>
      </c>
    </row>
    <row r="9" spans="1:21" x14ac:dyDescent="0.3">
      <c r="A9" t="s">
        <v>1050</v>
      </c>
      <c r="B9" t="s">
        <v>1045</v>
      </c>
      <c r="C9">
        <v>48</v>
      </c>
      <c r="D9" t="s">
        <v>1029</v>
      </c>
      <c r="E9" s="1">
        <v>44930</v>
      </c>
      <c r="F9">
        <v>68</v>
      </c>
      <c r="G9">
        <v>4.9000000000000004</v>
      </c>
      <c r="H9">
        <v>2023</v>
      </c>
      <c r="I9" t="s">
        <v>1048</v>
      </c>
      <c r="J9" t="s">
        <v>1034</v>
      </c>
      <c r="K9">
        <v>5</v>
      </c>
      <c r="P9" t="s">
        <v>1065</v>
      </c>
      <c r="Q9" t="s">
        <v>11</v>
      </c>
      <c r="R9">
        <v>43</v>
      </c>
      <c r="S9" t="s">
        <v>2057</v>
      </c>
      <c r="T9" t="s">
        <v>2069</v>
      </c>
      <c r="U9">
        <v>1</v>
      </c>
    </row>
    <row r="10" spans="1:21" x14ac:dyDescent="0.3">
      <c r="A10" t="s">
        <v>1051</v>
      </c>
      <c r="B10" t="s">
        <v>1041</v>
      </c>
      <c r="C10">
        <v>176</v>
      </c>
      <c r="D10" t="s">
        <v>1017</v>
      </c>
      <c r="E10" s="1">
        <v>44931</v>
      </c>
      <c r="F10">
        <v>24</v>
      </c>
      <c r="G10">
        <v>4.8</v>
      </c>
      <c r="H10">
        <v>2023</v>
      </c>
      <c r="I10" t="s">
        <v>1052</v>
      </c>
      <c r="J10" t="s">
        <v>1031</v>
      </c>
      <c r="K10">
        <v>5</v>
      </c>
      <c r="T10" t="s">
        <v>2069</v>
      </c>
      <c r="U10">
        <v>1</v>
      </c>
    </row>
    <row r="11" spans="1:21" x14ac:dyDescent="0.3">
      <c r="A11" t="s">
        <v>1053</v>
      </c>
      <c r="B11" t="s">
        <v>1041</v>
      </c>
      <c r="C11">
        <v>99</v>
      </c>
      <c r="D11" t="s">
        <v>1029</v>
      </c>
      <c r="E11" s="1">
        <v>44931</v>
      </c>
      <c r="F11">
        <v>195</v>
      </c>
      <c r="G11">
        <v>3.9</v>
      </c>
      <c r="H11">
        <v>2023</v>
      </c>
      <c r="I11" t="s">
        <v>1052</v>
      </c>
      <c r="J11" t="s">
        <v>1019</v>
      </c>
      <c r="K11">
        <v>4</v>
      </c>
      <c r="T11" t="s">
        <v>2069</v>
      </c>
      <c r="U11">
        <v>1</v>
      </c>
    </row>
    <row r="12" spans="1:21" x14ac:dyDescent="0.3">
      <c r="A12" t="s">
        <v>1057</v>
      </c>
      <c r="B12" t="s">
        <v>1036</v>
      </c>
      <c r="C12">
        <v>54</v>
      </c>
      <c r="D12" t="s">
        <v>1024</v>
      </c>
      <c r="E12" s="1">
        <v>44931</v>
      </c>
      <c r="F12">
        <v>170</v>
      </c>
      <c r="G12">
        <v>4.3</v>
      </c>
      <c r="H12">
        <v>2023</v>
      </c>
      <c r="I12" t="s">
        <v>1052</v>
      </c>
      <c r="J12" t="s">
        <v>1034</v>
      </c>
      <c r="K12">
        <v>4</v>
      </c>
      <c r="T12" t="s">
        <v>2069</v>
      </c>
      <c r="U12">
        <v>1</v>
      </c>
    </row>
    <row r="13" spans="1:21" x14ac:dyDescent="0.3">
      <c r="A13" t="s">
        <v>1064</v>
      </c>
      <c r="B13" t="s">
        <v>1065</v>
      </c>
      <c r="C13">
        <v>58</v>
      </c>
      <c r="D13" t="s">
        <v>1024</v>
      </c>
      <c r="E13" s="1">
        <v>44934</v>
      </c>
      <c r="F13">
        <v>140</v>
      </c>
      <c r="G13">
        <v>2.1</v>
      </c>
      <c r="H13">
        <v>2023</v>
      </c>
      <c r="I13" t="s">
        <v>1018</v>
      </c>
      <c r="J13" t="s">
        <v>1034</v>
      </c>
      <c r="K13">
        <v>2</v>
      </c>
      <c r="T13" t="s">
        <v>2069</v>
      </c>
      <c r="U13">
        <v>1</v>
      </c>
    </row>
    <row r="14" spans="1:21" x14ac:dyDescent="0.3">
      <c r="A14" t="s">
        <v>1066</v>
      </c>
      <c r="B14" t="s">
        <v>1041</v>
      </c>
      <c r="C14">
        <v>54</v>
      </c>
      <c r="D14" t="s">
        <v>1029</v>
      </c>
      <c r="E14" s="1">
        <v>44934</v>
      </c>
      <c r="F14">
        <v>111</v>
      </c>
      <c r="G14">
        <v>3.3</v>
      </c>
      <c r="H14">
        <v>2023</v>
      </c>
      <c r="I14" t="s">
        <v>1018</v>
      </c>
      <c r="J14" t="s">
        <v>1034</v>
      </c>
      <c r="K14">
        <v>3</v>
      </c>
      <c r="T14" t="s">
        <v>2069</v>
      </c>
      <c r="U14">
        <v>1</v>
      </c>
    </row>
    <row r="15" spans="1:21" x14ac:dyDescent="0.3">
      <c r="A15" t="s">
        <v>1069</v>
      </c>
      <c r="B15" t="s">
        <v>1047</v>
      </c>
      <c r="C15">
        <v>73</v>
      </c>
      <c r="D15" t="s">
        <v>1017</v>
      </c>
      <c r="E15" s="1">
        <v>44935</v>
      </c>
      <c r="F15">
        <v>80</v>
      </c>
      <c r="G15">
        <v>4.2</v>
      </c>
      <c r="H15">
        <v>2023</v>
      </c>
      <c r="I15" t="s">
        <v>1030</v>
      </c>
      <c r="J15" t="s">
        <v>1019</v>
      </c>
      <c r="K15">
        <v>4</v>
      </c>
      <c r="T15" t="s">
        <v>2069</v>
      </c>
      <c r="U15">
        <v>1</v>
      </c>
    </row>
    <row r="16" spans="1:21" x14ac:dyDescent="0.3">
      <c r="A16" t="s">
        <v>1072</v>
      </c>
      <c r="B16" t="s">
        <v>1065</v>
      </c>
      <c r="C16">
        <v>155</v>
      </c>
      <c r="D16" t="s">
        <v>1029</v>
      </c>
      <c r="E16" s="1">
        <v>44936</v>
      </c>
      <c r="F16">
        <v>110</v>
      </c>
      <c r="G16">
        <v>4.8</v>
      </c>
      <c r="H16">
        <v>2023</v>
      </c>
      <c r="I16" t="s">
        <v>1033</v>
      </c>
      <c r="J16" t="s">
        <v>1031</v>
      </c>
      <c r="K16">
        <v>5</v>
      </c>
      <c r="T16" t="s">
        <v>2069</v>
      </c>
      <c r="U16">
        <v>1</v>
      </c>
    </row>
    <row r="17" spans="1:21" x14ac:dyDescent="0.3">
      <c r="A17" t="s">
        <v>1080</v>
      </c>
      <c r="B17" t="s">
        <v>1065</v>
      </c>
      <c r="C17">
        <v>94</v>
      </c>
      <c r="D17" t="s">
        <v>1042</v>
      </c>
      <c r="E17" s="1">
        <v>44942</v>
      </c>
      <c r="F17">
        <v>120</v>
      </c>
      <c r="G17">
        <v>3.1</v>
      </c>
      <c r="H17">
        <v>2023</v>
      </c>
      <c r="I17" t="s">
        <v>1030</v>
      </c>
      <c r="J17" t="s">
        <v>1019</v>
      </c>
      <c r="K17">
        <v>3</v>
      </c>
      <c r="T17" t="s">
        <v>2069</v>
      </c>
      <c r="U17">
        <v>1</v>
      </c>
    </row>
    <row r="18" spans="1:21" x14ac:dyDescent="0.3">
      <c r="A18" t="s">
        <v>1082</v>
      </c>
      <c r="B18" t="s">
        <v>1065</v>
      </c>
      <c r="C18">
        <v>81</v>
      </c>
      <c r="D18" t="s">
        <v>1038</v>
      </c>
      <c r="E18" s="1">
        <v>44943</v>
      </c>
      <c r="F18">
        <v>86</v>
      </c>
      <c r="G18">
        <v>2.4</v>
      </c>
      <c r="H18">
        <v>2023</v>
      </c>
      <c r="I18" t="s">
        <v>1033</v>
      </c>
      <c r="J18" t="s">
        <v>1019</v>
      </c>
      <c r="K18">
        <v>2</v>
      </c>
      <c r="T18" t="s">
        <v>2069</v>
      </c>
      <c r="U18">
        <v>1</v>
      </c>
    </row>
    <row r="19" spans="1:21" x14ac:dyDescent="0.3">
      <c r="A19" t="s">
        <v>1085</v>
      </c>
      <c r="B19" t="s">
        <v>1041</v>
      </c>
      <c r="C19">
        <v>105</v>
      </c>
      <c r="D19" t="s">
        <v>1024</v>
      </c>
      <c r="E19" s="1">
        <v>44944</v>
      </c>
      <c r="F19">
        <v>80</v>
      </c>
      <c r="G19">
        <v>4.7</v>
      </c>
      <c r="H19">
        <v>2023</v>
      </c>
      <c r="I19" t="s">
        <v>1048</v>
      </c>
      <c r="J19" t="s">
        <v>1019</v>
      </c>
      <c r="K19">
        <v>5</v>
      </c>
      <c r="T19" t="s">
        <v>2069</v>
      </c>
      <c r="U19">
        <v>1</v>
      </c>
    </row>
    <row r="20" spans="1:21" x14ac:dyDescent="0.3">
      <c r="A20" t="s">
        <v>1087</v>
      </c>
      <c r="B20" t="s">
        <v>1045</v>
      </c>
      <c r="C20">
        <v>132</v>
      </c>
      <c r="D20" t="s">
        <v>1042</v>
      </c>
      <c r="E20" s="1">
        <v>44944</v>
      </c>
      <c r="F20">
        <v>168</v>
      </c>
      <c r="G20">
        <v>4.0999999999999996</v>
      </c>
      <c r="H20">
        <v>2023</v>
      </c>
      <c r="I20" t="s">
        <v>1048</v>
      </c>
      <c r="J20" t="s">
        <v>1031</v>
      </c>
      <c r="K20">
        <v>4</v>
      </c>
      <c r="T20" t="s">
        <v>2069</v>
      </c>
      <c r="U20">
        <v>1</v>
      </c>
    </row>
    <row r="21" spans="1:21" x14ac:dyDescent="0.3">
      <c r="A21" t="s">
        <v>1094</v>
      </c>
      <c r="B21" t="s">
        <v>1047</v>
      </c>
      <c r="C21">
        <v>149</v>
      </c>
      <c r="D21" t="s">
        <v>1029</v>
      </c>
      <c r="E21" s="1">
        <v>44946</v>
      </c>
      <c r="F21">
        <v>72</v>
      </c>
      <c r="G21">
        <v>4.3</v>
      </c>
      <c r="H21">
        <v>2023</v>
      </c>
      <c r="I21" t="s">
        <v>411</v>
      </c>
      <c r="J21" t="s">
        <v>1031</v>
      </c>
      <c r="K21">
        <v>4</v>
      </c>
      <c r="T21" t="s">
        <v>2069</v>
      </c>
      <c r="U21">
        <v>1</v>
      </c>
    </row>
    <row r="22" spans="1:21" x14ac:dyDescent="0.3">
      <c r="A22" t="s">
        <v>1095</v>
      </c>
      <c r="B22" t="s">
        <v>1045</v>
      </c>
      <c r="C22">
        <v>100</v>
      </c>
      <c r="D22" t="s">
        <v>1038</v>
      </c>
      <c r="E22" s="1">
        <v>44947</v>
      </c>
      <c r="F22">
        <v>135</v>
      </c>
      <c r="G22">
        <v>3.8</v>
      </c>
      <c r="H22">
        <v>2023</v>
      </c>
      <c r="I22" t="s">
        <v>1062</v>
      </c>
      <c r="J22" t="s">
        <v>1019</v>
      </c>
      <c r="K22">
        <v>4</v>
      </c>
      <c r="T22" t="s">
        <v>2069</v>
      </c>
      <c r="U22">
        <v>1</v>
      </c>
    </row>
    <row r="23" spans="1:21" x14ac:dyDescent="0.3">
      <c r="A23" t="s">
        <v>1096</v>
      </c>
      <c r="B23" t="s">
        <v>1045</v>
      </c>
      <c r="C23">
        <v>79</v>
      </c>
      <c r="D23" t="s">
        <v>1042</v>
      </c>
      <c r="E23" s="1">
        <v>44947</v>
      </c>
      <c r="F23">
        <v>140</v>
      </c>
      <c r="G23">
        <v>4.5</v>
      </c>
      <c r="H23">
        <v>2023</v>
      </c>
      <c r="I23" t="s">
        <v>1062</v>
      </c>
      <c r="J23" t="s">
        <v>1019</v>
      </c>
      <c r="K23">
        <v>5</v>
      </c>
      <c r="T23" t="s">
        <v>2069</v>
      </c>
      <c r="U23">
        <v>1</v>
      </c>
    </row>
    <row r="24" spans="1:21" x14ac:dyDescent="0.3">
      <c r="A24" t="s">
        <v>1097</v>
      </c>
      <c r="B24" t="s">
        <v>1098</v>
      </c>
      <c r="C24">
        <v>157</v>
      </c>
      <c r="D24" t="s">
        <v>1029</v>
      </c>
      <c r="E24" s="1">
        <v>44947</v>
      </c>
      <c r="F24">
        <v>69</v>
      </c>
      <c r="G24">
        <v>4.5</v>
      </c>
      <c r="H24">
        <v>2023</v>
      </c>
      <c r="I24" t="s">
        <v>1062</v>
      </c>
      <c r="J24" t="s">
        <v>1031</v>
      </c>
      <c r="K24">
        <v>5</v>
      </c>
      <c r="T24" t="s">
        <v>2069</v>
      </c>
      <c r="U24">
        <v>1</v>
      </c>
    </row>
    <row r="25" spans="1:21" x14ac:dyDescent="0.3">
      <c r="A25" t="s">
        <v>1099</v>
      </c>
      <c r="B25" t="s">
        <v>1045</v>
      </c>
      <c r="C25">
        <v>59</v>
      </c>
      <c r="D25" t="s">
        <v>1017</v>
      </c>
      <c r="E25" s="1">
        <v>44948</v>
      </c>
      <c r="F25">
        <v>136</v>
      </c>
      <c r="G25">
        <v>4.5999999999999996</v>
      </c>
      <c r="H25">
        <v>2023</v>
      </c>
      <c r="I25" t="s">
        <v>1018</v>
      </c>
      <c r="J25" t="s">
        <v>1034</v>
      </c>
      <c r="K25">
        <v>5</v>
      </c>
      <c r="T25" t="s">
        <v>2069</v>
      </c>
      <c r="U25">
        <v>1</v>
      </c>
    </row>
    <row r="26" spans="1:21" x14ac:dyDescent="0.3">
      <c r="A26" t="s">
        <v>1101</v>
      </c>
      <c r="B26" t="s">
        <v>1098</v>
      </c>
      <c r="C26">
        <v>58</v>
      </c>
      <c r="D26" t="s">
        <v>1024</v>
      </c>
      <c r="E26" s="1">
        <v>44949</v>
      </c>
      <c r="F26">
        <v>135</v>
      </c>
      <c r="G26">
        <v>3.3</v>
      </c>
      <c r="H26">
        <v>2023</v>
      </c>
      <c r="I26" t="s">
        <v>1030</v>
      </c>
      <c r="J26" t="s">
        <v>1034</v>
      </c>
      <c r="K26">
        <v>3</v>
      </c>
      <c r="T26" t="s">
        <v>2069</v>
      </c>
      <c r="U26">
        <v>1</v>
      </c>
    </row>
    <row r="27" spans="1:21" x14ac:dyDescent="0.3">
      <c r="A27" t="s">
        <v>1102</v>
      </c>
      <c r="B27" t="s">
        <v>1065</v>
      </c>
      <c r="C27">
        <v>118</v>
      </c>
      <c r="D27" t="s">
        <v>1024</v>
      </c>
      <c r="E27" s="1">
        <v>44949</v>
      </c>
      <c r="F27">
        <v>126</v>
      </c>
      <c r="G27">
        <v>2.2999999999999998</v>
      </c>
      <c r="H27">
        <v>2023</v>
      </c>
      <c r="I27" t="s">
        <v>1030</v>
      </c>
      <c r="J27" t="s">
        <v>1019</v>
      </c>
      <c r="K27">
        <v>2</v>
      </c>
      <c r="T27" t="s">
        <v>2069</v>
      </c>
      <c r="U27">
        <v>1</v>
      </c>
    </row>
    <row r="28" spans="1:21" x14ac:dyDescent="0.3">
      <c r="A28" t="s">
        <v>1104</v>
      </c>
      <c r="B28" t="s">
        <v>1098</v>
      </c>
      <c r="C28">
        <v>95</v>
      </c>
      <c r="D28" t="s">
        <v>1024</v>
      </c>
      <c r="E28" s="1">
        <v>44950</v>
      </c>
      <c r="F28">
        <v>48</v>
      </c>
      <c r="G28">
        <v>4.5999999999999996</v>
      </c>
      <c r="H28">
        <v>2023</v>
      </c>
      <c r="I28" t="s">
        <v>1033</v>
      </c>
      <c r="J28" t="s">
        <v>1019</v>
      </c>
      <c r="K28">
        <v>5</v>
      </c>
      <c r="T28" t="s">
        <v>2069</v>
      </c>
      <c r="U28">
        <v>1</v>
      </c>
    </row>
    <row r="29" spans="1:21" x14ac:dyDescent="0.3">
      <c r="A29" t="s">
        <v>1105</v>
      </c>
      <c r="B29" t="s">
        <v>1045</v>
      </c>
      <c r="C29">
        <v>74</v>
      </c>
      <c r="D29" t="s">
        <v>1029</v>
      </c>
      <c r="E29" s="1">
        <v>44950</v>
      </c>
      <c r="F29">
        <v>66</v>
      </c>
      <c r="G29">
        <v>4</v>
      </c>
      <c r="H29">
        <v>2023</v>
      </c>
      <c r="I29" t="s">
        <v>1033</v>
      </c>
      <c r="J29" t="s">
        <v>1019</v>
      </c>
      <c r="K29">
        <v>4</v>
      </c>
      <c r="T29" t="s">
        <v>2069</v>
      </c>
      <c r="U29">
        <v>1</v>
      </c>
    </row>
    <row r="30" spans="1:21" x14ac:dyDescent="0.3">
      <c r="A30" t="s">
        <v>1106</v>
      </c>
      <c r="B30" t="s">
        <v>1041</v>
      </c>
      <c r="C30">
        <v>130</v>
      </c>
      <c r="D30" t="s">
        <v>1038</v>
      </c>
      <c r="E30" s="1">
        <v>44950</v>
      </c>
      <c r="F30">
        <v>126</v>
      </c>
      <c r="G30">
        <v>2.5</v>
      </c>
      <c r="H30">
        <v>2023</v>
      </c>
      <c r="I30" t="s">
        <v>1033</v>
      </c>
      <c r="J30" t="s">
        <v>1031</v>
      </c>
      <c r="K30">
        <v>3</v>
      </c>
      <c r="T30" t="s">
        <v>2069</v>
      </c>
      <c r="U30">
        <v>1</v>
      </c>
    </row>
    <row r="31" spans="1:21" x14ac:dyDescent="0.3">
      <c r="A31" t="s">
        <v>1107</v>
      </c>
      <c r="B31" t="s">
        <v>1065</v>
      </c>
      <c r="C31">
        <v>110</v>
      </c>
      <c r="D31" t="s">
        <v>1042</v>
      </c>
      <c r="E31" s="1">
        <v>44950</v>
      </c>
      <c r="F31">
        <v>96</v>
      </c>
      <c r="G31">
        <v>5</v>
      </c>
      <c r="H31">
        <v>2023</v>
      </c>
      <c r="I31" t="s">
        <v>1033</v>
      </c>
      <c r="J31" t="s">
        <v>1019</v>
      </c>
      <c r="K31">
        <v>5</v>
      </c>
      <c r="T31" t="s">
        <v>2069</v>
      </c>
      <c r="U31">
        <v>1</v>
      </c>
    </row>
    <row r="32" spans="1:21" x14ac:dyDescent="0.3">
      <c r="A32" t="s">
        <v>1108</v>
      </c>
      <c r="B32" t="s">
        <v>1045</v>
      </c>
      <c r="C32">
        <v>71</v>
      </c>
      <c r="D32" t="s">
        <v>1017</v>
      </c>
      <c r="E32" s="1">
        <v>44951</v>
      </c>
      <c r="F32">
        <v>90</v>
      </c>
      <c r="G32">
        <v>3.8</v>
      </c>
      <c r="H32">
        <v>2023</v>
      </c>
      <c r="I32" t="s">
        <v>1048</v>
      </c>
      <c r="J32" t="s">
        <v>1019</v>
      </c>
      <c r="K32">
        <v>4</v>
      </c>
      <c r="T32" t="s">
        <v>2069</v>
      </c>
      <c r="U32">
        <v>1</v>
      </c>
    </row>
    <row r="33" spans="1:21" x14ac:dyDescent="0.3">
      <c r="A33" t="s">
        <v>1111</v>
      </c>
      <c r="B33" t="s">
        <v>1065</v>
      </c>
      <c r="C33">
        <v>50</v>
      </c>
      <c r="D33" t="s">
        <v>1017</v>
      </c>
      <c r="E33" s="1">
        <v>44952</v>
      </c>
      <c r="F33">
        <v>60</v>
      </c>
      <c r="G33">
        <v>2</v>
      </c>
      <c r="H33">
        <v>2023</v>
      </c>
      <c r="I33" t="s">
        <v>1052</v>
      </c>
      <c r="J33" t="s">
        <v>1034</v>
      </c>
      <c r="K33">
        <v>2</v>
      </c>
      <c r="T33" t="s">
        <v>2069</v>
      </c>
      <c r="U33">
        <v>1</v>
      </c>
    </row>
    <row r="34" spans="1:21" x14ac:dyDescent="0.3">
      <c r="A34" t="s">
        <v>1112</v>
      </c>
      <c r="B34" t="s">
        <v>1041</v>
      </c>
      <c r="C34">
        <v>124</v>
      </c>
      <c r="D34" t="s">
        <v>1038</v>
      </c>
      <c r="E34" s="1">
        <v>44953</v>
      </c>
      <c r="F34">
        <v>215</v>
      </c>
      <c r="G34">
        <v>4.0999999999999996</v>
      </c>
      <c r="H34">
        <v>2023</v>
      </c>
      <c r="I34" t="s">
        <v>411</v>
      </c>
      <c r="J34" t="s">
        <v>1031</v>
      </c>
      <c r="K34">
        <v>4</v>
      </c>
      <c r="T34" t="s">
        <v>2069</v>
      </c>
      <c r="U34">
        <v>1</v>
      </c>
    </row>
    <row r="35" spans="1:21" x14ac:dyDescent="0.3">
      <c r="A35" t="s">
        <v>1117</v>
      </c>
      <c r="B35" t="s">
        <v>1045</v>
      </c>
      <c r="C35">
        <v>67</v>
      </c>
      <c r="D35" t="s">
        <v>1029</v>
      </c>
      <c r="E35" s="1">
        <v>44954</v>
      </c>
      <c r="F35">
        <v>168</v>
      </c>
      <c r="G35">
        <v>2.6</v>
      </c>
      <c r="H35">
        <v>2023</v>
      </c>
      <c r="I35" t="s">
        <v>1062</v>
      </c>
      <c r="J35" t="s">
        <v>1019</v>
      </c>
      <c r="K35">
        <v>3</v>
      </c>
      <c r="T35" t="s">
        <v>2069</v>
      </c>
      <c r="U35">
        <v>1</v>
      </c>
    </row>
    <row r="36" spans="1:21" x14ac:dyDescent="0.3">
      <c r="A36" t="s">
        <v>1118</v>
      </c>
      <c r="B36" t="s">
        <v>1098</v>
      </c>
      <c r="C36">
        <v>114</v>
      </c>
      <c r="D36" t="s">
        <v>1042</v>
      </c>
      <c r="E36" s="1">
        <v>44956</v>
      </c>
      <c r="F36">
        <v>42</v>
      </c>
      <c r="G36">
        <v>2.6</v>
      </c>
      <c r="H36">
        <v>2023</v>
      </c>
      <c r="I36" t="s">
        <v>1030</v>
      </c>
      <c r="J36" t="s">
        <v>1019</v>
      </c>
      <c r="K36">
        <v>3</v>
      </c>
      <c r="T36" t="s">
        <v>2069</v>
      </c>
      <c r="U36">
        <v>1</v>
      </c>
    </row>
    <row r="37" spans="1:21" x14ac:dyDescent="0.3">
      <c r="A37" t="s">
        <v>1121</v>
      </c>
      <c r="B37" t="s">
        <v>1041</v>
      </c>
      <c r="C37">
        <v>145</v>
      </c>
      <c r="D37" t="s">
        <v>1024</v>
      </c>
      <c r="E37" s="1">
        <v>44956</v>
      </c>
      <c r="F37">
        <v>78</v>
      </c>
      <c r="G37">
        <v>1.9</v>
      </c>
      <c r="H37">
        <v>2023</v>
      </c>
      <c r="I37" t="s">
        <v>1030</v>
      </c>
      <c r="J37" t="s">
        <v>1031</v>
      </c>
      <c r="K37">
        <v>2</v>
      </c>
      <c r="T37" t="s">
        <v>2069</v>
      </c>
      <c r="U37">
        <v>1</v>
      </c>
    </row>
    <row r="38" spans="1:21" x14ac:dyDescent="0.3">
      <c r="A38" t="s">
        <v>1125</v>
      </c>
      <c r="B38" t="s">
        <v>1041</v>
      </c>
      <c r="C38">
        <v>45</v>
      </c>
      <c r="D38" t="s">
        <v>1038</v>
      </c>
      <c r="E38" s="1">
        <v>44958</v>
      </c>
      <c r="F38">
        <v>34</v>
      </c>
      <c r="G38">
        <v>3.7</v>
      </c>
      <c r="H38">
        <v>2023</v>
      </c>
      <c r="I38" t="s">
        <v>1048</v>
      </c>
      <c r="J38" t="s">
        <v>1034</v>
      </c>
      <c r="K38">
        <v>4</v>
      </c>
      <c r="T38" t="s">
        <v>2070</v>
      </c>
      <c r="U38">
        <v>2</v>
      </c>
    </row>
    <row r="39" spans="1:21" x14ac:dyDescent="0.3">
      <c r="A39" t="s">
        <v>1127</v>
      </c>
      <c r="B39" t="s">
        <v>1098</v>
      </c>
      <c r="C39">
        <v>109</v>
      </c>
      <c r="D39" t="s">
        <v>1017</v>
      </c>
      <c r="E39" s="1">
        <v>44958</v>
      </c>
      <c r="F39">
        <v>105</v>
      </c>
      <c r="G39">
        <v>3.3</v>
      </c>
      <c r="H39">
        <v>2023</v>
      </c>
      <c r="I39" t="s">
        <v>1048</v>
      </c>
      <c r="J39" t="s">
        <v>1019</v>
      </c>
      <c r="K39">
        <v>3</v>
      </c>
      <c r="T39" t="s">
        <v>2070</v>
      </c>
      <c r="U39">
        <v>2</v>
      </c>
    </row>
    <row r="40" spans="1:21" x14ac:dyDescent="0.3">
      <c r="A40" t="s">
        <v>1131</v>
      </c>
      <c r="B40" t="s">
        <v>1065</v>
      </c>
      <c r="C40">
        <v>100</v>
      </c>
      <c r="D40" t="s">
        <v>1017</v>
      </c>
      <c r="E40" s="1">
        <v>44959</v>
      </c>
      <c r="F40">
        <v>135</v>
      </c>
      <c r="G40">
        <v>4</v>
      </c>
      <c r="H40">
        <v>2023</v>
      </c>
      <c r="I40" t="s">
        <v>1052</v>
      </c>
      <c r="J40" t="s">
        <v>1019</v>
      </c>
      <c r="K40">
        <v>4</v>
      </c>
      <c r="T40" t="s">
        <v>2070</v>
      </c>
      <c r="U40">
        <v>2</v>
      </c>
    </row>
    <row r="41" spans="1:21" x14ac:dyDescent="0.3">
      <c r="A41" t="s">
        <v>1133</v>
      </c>
      <c r="B41" t="s">
        <v>1098</v>
      </c>
      <c r="C41">
        <v>87</v>
      </c>
      <c r="D41" t="s">
        <v>1029</v>
      </c>
      <c r="E41" s="1">
        <v>44959</v>
      </c>
      <c r="F41">
        <v>155</v>
      </c>
      <c r="G41">
        <v>4.5</v>
      </c>
      <c r="H41">
        <v>2023</v>
      </c>
      <c r="I41" t="s">
        <v>1052</v>
      </c>
      <c r="J41" t="s">
        <v>1019</v>
      </c>
      <c r="K41">
        <v>5</v>
      </c>
      <c r="T41" t="s">
        <v>2070</v>
      </c>
      <c r="U41">
        <v>2</v>
      </c>
    </row>
    <row r="42" spans="1:21" x14ac:dyDescent="0.3">
      <c r="A42" t="s">
        <v>1135</v>
      </c>
      <c r="B42" t="s">
        <v>1065</v>
      </c>
      <c r="C42">
        <v>84</v>
      </c>
      <c r="D42" t="s">
        <v>1017</v>
      </c>
      <c r="E42" s="1">
        <v>44961</v>
      </c>
      <c r="F42">
        <v>195</v>
      </c>
      <c r="G42">
        <v>4.0999999999999996</v>
      </c>
      <c r="H42">
        <v>2023</v>
      </c>
      <c r="I42" t="s">
        <v>1062</v>
      </c>
      <c r="J42" t="s">
        <v>1019</v>
      </c>
      <c r="K42">
        <v>4</v>
      </c>
      <c r="T42" t="s">
        <v>2070</v>
      </c>
      <c r="U42">
        <v>2</v>
      </c>
    </row>
    <row r="43" spans="1:21" x14ac:dyDescent="0.3">
      <c r="A43" t="s">
        <v>1137</v>
      </c>
      <c r="B43" t="s">
        <v>1036</v>
      </c>
      <c r="C43">
        <v>135</v>
      </c>
      <c r="D43" t="s">
        <v>1038</v>
      </c>
      <c r="E43" s="1">
        <v>44964</v>
      </c>
      <c r="F43">
        <v>35</v>
      </c>
      <c r="G43">
        <v>4.8</v>
      </c>
      <c r="H43">
        <v>2023</v>
      </c>
      <c r="I43" t="s">
        <v>1033</v>
      </c>
      <c r="J43" t="s">
        <v>1031</v>
      </c>
      <c r="K43">
        <v>5</v>
      </c>
      <c r="T43" t="s">
        <v>2070</v>
      </c>
      <c r="U43">
        <v>2</v>
      </c>
    </row>
    <row r="44" spans="1:21" x14ac:dyDescent="0.3">
      <c r="A44" t="s">
        <v>1145</v>
      </c>
      <c r="B44" t="s">
        <v>1045</v>
      </c>
      <c r="C44">
        <v>95</v>
      </c>
      <c r="D44" t="s">
        <v>1017</v>
      </c>
      <c r="E44" s="1">
        <v>44967</v>
      </c>
      <c r="F44">
        <v>66</v>
      </c>
      <c r="G44">
        <v>4.5999999999999996</v>
      </c>
      <c r="H44">
        <v>2023</v>
      </c>
      <c r="I44" t="s">
        <v>411</v>
      </c>
      <c r="J44" t="s">
        <v>1019</v>
      </c>
      <c r="K44">
        <v>5</v>
      </c>
      <c r="T44" t="s">
        <v>2070</v>
      </c>
      <c r="U44">
        <v>2</v>
      </c>
    </row>
    <row r="45" spans="1:21" x14ac:dyDescent="0.3">
      <c r="A45" t="s">
        <v>1150</v>
      </c>
      <c r="B45" t="s">
        <v>1047</v>
      </c>
      <c r="C45">
        <v>28</v>
      </c>
      <c r="D45" t="s">
        <v>1042</v>
      </c>
      <c r="E45" s="1">
        <v>44969</v>
      </c>
      <c r="F45">
        <v>74</v>
      </c>
      <c r="G45">
        <v>3.5</v>
      </c>
      <c r="H45">
        <v>2023</v>
      </c>
      <c r="I45" t="s">
        <v>1018</v>
      </c>
      <c r="J45" t="s">
        <v>1056</v>
      </c>
      <c r="K45">
        <v>4</v>
      </c>
      <c r="T45" t="s">
        <v>2070</v>
      </c>
      <c r="U45">
        <v>2</v>
      </c>
    </row>
    <row r="46" spans="1:21" x14ac:dyDescent="0.3">
      <c r="A46" t="s">
        <v>1152</v>
      </c>
      <c r="B46" t="s">
        <v>1065</v>
      </c>
      <c r="C46">
        <v>137</v>
      </c>
      <c r="D46" t="s">
        <v>1029</v>
      </c>
      <c r="E46" s="1">
        <v>44970</v>
      </c>
      <c r="F46">
        <v>34</v>
      </c>
      <c r="G46">
        <v>2.9</v>
      </c>
      <c r="H46">
        <v>2023</v>
      </c>
      <c r="I46" t="s">
        <v>1030</v>
      </c>
      <c r="J46" t="s">
        <v>1031</v>
      </c>
      <c r="K46">
        <v>3</v>
      </c>
      <c r="T46" t="s">
        <v>2070</v>
      </c>
      <c r="U46">
        <v>2</v>
      </c>
    </row>
    <row r="47" spans="1:21" x14ac:dyDescent="0.3">
      <c r="A47" t="s">
        <v>1158</v>
      </c>
      <c r="B47" t="s">
        <v>1041</v>
      </c>
      <c r="C47">
        <v>38</v>
      </c>
      <c r="D47" t="s">
        <v>1038</v>
      </c>
      <c r="E47" s="1">
        <v>44972</v>
      </c>
      <c r="F47">
        <v>100</v>
      </c>
      <c r="G47">
        <v>4.8</v>
      </c>
      <c r="H47">
        <v>2023</v>
      </c>
      <c r="I47" t="s">
        <v>1048</v>
      </c>
      <c r="J47" t="s">
        <v>1034</v>
      </c>
      <c r="K47">
        <v>5</v>
      </c>
      <c r="T47" t="s">
        <v>2070</v>
      </c>
      <c r="U47">
        <v>2</v>
      </c>
    </row>
    <row r="48" spans="1:21" x14ac:dyDescent="0.3">
      <c r="A48" t="s">
        <v>1159</v>
      </c>
      <c r="B48" t="s">
        <v>1045</v>
      </c>
      <c r="C48">
        <v>55</v>
      </c>
      <c r="D48" t="s">
        <v>1029</v>
      </c>
      <c r="E48" s="1">
        <v>44972</v>
      </c>
      <c r="F48">
        <v>23</v>
      </c>
      <c r="G48">
        <v>3.6</v>
      </c>
      <c r="H48">
        <v>2023</v>
      </c>
      <c r="I48" t="s">
        <v>1048</v>
      </c>
      <c r="J48" t="s">
        <v>1034</v>
      </c>
      <c r="K48">
        <v>4</v>
      </c>
      <c r="T48" t="s">
        <v>2070</v>
      </c>
      <c r="U48">
        <v>2</v>
      </c>
    </row>
    <row r="49" spans="1:21" x14ac:dyDescent="0.3">
      <c r="A49" t="s">
        <v>1162</v>
      </c>
      <c r="B49" t="s">
        <v>1047</v>
      </c>
      <c r="C49">
        <v>116</v>
      </c>
      <c r="D49" t="s">
        <v>1017</v>
      </c>
      <c r="E49" s="1">
        <v>44973</v>
      </c>
      <c r="F49">
        <v>140</v>
      </c>
      <c r="G49">
        <v>3.6</v>
      </c>
      <c r="H49">
        <v>2023</v>
      </c>
      <c r="I49" t="s">
        <v>1052</v>
      </c>
      <c r="J49" t="s">
        <v>1019</v>
      </c>
      <c r="K49">
        <v>4</v>
      </c>
      <c r="T49" t="s">
        <v>2070</v>
      </c>
      <c r="U49">
        <v>2</v>
      </c>
    </row>
    <row r="50" spans="1:21" x14ac:dyDescent="0.3">
      <c r="A50" t="s">
        <v>1166</v>
      </c>
      <c r="B50" t="s">
        <v>1036</v>
      </c>
      <c r="C50">
        <v>155</v>
      </c>
      <c r="D50" t="s">
        <v>1017</v>
      </c>
      <c r="E50" s="1">
        <v>44975</v>
      </c>
      <c r="F50">
        <v>180</v>
      </c>
      <c r="G50">
        <v>2.2000000000000002</v>
      </c>
      <c r="H50">
        <v>2023</v>
      </c>
      <c r="I50" t="s">
        <v>1062</v>
      </c>
      <c r="J50" t="s">
        <v>1031</v>
      </c>
      <c r="K50">
        <v>2</v>
      </c>
      <c r="T50" t="s">
        <v>2070</v>
      </c>
      <c r="U50">
        <v>2</v>
      </c>
    </row>
    <row r="51" spans="1:21" x14ac:dyDescent="0.3">
      <c r="A51" t="s">
        <v>1168</v>
      </c>
      <c r="B51" t="s">
        <v>1041</v>
      </c>
      <c r="C51">
        <v>95</v>
      </c>
      <c r="D51" t="s">
        <v>1024</v>
      </c>
      <c r="E51" s="1">
        <v>44975</v>
      </c>
      <c r="F51">
        <v>52</v>
      </c>
      <c r="G51">
        <v>4.8</v>
      </c>
      <c r="H51">
        <v>2023</v>
      </c>
      <c r="I51" t="s">
        <v>1062</v>
      </c>
      <c r="J51" t="s">
        <v>1019</v>
      </c>
      <c r="K51">
        <v>5</v>
      </c>
      <c r="T51" t="s">
        <v>2070</v>
      </c>
      <c r="U51">
        <v>2</v>
      </c>
    </row>
    <row r="52" spans="1:21" x14ac:dyDescent="0.3">
      <c r="A52" t="s">
        <v>1169</v>
      </c>
      <c r="B52" t="s">
        <v>1065</v>
      </c>
      <c r="C52">
        <v>65</v>
      </c>
      <c r="D52" t="s">
        <v>1017</v>
      </c>
      <c r="E52" s="1">
        <v>44976</v>
      </c>
      <c r="F52">
        <v>80</v>
      </c>
      <c r="G52">
        <v>4</v>
      </c>
      <c r="H52">
        <v>2023</v>
      </c>
      <c r="I52" t="s">
        <v>1018</v>
      </c>
      <c r="J52" t="s">
        <v>1019</v>
      </c>
      <c r="K52">
        <v>4</v>
      </c>
      <c r="T52" t="s">
        <v>2070</v>
      </c>
      <c r="U52">
        <v>2</v>
      </c>
    </row>
    <row r="53" spans="1:21" x14ac:dyDescent="0.3">
      <c r="A53" t="s">
        <v>1172</v>
      </c>
      <c r="B53" t="s">
        <v>1065</v>
      </c>
      <c r="C53">
        <v>114</v>
      </c>
      <c r="D53" t="s">
        <v>1017</v>
      </c>
      <c r="E53" s="1">
        <v>44978</v>
      </c>
      <c r="F53">
        <v>120</v>
      </c>
      <c r="G53">
        <v>1.8</v>
      </c>
      <c r="H53">
        <v>2023</v>
      </c>
      <c r="I53" t="s">
        <v>1033</v>
      </c>
      <c r="J53" t="s">
        <v>1019</v>
      </c>
      <c r="K53">
        <v>2</v>
      </c>
      <c r="T53" t="s">
        <v>2070</v>
      </c>
      <c r="U53">
        <v>2</v>
      </c>
    </row>
    <row r="54" spans="1:21" x14ac:dyDescent="0.3">
      <c r="A54" t="s">
        <v>1173</v>
      </c>
      <c r="B54" t="s">
        <v>1036</v>
      </c>
      <c r="C54">
        <v>130</v>
      </c>
      <c r="D54" t="s">
        <v>1038</v>
      </c>
      <c r="E54" s="1">
        <v>44978</v>
      </c>
      <c r="F54">
        <v>150</v>
      </c>
      <c r="G54">
        <v>1</v>
      </c>
      <c r="H54">
        <v>2023</v>
      </c>
      <c r="I54" t="s">
        <v>1033</v>
      </c>
      <c r="J54" t="s">
        <v>1031</v>
      </c>
      <c r="K54">
        <v>1</v>
      </c>
      <c r="T54" t="s">
        <v>2070</v>
      </c>
      <c r="U54">
        <v>2</v>
      </c>
    </row>
    <row r="55" spans="1:21" x14ac:dyDescent="0.3">
      <c r="A55" t="s">
        <v>1176</v>
      </c>
      <c r="B55" t="s">
        <v>1041</v>
      </c>
      <c r="C55">
        <v>154</v>
      </c>
      <c r="D55" t="s">
        <v>1029</v>
      </c>
      <c r="E55" s="1">
        <v>44979</v>
      </c>
      <c r="F55">
        <v>22</v>
      </c>
      <c r="G55">
        <v>3.4</v>
      </c>
      <c r="H55">
        <v>2023</v>
      </c>
      <c r="I55" t="s">
        <v>1048</v>
      </c>
      <c r="J55" t="s">
        <v>1031</v>
      </c>
      <c r="K55">
        <v>3</v>
      </c>
      <c r="T55" t="s">
        <v>2070</v>
      </c>
      <c r="U55">
        <v>2</v>
      </c>
    </row>
    <row r="56" spans="1:21" x14ac:dyDescent="0.3">
      <c r="A56" t="s">
        <v>1177</v>
      </c>
      <c r="B56" t="s">
        <v>1065</v>
      </c>
      <c r="C56">
        <v>115</v>
      </c>
      <c r="D56" t="s">
        <v>1038</v>
      </c>
      <c r="E56" s="1">
        <v>44980</v>
      </c>
      <c r="F56">
        <v>150</v>
      </c>
      <c r="G56">
        <v>4.0999999999999996</v>
      </c>
      <c r="H56">
        <v>2023</v>
      </c>
      <c r="I56" t="s">
        <v>1052</v>
      </c>
      <c r="J56" t="s">
        <v>1019</v>
      </c>
      <c r="K56">
        <v>4</v>
      </c>
      <c r="T56" t="s">
        <v>2070</v>
      </c>
      <c r="U56">
        <v>2</v>
      </c>
    </row>
    <row r="57" spans="1:21" x14ac:dyDescent="0.3">
      <c r="A57" t="s">
        <v>1178</v>
      </c>
      <c r="B57" t="s">
        <v>1098</v>
      </c>
      <c r="C57">
        <v>138</v>
      </c>
      <c r="D57" t="s">
        <v>1024</v>
      </c>
      <c r="E57" s="1">
        <v>44981</v>
      </c>
      <c r="F57">
        <v>35</v>
      </c>
      <c r="G57">
        <v>4.8</v>
      </c>
      <c r="H57">
        <v>2023</v>
      </c>
      <c r="I57" t="s">
        <v>411</v>
      </c>
      <c r="J57" t="s">
        <v>1031</v>
      </c>
      <c r="K57">
        <v>5</v>
      </c>
      <c r="T57" t="s">
        <v>2070</v>
      </c>
      <c r="U57">
        <v>2</v>
      </c>
    </row>
    <row r="58" spans="1:21" x14ac:dyDescent="0.3">
      <c r="A58" t="s">
        <v>1180</v>
      </c>
      <c r="B58" t="s">
        <v>1065</v>
      </c>
      <c r="C58">
        <v>61</v>
      </c>
      <c r="D58" t="s">
        <v>1042</v>
      </c>
      <c r="E58" s="1">
        <v>44982</v>
      </c>
      <c r="F58">
        <v>150</v>
      </c>
      <c r="G58">
        <v>4.5999999999999996</v>
      </c>
      <c r="H58">
        <v>2023</v>
      </c>
      <c r="I58" t="s">
        <v>1062</v>
      </c>
      <c r="J58" t="s">
        <v>1019</v>
      </c>
      <c r="K58">
        <v>5</v>
      </c>
      <c r="T58" t="s">
        <v>2070</v>
      </c>
      <c r="U58">
        <v>2</v>
      </c>
    </row>
    <row r="59" spans="1:21" x14ac:dyDescent="0.3">
      <c r="A59" t="s">
        <v>1194</v>
      </c>
      <c r="B59" t="s">
        <v>1047</v>
      </c>
      <c r="C59">
        <v>89</v>
      </c>
      <c r="D59" t="s">
        <v>1042</v>
      </c>
      <c r="E59" s="1">
        <v>44986</v>
      </c>
      <c r="F59">
        <v>126</v>
      </c>
      <c r="G59">
        <v>3.6</v>
      </c>
      <c r="H59">
        <v>2023</v>
      </c>
      <c r="I59" t="s">
        <v>1048</v>
      </c>
      <c r="J59" t="s">
        <v>1019</v>
      </c>
      <c r="K59">
        <v>4</v>
      </c>
      <c r="T59" t="s">
        <v>2071</v>
      </c>
      <c r="U59">
        <v>3</v>
      </c>
    </row>
    <row r="60" spans="1:21" x14ac:dyDescent="0.3">
      <c r="A60" t="s">
        <v>1195</v>
      </c>
      <c r="B60" t="s">
        <v>1065</v>
      </c>
      <c r="C60">
        <v>152</v>
      </c>
      <c r="D60" t="s">
        <v>1029</v>
      </c>
      <c r="E60" s="1">
        <v>44986</v>
      </c>
      <c r="F60">
        <v>215</v>
      </c>
      <c r="G60">
        <v>4.4000000000000004</v>
      </c>
      <c r="H60">
        <v>2023</v>
      </c>
      <c r="I60" t="s">
        <v>1048</v>
      </c>
      <c r="J60" t="s">
        <v>1031</v>
      </c>
      <c r="K60">
        <v>4</v>
      </c>
      <c r="T60" t="s">
        <v>2071</v>
      </c>
      <c r="U60">
        <v>3</v>
      </c>
    </row>
    <row r="61" spans="1:21" x14ac:dyDescent="0.3">
      <c r="A61" t="s">
        <v>1196</v>
      </c>
      <c r="B61" t="s">
        <v>1047</v>
      </c>
      <c r="C61">
        <v>137</v>
      </c>
      <c r="D61" t="s">
        <v>1038</v>
      </c>
      <c r="E61" s="1">
        <v>44986</v>
      </c>
      <c r="F61">
        <v>114</v>
      </c>
      <c r="G61">
        <v>3.2</v>
      </c>
      <c r="H61">
        <v>2023</v>
      </c>
      <c r="I61" t="s">
        <v>1048</v>
      </c>
      <c r="J61" t="s">
        <v>1031</v>
      </c>
      <c r="K61">
        <v>3</v>
      </c>
      <c r="T61" t="s">
        <v>2071</v>
      </c>
      <c r="U61">
        <v>3</v>
      </c>
    </row>
    <row r="62" spans="1:21" x14ac:dyDescent="0.3">
      <c r="A62" t="s">
        <v>1197</v>
      </c>
      <c r="B62" t="s">
        <v>1047</v>
      </c>
      <c r="C62">
        <v>43</v>
      </c>
      <c r="D62" t="s">
        <v>1038</v>
      </c>
      <c r="E62" s="1">
        <v>44986</v>
      </c>
      <c r="F62">
        <v>99</v>
      </c>
      <c r="G62">
        <v>4.7</v>
      </c>
      <c r="H62">
        <v>2023</v>
      </c>
      <c r="I62" t="s">
        <v>1048</v>
      </c>
      <c r="J62" t="s">
        <v>1034</v>
      </c>
      <c r="K62">
        <v>5</v>
      </c>
      <c r="T62" t="s">
        <v>2071</v>
      </c>
      <c r="U62">
        <v>3</v>
      </c>
    </row>
    <row r="63" spans="1:21" x14ac:dyDescent="0.3">
      <c r="A63" t="s">
        <v>1198</v>
      </c>
      <c r="B63" t="s">
        <v>1041</v>
      </c>
      <c r="C63">
        <v>114</v>
      </c>
      <c r="D63" t="s">
        <v>1038</v>
      </c>
      <c r="E63" s="1">
        <v>44987</v>
      </c>
      <c r="F63">
        <v>23</v>
      </c>
      <c r="G63">
        <v>4.8</v>
      </c>
      <c r="H63">
        <v>2023</v>
      </c>
      <c r="I63" t="s">
        <v>1052</v>
      </c>
      <c r="J63" t="s">
        <v>1019</v>
      </c>
      <c r="K63">
        <v>5</v>
      </c>
      <c r="T63" t="s">
        <v>2071</v>
      </c>
      <c r="U63">
        <v>3</v>
      </c>
    </row>
    <row r="64" spans="1:21" x14ac:dyDescent="0.3">
      <c r="A64" t="s">
        <v>1200</v>
      </c>
      <c r="B64" t="s">
        <v>1047</v>
      </c>
      <c r="C64">
        <v>98</v>
      </c>
      <c r="D64" t="s">
        <v>1029</v>
      </c>
      <c r="E64" s="1">
        <v>44987</v>
      </c>
      <c r="F64">
        <v>100</v>
      </c>
      <c r="G64">
        <v>3.8</v>
      </c>
      <c r="H64">
        <v>2023</v>
      </c>
      <c r="I64" t="s">
        <v>1052</v>
      </c>
      <c r="J64" t="s">
        <v>1019</v>
      </c>
      <c r="K64">
        <v>4</v>
      </c>
      <c r="T64" t="s">
        <v>2071</v>
      </c>
      <c r="U64">
        <v>3</v>
      </c>
    </row>
    <row r="65" spans="1:21" x14ac:dyDescent="0.3">
      <c r="A65" t="s">
        <v>1217</v>
      </c>
      <c r="B65" t="s">
        <v>1041</v>
      </c>
      <c r="C65">
        <v>40</v>
      </c>
      <c r="D65" t="s">
        <v>1042</v>
      </c>
      <c r="E65" s="1">
        <v>44990</v>
      </c>
      <c r="F65">
        <v>92</v>
      </c>
      <c r="G65">
        <v>4.7</v>
      </c>
      <c r="H65">
        <v>2023</v>
      </c>
      <c r="I65" t="s">
        <v>1018</v>
      </c>
      <c r="J65" t="s">
        <v>1034</v>
      </c>
      <c r="K65">
        <v>5</v>
      </c>
      <c r="T65" t="s">
        <v>2071</v>
      </c>
      <c r="U65">
        <v>3</v>
      </c>
    </row>
    <row r="66" spans="1:21" x14ac:dyDescent="0.3">
      <c r="A66" t="s">
        <v>1218</v>
      </c>
      <c r="B66" t="s">
        <v>1047</v>
      </c>
      <c r="C66">
        <v>86</v>
      </c>
      <c r="D66" t="s">
        <v>1024</v>
      </c>
      <c r="E66" s="1">
        <v>44990</v>
      </c>
      <c r="F66">
        <v>27</v>
      </c>
      <c r="G66">
        <v>4.5</v>
      </c>
      <c r="H66">
        <v>2023</v>
      </c>
      <c r="I66" t="s">
        <v>1018</v>
      </c>
      <c r="J66" t="s">
        <v>1019</v>
      </c>
      <c r="K66">
        <v>5</v>
      </c>
      <c r="T66" t="s">
        <v>2071</v>
      </c>
      <c r="U66">
        <v>3</v>
      </c>
    </row>
    <row r="67" spans="1:21" x14ac:dyDescent="0.3">
      <c r="A67" t="s">
        <v>1219</v>
      </c>
      <c r="B67" t="s">
        <v>1036</v>
      </c>
      <c r="C67">
        <v>131</v>
      </c>
      <c r="D67" t="s">
        <v>1017</v>
      </c>
      <c r="E67" s="1">
        <v>44990</v>
      </c>
      <c r="F67">
        <v>140</v>
      </c>
      <c r="G67">
        <v>4.0999999999999996</v>
      </c>
      <c r="H67">
        <v>2023</v>
      </c>
      <c r="I67" t="s">
        <v>1018</v>
      </c>
      <c r="J67" t="s">
        <v>1031</v>
      </c>
      <c r="K67">
        <v>4</v>
      </c>
      <c r="T67" t="s">
        <v>2071</v>
      </c>
      <c r="U67">
        <v>3</v>
      </c>
    </row>
    <row r="68" spans="1:21" x14ac:dyDescent="0.3">
      <c r="A68" t="s">
        <v>1221</v>
      </c>
      <c r="B68" t="s">
        <v>1098</v>
      </c>
      <c r="C68">
        <v>71</v>
      </c>
      <c r="D68" t="s">
        <v>1042</v>
      </c>
      <c r="E68" s="1">
        <v>44990</v>
      </c>
      <c r="F68">
        <v>102</v>
      </c>
      <c r="G68">
        <v>4.7</v>
      </c>
      <c r="H68">
        <v>2023</v>
      </c>
      <c r="I68" t="s">
        <v>1018</v>
      </c>
      <c r="J68" t="s">
        <v>1019</v>
      </c>
      <c r="K68">
        <v>5</v>
      </c>
      <c r="T68" t="s">
        <v>2071</v>
      </c>
      <c r="U68">
        <v>3</v>
      </c>
    </row>
    <row r="69" spans="1:21" x14ac:dyDescent="0.3">
      <c r="A69" t="s">
        <v>1222</v>
      </c>
      <c r="B69" t="s">
        <v>1036</v>
      </c>
      <c r="C69">
        <v>113</v>
      </c>
      <c r="D69" t="s">
        <v>1017</v>
      </c>
      <c r="E69" s="1">
        <v>44990</v>
      </c>
      <c r="F69">
        <v>42</v>
      </c>
      <c r="G69">
        <v>4.2</v>
      </c>
      <c r="H69">
        <v>2023</v>
      </c>
      <c r="I69" t="s">
        <v>1018</v>
      </c>
      <c r="J69" t="s">
        <v>1019</v>
      </c>
      <c r="K69">
        <v>4</v>
      </c>
      <c r="T69" t="s">
        <v>2071</v>
      </c>
      <c r="U69">
        <v>3</v>
      </c>
    </row>
    <row r="70" spans="1:21" x14ac:dyDescent="0.3">
      <c r="A70" t="s">
        <v>1224</v>
      </c>
      <c r="B70" t="s">
        <v>1036</v>
      </c>
      <c r="C70">
        <v>153</v>
      </c>
      <c r="D70" t="s">
        <v>1029</v>
      </c>
      <c r="E70" s="1">
        <v>44991</v>
      </c>
      <c r="F70">
        <v>34</v>
      </c>
      <c r="G70">
        <v>3</v>
      </c>
      <c r="H70">
        <v>2023</v>
      </c>
      <c r="I70" t="s">
        <v>1030</v>
      </c>
      <c r="J70" t="s">
        <v>1031</v>
      </c>
      <c r="K70">
        <v>3</v>
      </c>
      <c r="T70" t="s">
        <v>2071</v>
      </c>
      <c r="U70">
        <v>3</v>
      </c>
    </row>
    <row r="71" spans="1:21" x14ac:dyDescent="0.3">
      <c r="A71" t="s">
        <v>1228</v>
      </c>
      <c r="B71" t="s">
        <v>1036</v>
      </c>
      <c r="C71">
        <v>69</v>
      </c>
      <c r="D71" t="s">
        <v>1024</v>
      </c>
      <c r="E71" s="1">
        <v>44992</v>
      </c>
      <c r="F71">
        <v>132</v>
      </c>
      <c r="G71">
        <v>4.5</v>
      </c>
      <c r="H71">
        <v>2023</v>
      </c>
      <c r="I71" t="s">
        <v>1033</v>
      </c>
      <c r="J71" t="s">
        <v>1019</v>
      </c>
      <c r="K71">
        <v>5</v>
      </c>
      <c r="T71" t="s">
        <v>2071</v>
      </c>
      <c r="U71">
        <v>3</v>
      </c>
    </row>
    <row r="72" spans="1:21" x14ac:dyDescent="0.3">
      <c r="A72" t="s">
        <v>1229</v>
      </c>
      <c r="B72" t="s">
        <v>1047</v>
      </c>
      <c r="C72">
        <v>103</v>
      </c>
      <c r="D72" t="s">
        <v>1017</v>
      </c>
      <c r="E72" s="1">
        <v>44992</v>
      </c>
      <c r="F72">
        <v>172</v>
      </c>
      <c r="G72">
        <v>4.3</v>
      </c>
      <c r="H72">
        <v>2023</v>
      </c>
      <c r="I72" t="s">
        <v>1033</v>
      </c>
      <c r="J72" t="s">
        <v>1019</v>
      </c>
      <c r="K72">
        <v>4</v>
      </c>
      <c r="T72" t="s">
        <v>2071</v>
      </c>
      <c r="U72">
        <v>3</v>
      </c>
    </row>
    <row r="73" spans="1:21" x14ac:dyDescent="0.3">
      <c r="A73" t="s">
        <v>1230</v>
      </c>
      <c r="B73" t="s">
        <v>1047</v>
      </c>
      <c r="C73">
        <v>75</v>
      </c>
      <c r="D73" t="s">
        <v>1017</v>
      </c>
      <c r="E73" s="1">
        <v>44992</v>
      </c>
      <c r="F73">
        <v>111</v>
      </c>
      <c r="G73">
        <v>3.4</v>
      </c>
      <c r="H73">
        <v>2023</v>
      </c>
      <c r="I73" t="s">
        <v>1033</v>
      </c>
      <c r="J73" t="s">
        <v>1019</v>
      </c>
      <c r="K73">
        <v>3</v>
      </c>
      <c r="T73" t="s">
        <v>2071</v>
      </c>
      <c r="U73">
        <v>3</v>
      </c>
    </row>
    <row r="74" spans="1:21" x14ac:dyDescent="0.3">
      <c r="A74" t="s">
        <v>1231</v>
      </c>
      <c r="B74" t="s">
        <v>1045</v>
      </c>
      <c r="C74">
        <v>92</v>
      </c>
      <c r="D74" t="s">
        <v>1017</v>
      </c>
      <c r="E74" s="1">
        <v>44992</v>
      </c>
      <c r="F74">
        <v>58</v>
      </c>
      <c r="G74">
        <v>3.6</v>
      </c>
      <c r="H74">
        <v>2023</v>
      </c>
      <c r="I74" t="s">
        <v>1033</v>
      </c>
      <c r="J74" t="s">
        <v>1019</v>
      </c>
      <c r="K74">
        <v>4</v>
      </c>
      <c r="T74" t="s">
        <v>2071</v>
      </c>
      <c r="U74">
        <v>3</v>
      </c>
    </row>
    <row r="75" spans="1:21" x14ac:dyDescent="0.3">
      <c r="A75" t="s">
        <v>1232</v>
      </c>
      <c r="B75" t="s">
        <v>1045</v>
      </c>
      <c r="C75">
        <v>41</v>
      </c>
      <c r="D75" t="s">
        <v>1038</v>
      </c>
      <c r="E75" s="1">
        <v>44992</v>
      </c>
      <c r="F75">
        <v>68</v>
      </c>
      <c r="G75">
        <v>4</v>
      </c>
      <c r="H75">
        <v>2023</v>
      </c>
      <c r="I75" t="s">
        <v>1033</v>
      </c>
      <c r="J75" t="s">
        <v>1034</v>
      </c>
      <c r="K75">
        <v>4</v>
      </c>
      <c r="T75" t="s">
        <v>2071</v>
      </c>
      <c r="U75">
        <v>3</v>
      </c>
    </row>
    <row r="76" spans="1:21" x14ac:dyDescent="0.3">
      <c r="A76" t="s">
        <v>1233</v>
      </c>
      <c r="B76" t="s">
        <v>1047</v>
      </c>
      <c r="C76">
        <v>134</v>
      </c>
      <c r="D76" t="s">
        <v>1029</v>
      </c>
      <c r="E76" s="1">
        <v>44992</v>
      </c>
      <c r="F76">
        <v>160</v>
      </c>
      <c r="G76">
        <v>4.5</v>
      </c>
      <c r="H76">
        <v>2023</v>
      </c>
      <c r="I76" t="s">
        <v>1033</v>
      </c>
      <c r="J76" t="s">
        <v>1031</v>
      </c>
      <c r="K76">
        <v>5</v>
      </c>
      <c r="T76" t="s">
        <v>2071</v>
      </c>
      <c r="U76">
        <v>3</v>
      </c>
    </row>
    <row r="77" spans="1:21" x14ac:dyDescent="0.3">
      <c r="A77" t="s">
        <v>1235</v>
      </c>
      <c r="B77" t="s">
        <v>1098</v>
      </c>
      <c r="C77">
        <v>103</v>
      </c>
      <c r="D77" t="s">
        <v>1024</v>
      </c>
      <c r="E77" s="1">
        <v>44993</v>
      </c>
      <c r="F77">
        <v>117</v>
      </c>
      <c r="G77">
        <v>3</v>
      </c>
      <c r="H77">
        <v>2023</v>
      </c>
      <c r="I77" t="s">
        <v>1048</v>
      </c>
      <c r="J77" t="s">
        <v>1019</v>
      </c>
      <c r="K77">
        <v>3</v>
      </c>
      <c r="T77" t="s">
        <v>2071</v>
      </c>
      <c r="U77">
        <v>3</v>
      </c>
    </row>
    <row r="78" spans="1:21" x14ac:dyDescent="0.3">
      <c r="A78" t="s">
        <v>1237</v>
      </c>
      <c r="B78" t="s">
        <v>1098</v>
      </c>
      <c r="C78">
        <v>75</v>
      </c>
      <c r="D78" t="s">
        <v>1042</v>
      </c>
      <c r="E78" s="1">
        <v>44994</v>
      </c>
      <c r="F78">
        <v>195</v>
      </c>
      <c r="G78">
        <v>3</v>
      </c>
      <c r="H78">
        <v>2023</v>
      </c>
      <c r="I78" t="s">
        <v>1052</v>
      </c>
      <c r="J78" t="s">
        <v>1019</v>
      </c>
      <c r="K78">
        <v>3</v>
      </c>
      <c r="T78" t="s">
        <v>2071</v>
      </c>
      <c r="U78">
        <v>3</v>
      </c>
    </row>
    <row r="79" spans="1:21" x14ac:dyDescent="0.3">
      <c r="A79" t="s">
        <v>1238</v>
      </c>
      <c r="B79" t="s">
        <v>1045</v>
      </c>
      <c r="C79">
        <v>80</v>
      </c>
      <c r="D79" t="s">
        <v>1029</v>
      </c>
      <c r="E79" s="1">
        <v>44994</v>
      </c>
      <c r="F79">
        <v>168</v>
      </c>
      <c r="G79">
        <v>3.7</v>
      </c>
      <c r="H79">
        <v>2023</v>
      </c>
      <c r="I79" t="s">
        <v>1052</v>
      </c>
      <c r="J79" t="s">
        <v>1019</v>
      </c>
      <c r="K79">
        <v>4</v>
      </c>
      <c r="T79" t="s">
        <v>2071</v>
      </c>
      <c r="U79">
        <v>3</v>
      </c>
    </row>
    <row r="80" spans="1:21" x14ac:dyDescent="0.3">
      <c r="A80" t="s">
        <v>1239</v>
      </c>
      <c r="B80" t="s">
        <v>1036</v>
      </c>
      <c r="C80">
        <v>85</v>
      </c>
      <c r="D80" t="s">
        <v>1038</v>
      </c>
      <c r="E80" s="1">
        <v>44995</v>
      </c>
      <c r="F80">
        <v>46</v>
      </c>
      <c r="G80">
        <v>4.9000000000000004</v>
      </c>
      <c r="H80">
        <v>2023</v>
      </c>
      <c r="I80" t="s">
        <v>411</v>
      </c>
      <c r="J80" t="s">
        <v>1019</v>
      </c>
      <c r="K80">
        <v>5</v>
      </c>
      <c r="T80" t="s">
        <v>2071</v>
      </c>
      <c r="U80">
        <v>3</v>
      </c>
    </row>
    <row r="81" spans="1:21" x14ac:dyDescent="0.3">
      <c r="A81" t="s">
        <v>1241</v>
      </c>
      <c r="B81" t="s">
        <v>1036</v>
      </c>
      <c r="C81">
        <v>63</v>
      </c>
      <c r="D81" t="s">
        <v>1038</v>
      </c>
      <c r="E81" s="1">
        <v>44995</v>
      </c>
      <c r="F81">
        <v>48</v>
      </c>
      <c r="G81">
        <v>5</v>
      </c>
      <c r="H81">
        <v>2023</v>
      </c>
      <c r="I81" t="s">
        <v>411</v>
      </c>
      <c r="J81" t="s">
        <v>1019</v>
      </c>
      <c r="K81">
        <v>5</v>
      </c>
      <c r="T81" t="s">
        <v>2071</v>
      </c>
      <c r="U81">
        <v>3</v>
      </c>
    </row>
    <row r="82" spans="1:21" x14ac:dyDescent="0.3">
      <c r="A82" t="s">
        <v>1243</v>
      </c>
      <c r="B82" t="s">
        <v>1036</v>
      </c>
      <c r="C82">
        <v>71</v>
      </c>
      <c r="D82" t="s">
        <v>1038</v>
      </c>
      <c r="E82" s="1">
        <v>44995</v>
      </c>
      <c r="F82">
        <v>105</v>
      </c>
      <c r="G82">
        <v>4</v>
      </c>
      <c r="H82">
        <v>2023</v>
      </c>
      <c r="I82" t="s">
        <v>411</v>
      </c>
      <c r="J82" t="s">
        <v>1019</v>
      </c>
      <c r="K82">
        <v>4</v>
      </c>
      <c r="T82" t="s">
        <v>2071</v>
      </c>
      <c r="U82">
        <v>3</v>
      </c>
    </row>
    <row r="83" spans="1:21" x14ac:dyDescent="0.3">
      <c r="A83" t="s">
        <v>1250</v>
      </c>
      <c r="B83" t="s">
        <v>1045</v>
      </c>
      <c r="C83">
        <v>134</v>
      </c>
      <c r="D83" t="s">
        <v>1017</v>
      </c>
      <c r="E83" s="1">
        <v>44996</v>
      </c>
      <c r="F83">
        <v>180</v>
      </c>
      <c r="G83">
        <v>3.1</v>
      </c>
      <c r="H83">
        <v>2023</v>
      </c>
      <c r="I83" t="s">
        <v>1062</v>
      </c>
      <c r="J83" t="s">
        <v>1031</v>
      </c>
      <c r="K83">
        <v>3</v>
      </c>
      <c r="T83" t="s">
        <v>2071</v>
      </c>
      <c r="U83">
        <v>3</v>
      </c>
    </row>
    <row r="84" spans="1:21" x14ac:dyDescent="0.3">
      <c r="A84" t="s">
        <v>1252</v>
      </c>
      <c r="B84" t="s">
        <v>1098</v>
      </c>
      <c r="C84">
        <v>6</v>
      </c>
      <c r="D84" t="s">
        <v>1042</v>
      </c>
      <c r="E84" s="1">
        <v>44997</v>
      </c>
      <c r="F84">
        <v>29</v>
      </c>
      <c r="G84">
        <v>4.7</v>
      </c>
      <c r="H84">
        <v>2023</v>
      </c>
      <c r="I84" t="s">
        <v>1018</v>
      </c>
      <c r="J84" t="s">
        <v>1186</v>
      </c>
      <c r="K84">
        <v>5</v>
      </c>
      <c r="T84" t="s">
        <v>2071</v>
      </c>
      <c r="U84">
        <v>3</v>
      </c>
    </row>
    <row r="85" spans="1:21" x14ac:dyDescent="0.3">
      <c r="A85" t="s">
        <v>1254</v>
      </c>
      <c r="B85" t="s">
        <v>1098</v>
      </c>
      <c r="C85">
        <v>121</v>
      </c>
      <c r="D85" t="s">
        <v>1038</v>
      </c>
      <c r="E85" s="1">
        <v>44998</v>
      </c>
      <c r="F85">
        <v>32</v>
      </c>
      <c r="G85">
        <v>3.7</v>
      </c>
      <c r="H85">
        <v>2023</v>
      </c>
      <c r="I85" t="s">
        <v>1030</v>
      </c>
      <c r="J85" t="s">
        <v>1031</v>
      </c>
      <c r="K85">
        <v>4</v>
      </c>
      <c r="T85" t="s">
        <v>2071</v>
      </c>
      <c r="U85">
        <v>3</v>
      </c>
    </row>
    <row r="86" spans="1:21" x14ac:dyDescent="0.3">
      <c r="A86" t="s">
        <v>1256</v>
      </c>
      <c r="B86" t="s">
        <v>1045</v>
      </c>
      <c r="C86">
        <v>144</v>
      </c>
      <c r="D86" t="s">
        <v>1017</v>
      </c>
      <c r="E86" s="1">
        <v>44998</v>
      </c>
      <c r="F86">
        <v>140</v>
      </c>
      <c r="G86">
        <v>3.5</v>
      </c>
      <c r="H86">
        <v>2023</v>
      </c>
      <c r="I86" t="s">
        <v>1030</v>
      </c>
      <c r="J86" t="s">
        <v>1031</v>
      </c>
      <c r="K86">
        <v>4</v>
      </c>
      <c r="T86" t="s">
        <v>2071</v>
      </c>
      <c r="U86">
        <v>3</v>
      </c>
    </row>
    <row r="87" spans="1:21" x14ac:dyDescent="0.3">
      <c r="A87" t="s">
        <v>1261</v>
      </c>
      <c r="B87" t="s">
        <v>1045</v>
      </c>
      <c r="C87">
        <v>28</v>
      </c>
      <c r="D87" t="s">
        <v>1024</v>
      </c>
      <c r="E87" s="1">
        <v>44999</v>
      </c>
      <c r="F87">
        <v>78</v>
      </c>
      <c r="G87">
        <v>3.8</v>
      </c>
      <c r="H87">
        <v>2023</v>
      </c>
      <c r="I87" t="s">
        <v>1033</v>
      </c>
      <c r="J87" t="s">
        <v>1056</v>
      </c>
      <c r="K87">
        <v>4</v>
      </c>
      <c r="T87" t="s">
        <v>2071</v>
      </c>
      <c r="U87">
        <v>3</v>
      </c>
    </row>
    <row r="88" spans="1:21" x14ac:dyDescent="0.3">
      <c r="A88" t="s">
        <v>1262</v>
      </c>
      <c r="B88" t="s">
        <v>1045</v>
      </c>
      <c r="C88">
        <v>119</v>
      </c>
      <c r="D88" t="s">
        <v>1038</v>
      </c>
      <c r="E88" s="1">
        <v>44999</v>
      </c>
      <c r="F88">
        <v>20</v>
      </c>
      <c r="G88">
        <v>3.9</v>
      </c>
      <c r="H88">
        <v>2023</v>
      </c>
      <c r="I88" t="s">
        <v>1033</v>
      </c>
      <c r="J88" t="s">
        <v>1019</v>
      </c>
      <c r="K88">
        <v>4</v>
      </c>
      <c r="T88" t="s">
        <v>2071</v>
      </c>
      <c r="U88">
        <v>3</v>
      </c>
    </row>
    <row r="89" spans="1:21" x14ac:dyDescent="0.3">
      <c r="A89" t="s">
        <v>1263</v>
      </c>
      <c r="B89" t="s">
        <v>1098</v>
      </c>
      <c r="C89">
        <v>65</v>
      </c>
      <c r="D89" t="s">
        <v>1042</v>
      </c>
      <c r="E89" s="1">
        <v>44999</v>
      </c>
      <c r="F89">
        <v>84</v>
      </c>
      <c r="G89">
        <v>2.5</v>
      </c>
      <c r="H89">
        <v>2023</v>
      </c>
      <c r="I89" t="s">
        <v>1033</v>
      </c>
      <c r="J89" t="s">
        <v>1019</v>
      </c>
      <c r="K89">
        <v>3</v>
      </c>
      <c r="T89" t="s">
        <v>2071</v>
      </c>
      <c r="U89">
        <v>3</v>
      </c>
    </row>
    <row r="90" spans="1:21" x14ac:dyDescent="0.3">
      <c r="A90" t="s">
        <v>1264</v>
      </c>
      <c r="B90" t="s">
        <v>1047</v>
      </c>
      <c r="C90">
        <v>68</v>
      </c>
      <c r="D90" t="s">
        <v>1042</v>
      </c>
      <c r="E90" s="1">
        <v>44999</v>
      </c>
      <c r="F90">
        <v>32</v>
      </c>
      <c r="G90">
        <v>4.9000000000000004</v>
      </c>
      <c r="H90">
        <v>2023</v>
      </c>
      <c r="I90" t="s">
        <v>1033</v>
      </c>
      <c r="J90" t="s">
        <v>1019</v>
      </c>
      <c r="K90">
        <v>5</v>
      </c>
      <c r="T90" t="s">
        <v>2071</v>
      </c>
      <c r="U90">
        <v>3</v>
      </c>
    </row>
    <row r="91" spans="1:21" x14ac:dyDescent="0.3">
      <c r="A91" t="s">
        <v>1268</v>
      </c>
      <c r="B91" t="s">
        <v>1045</v>
      </c>
      <c r="C91">
        <v>59</v>
      </c>
      <c r="D91" t="s">
        <v>1038</v>
      </c>
      <c r="E91" s="1">
        <v>45000</v>
      </c>
      <c r="F91">
        <v>64</v>
      </c>
      <c r="G91">
        <v>4</v>
      </c>
      <c r="H91">
        <v>2023</v>
      </c>
      <c r="I91" t="s">
        <v>1048</v>
      </c>
      <c r="J91" t="s">
        <v>1034</v>
      </c>
      <c r="K91">
        <v>4</v>
      </c>
      <c r="T91" t="s">
        <v>2071</v>
      </c>
      <c r="U91">
        <v>3</v>
      </c>
    </row>
    <row r="92" spans="1:21" x14ac:dyDescent="0.3">
      <c r="A92" t="s">
        <v>1280</v>
      </c>
      <c r="B92" t="s">
        <v>1036</v>
      </c>
      <c r="C92">
        <v>100</v>
      </c>
      <c r="D92" t="s">
        <v>1024</v>
      </c>
      <c r="E92" s="1">
        <v>45001</v>
      </c>
      <c r="F92">
        <v>124</v>
      </c>
      <c r="G92">
        <v>3.4</v>
      </c>
      <c r="H92">
        <v>2023</v>
      </c>
      <c r="I92" t="s">
        <v>1052</v>
      </c>
      <c r="J92" t="s">
        <v>1019</v>
      </c>
      <c r="K92">
        <v>3</v>
      </c>
      <c r="T92" t="s">
        <v>2071</v>
      </c>
      <c r="U92">
        <v>3</v>
      </c>
    </row>
    <row r="93" spans="1:21" x14ac:dyDescent="0.3">
      <c r="A93" t="s">
        <v>1283</v>
      </c>
      <c r="B93" t="s">
        <v>1041</v>
      </c>
      <c r="C93">
        <v>64</v>
      </c>
      <c r="D93" t="s">
        <v>1017</v>
      </c>
      <c r="E93" s="1">
        <v>45002</v>
      </c>
      <c r="F93">
        <v>22</v>
      </c>
      <c r="G93">
        <v>4.0999999999999996</v>
      </c>
      <c r="H93">
        <v>2023</v>
      </c>
      <c r="I93" t="s">
        <v>411</v>
      </c>
      <c r="J93" t="s">
        <v>1019</v>
      </c>
      <c r="K93">
        <v>4</v>
      </c>
      <c r="T93" t="s">
        <v>2071</v>
      </c>
      <c r="U93">
        <v>3</v>
      </c>
    </row>
    <row r="94" spans="1:21" x14ac:dyDescent="0.3">
      <c r="A94" t="s">
        <v>1285</v>
      </c>
      <c r="B94" t="s">
        <v>1065</v>
      </c>
      <c r="C94">
        <v>40</v>
      </c>
      <c r="D94" t="s">
        <v>1024</v>
      </c>
      <c r="E94" s="1">
        <v>45003</v>
      </c>
      <c r="F94">
        <v>24</v>
      </c>
      <c r="G94">
        <v>4.3</v>
      </c>
      <c r="H94">
        <v>2023</v>
      </c>
      <c r="I94" t="s">
        <v>1062</v>
      </c>
      <c r="J94" t="s">
        <v>1034</v>
      </c>
      <c r="K94">
        <v>4</v>
      </c>
      <c r="T94" t="s">
        <v>2071</v>
      </c>
      <c r="U94">
        <v>3</v>
      </c>
    </row>
    <row r="95" spans="1:21" x14ac:dyDescent="0.3">
      <c r="A95" t="s">
        <v>1286</v>
      </c>
      <c r="B95" t="s">
        <v>1045</v>
      </c>
      <c r="C95">
        <v>75</v>
      </c>
      <c r="D95" t="s">
        <v>1042</v>
      </c>
      <c r="E95" s="1">
        <v>45003</v>
      </c>
      <c r="F95">
        <v>32</v>
      </c>
      <c r="G95">
        <v>4.0999999999999996</v>
      </c>
      <c r="H95">
        <v>2023</v>
      </c>
      <c r="I95" t="s">
        <v>1062</v>
      </c>
      <c r="J95" t="s">
        <v>1019</v>
      </c>
      <c r="K95">
        <v>4</v>
      </c>
      <c r="T95" t="s">
        <v>2071</v>
      </c>
      <c r="U95">
        <v>3</v>
      </c>
    </row>
    <row r="96" spans="1:21" x14ac:dyDescent="0.3">
      <c r="A96" t="s">
        <v>1288</v>
      </c>
      <c r="B96" t="s">
        <v>1041</v>
      </c>
      <c r="C96">
        <v>58</v>
      </c>
      <c r="D96" t="s">
        <v>1024</v>
      </c>
      <c r="E96" s="1">
        <v>45004</v>
      </c>
      <c r="F96">
        <v>43</v>
      </c>
      <c r="G96">
        <v>4.5</v>
      </c>
      <c r="H96">
        <v>2023</v>
      </c>
      <c r="I96" t="s">
        <v>1018</v>
      </c>
      <c r="J96" t="s">
        <v>1034</v>
      </c>
      <c r="K96">
        <v>5</v>
      </c>
      <c r="T96" t="s">
        <v>2071</v>
      </c>
      <c r="U96">
        <v>3</v>
      </c>
    </row>
    <row r="97" spans="1:21" x14ac:dyDescent="0.3">
      <c r="A97" t="s">
        <v>1291</v>
      </c>
      <c r="B97" t="s">
        <v>1041</v>
      </c>
      <c r="C97">
        <v>67</v>
      </c>
      <c r="D97" t="s">
        <v>1029</v>
      </c>
      <c r="E97" s="1">
        <v>45004</v>
      </c>
      <c r="F97">
        <v>45</v>
      </c>
      <c r="G97">
        <v>3.5</v>
      </c>
      <c r="H97">
        <v>2023</v>
      </c>
      <c r="I97" t="s">
        <v>1018</v>
      </c>
      <c r="J97" t="s">
        <v>1019</v>
      </c>
      <c r="K97">
        <v>4</v>
      </c>
      <c r="T97" t="s">
        <v>2071</v>
      </c>
      <c r="U97">
        <v>3</v>
      </c>
    </row>
    <row r="98" spans="1:21" x14ac:dyDescent="0.3">
      <c r="A98" t="s">
        <v>1301</v>
      </c>
      <c r="B98" t="s">
        <v>1036</v>
      </c>
      <c r="C98">
        <v>59</v>
      </c>
      <c r="D98" t="s">
        <v>1029</v>
      </c>
      <c r="E98" s="1">
        <v>45006</v>
      </c>
      <c r="F98">
        <v>215</v>
      </c>
      <c r="G98">
        <v>4.0999999999999996</v>
      </c>
      <c r="H98">
        <v>2023</v>
      </c>
      <c r="I98" t="s">
        <v>1033</v>
      </c>
      <c r="J98" t="s">
        <v>1034</v>
      </c>
      <c r="K98">
        <v>4</v>
      </c>
      <c r="T98" t="s">
        <v>2071</v>
      </c>
      <c r="U98">
        <v>3</v>
      </c>
    </row>
    <row r="99" spans="1:21" x14ac:dyDescent="0.3">
      <c r="A99" t="s">
        <v>1302</v>
      </c>
      <c r="B99" t="s">
        <v>1036</v>
      </c>
      <c r="C99">
        <v>144</v>
      </c>
      <c r="D99" t="s">
        <v>1024</v>
      </c>
      <c r="E99" s="1">
        <v>45006</v>
      </c>
      <c r="F99">
        <v>124</v>
      </c>
      <c r="G99">
        <v>4.4000000000000004</v>
      </c>
      <c r="H99">
        <v>2023</v>
      </c>
      <c r="I99" t="s">
        <v>1033</v>
      </c>
      <c r="J99" t="s">
        <v>1031</v>
      </c>
      <c r="K99">
        <v>4</v>
      </c>
      <c r="T99" t="s">
        <v>2071</v>
      </c>
      <c r="U99">
        <v>3</v>
      </c>
    </row>
    <row r="100" spans="1:21" x14ac:dyDescent="0.3">
      <c r="A100" t="s">
        <v>1308</v>
      </c>
      <c r="B100" t="s">
        <v>1098</v>
      </c>
      <c r="C100">
        <v>129</v>
      </c>
      <c r="D100" t="s">
        <v>1042</v>
      </c>
      <c r="E100" s="1">
        <v>45007</v>
      </c>
      <c r="F100">
        <v>120</v>
      </c>
      <c r="G100">
        <v>4.0999999999999996</v>
      </c>
      <c r="H100">
        <v>2023</v>
      </c>
      <c r="I100" t="s">
        <v>1048</v>
      </c>
      <c r="J100" t="s">
        <v>1031</v>
      </c>
      <c r="K100">
        <v>4</v>
      </c>
      <c r="T100" t="s">
        <v>2071</v>
      </c>
      <c r="U100">
        <v>3</v>
      </c>
    </row>
    <row r="101" spans="1:21" x14ac:dyDescent="0.3">
      <c r="A101" t="s">
        <v>1309</v>
      </c>
      <c r="B101" t="s">
        <v>1047</v>
      </c>
      <c r="C101">
        <v>101</v>
      </c>
      <c r="D101" t="s">
        <v>1038</v>
      </c>
      <c r="E101" s="1">
        <v>45007</v>
      </c>
      <c r="F101">
        <v>130</v>
      </c>
      <c r="G101">
        <v>4.8</v>
      </c>
      <c r="H101">
        <v>2023</v>
      </c>
      <c r="I101" t="s">
        <v>1048</v>
      </c>
      <c r="J101" t="s">
        <v>1019</v>
      </c>
      <c r="K101">
        <v>5</v>
      </c>
      <c r="T101" t="s">
        <v>2071</v>
      </c>
      <c r="U101">
        <v>3</v>
      </c>
    </row>
    <row r="102" spans="1:21" x14ac:dyDescent="0.3">
      <c r="A102" t="s">
        <v>1310</v>
      </c>
      <c r="B102" t="s">
        <v>1065</v>
      </c>
      <c r="C102">
        <v>154</v>
      </c>
      <c r="D102" t="s">
        <v>1024</v>
      </c>
      <c r="E102" s="1">
        <v>45007</v>
      </c>
      <c r="F102">
        <v>172</v>
      </c>
      <c r="G102">
        <v>3.1</v>
      </c>
      <c r="H102">
        <v>2023</v>
      </c>
      <c r="I102" t="s">
        <v>1048</v>
      </c>
      <c r="J102" t="s">
        <v>1031</v>
      </c>
      <c r="K102">
        <v>3</v>
      </c>
      <c r="T102" t="s">
        <v>2071</v>
      </c>
      <c r="U102">
        <v>3</v>
      </c>
    </row>
    <row r="103" spans="1:21" x14ac:dyDescent="0.3">
      <c r="A103" t="s">
        <v>1311</v>
      </c>
      <c r="B103" t="s">
        <v>1041</v>
      </c>
      <c r="C103">
        <v>131</v>
      </c>
      <c r="D103" t="s">
        <v>1024</v>
      </c>
      <c r="E103" s="1">
        <v>45007</v>
      </c>
      <c r="F103">
        <v>58</v>
      </c>
      <c r="G103">
        <v>4.9000000000000004</v>
      </c>
      <c r="H103">
        <v>2023</v>
      </c>
      <c r="I103" t="s">
        <v>1048</v>
      </c>
      <c r="J103" t="s">
        <v>1031</v>
      </c>
      <c r="K103">
        <v>5</v>
      </c>
      <c r="T103" t="s">
        <v>2071</v>
      </c>
      <c r="U103">
        <v>3</v>
      </c>
    </row>
    <row r="104" spans="1:21" x14ac:dyDescent="0.3">
      <c r="A104" t="s">
        <v>1312</v>
      </c>
      <c r="B104" t="s">
        <v>1036</v>
      </c>
      <c r="C104">
        <v>111</v>
      </c>
      <c r="D104" t="s">
        <v>1038</v>
      </c>
      <c r="E104" s="1">
        <v>45008</v>
      </c>
      <c r="F104">
        <v>86</v>
      </c>
      <c r="G104">
        <v>4.0999999999999996</v>
      </c>
      <c r="H104">
        <v>2023</v>
      </c>
      <c r="I104" t="s">
        <v>1052</v>
      </c>
      <c r="J104" t="s">
        <v>1019</v>
      </c>
      <c r="K104">
        <v>4</v>
      </c>
      <c r="T104" t="s">
        <v>2071</v>
      </c>
      <c r="U104">
        <v>3</v>
      </c>
    </row>
    <row r="105" spans="1:21" x14ac:dyDescent="0.3">
      <c r="A105" t="s">
        <v>1316</v>
      </c>
      <c r="B105" t="s">
        <v>1098</v>
      </c>
      <c r="C105">
        <v>76</v>
      </c>
      <c r="D105" t="s">
        <v>1024</v>
      </c>
      <c r="E105" s="1">
        <v>45010</v>
      </c>
      <c r="F105">
        <v>110</v>
      </c>
      <c r="G105">
        <v>4.4000000000000004</v>
      </c>
      <c r="H105">
        <v>2023</v>
      </c>
      <c r="I105" t="s">
        <v>1062</v>
      </c>
      <c r="J105" t="s">
        <v>1019</v>
      </c>
      <c r="K105">
        <v>4</v>
      </c>
      <c r="T105" t="s">
        <v>2071</v>
      </c>
      <c r="U105">
        <v>3</v>
      </c>
    </row>
    <row r="106" spans="1:21" x14ac:dyDescent="0.3">
      <c r="A106" t="s">
        <v>1324</v>
      </c>
      <c r="B106" t="s">
        <v>1045</v>
      </c>
      <c r="C106">
        <v>118</v>
      </c>
      <c r="D106" t="s">
        <v>1038</v>
      </c>
      <c r="E106" s="1">
        <v>45011</v>
      </c>
      <c r="F106">
        <v>99</v>
      </c>
      <c r="G106">
        <v>5</v>
      </c>
      <c r="H106">
        <v>2023</v>
      </c>
      <c r="I106" t="s">
        <v>1018</v>
      </c>
      <c r="J106" t="s">
        <v>1019</v>
      </c>
      <c r="K106">
        <v>5</v>
      </c>
      <c r="T106" t="s">
        <v>2071</v>
      </c>
      <c r="U106">
        <v>3</v>
      </c>
    </row>
    <row r="107" spans="1:21" x14ac:dyDescent="0.3">
      <c r="A107" t="s">
        <v>1325</v>
      </c>
      <c r="B107" t="s">
        <v>1065</v>
      </c>
      <c r="C107">
        <v>75</v>
      </c>
      <c r="D107" t="s">
        <v>1024</v>
      </c>
      <c r="E107" s="1">
        <v>45011</v>
      </c>
      <c r="F107">
        <v>135</v>
      </c>
      <c r="G107">
        <v>4.7</v>
      </c>
      <c r="H107">
        <v>2023</v>
      </c>
      <c r="I107" t="s">
        <v>1018</v>
      </c>
      <c r="J107" t="s">
        <v>1019</v>
      </c>
      <c r="K107">
        <v>5</v>
      </c>
      <c r="T107" t="s">
        <v>2071</v>
      </c>
      <c r="U107">
        <v>3</v>
      </c>
    </row>
    <row r="108" spans="1:21" x14ac:dyDescent="0.3">
      <c r="A108" t="s">
        <v>1328</v>
      </c>
      <c r="B108" t="s">
        <v>1036</v>
      </c>
      <c r="C108">
        <v>61</v>
      </c>
      <c r="D108" t="s">
        <v>1029</v>
      </c>
      <c r="E108" s="1">
        <v>45012</v>
      </c>
      <c r="F108">
        <v>140</v>
      </c>
      <c r="G108">
        <v>1.8</v>
      </c>
      <c r="H108">
        <v>2023</v>
      </c>
      <c r="I108" t="s">
        <v>1030</v>
      </c>
      <c r="J108" t="s">
        <v>1019</v>
      </c>
      <c r="K108">
        <v>2</v>
      </c>
      <c r="T108" t="s">
        <v>2071</v>
      </c>
      <c r="U108">
        <v>3</v>
      </c>
    </row>
    <row r="109" spans="1:21" x14ac:dyDescent="0.3">
      <c r="A109" t="s">
        <v>1330</v>
      </c>
      <c r="B109" t="s">
        <v>1047</v>
      </c>
      <c r="C109">
        <v>141</v>
      </c>
      <c r="D109" t="s">
        <v>1042</v>
      </c>
      <c r="E109" s="1">
        <v>45012</v>
      </c>
      <c r="F109">
        <v>80</v>
      </c>
      <c r="G109">
        <v>4.4000000000000004</v>
      </c>
      <c r="H109">
        <v>2023</v>
      </c>
      <c r="I109" t="s">
        <v>1030</v>
      </c>
      <c r="J109" t="s">
        <v>1031</v>
      </c>
      <c r="K109">
        <v>4</v>
      </c>
      <c r="T109" t="s">
        <v>2071</v>
      </c>
      <c r="U109">
        <v>3</v>
      </c>
    </row>
    <row r="110" spans="1:21" x14ac:dyDescent="0.3">
      <c r="A110" t="s">
        <v>1332</v>
      </c>
      <c r="B110" t="s">
        <v>1065</v>
      </c>
      <c r="C110">
        <v>39</v>
      </c>
      <c r="D110" t="s">
        <v>1029</v>
      </c>
      <c r="E110" s="1">
        <v>45013</v>
      </c>
      <c r="F110">
        <v>81</v>
      </c>
      <c r="G110">
        <v>5</v>
      </c>
      <c r="H110">
        <v>2023</v>
      </c>
      <c r="I110" t="s">
        <v>1033</v>
      </c>
      <c r="J110" t="s">
        <v>1034</v>
      </c>
      <c r="K110">
        <v>5</v>
      </c>
      <c r="T110" t="s">
        <v>2071</v>
      </c>
      <c r="U110">
        <v>3</v>
      </c>
    </row>
    <row r="111" spans="1:21" x14ac:dyDescent="0.3">
      <c r="A111" t="s">
        <v>1334</v>
      </c>
      <c r="B111" t="s">
        <v>1036</v>
      </c>
      <c r="C111">
        <v>78</v>
      </c>
      <c r="D111" t="s">
        <v>1024</v>
      </c>
      <c r="E111" s="1">
        <v>45013</v>
      </c>
      <c r="F111">
        <v>43</v>
      </c>
      <c r="G111">
        <v>3.8</v>
      </c>
      <c r="H111">
        <v>2023</v>
      </c>
      <c r="I111" t="s">
        <v>1033</v>
      </c>
      <c r="J111" t="s">
        <v>1019</v>
      </c>
      <c r="K111">
        <v>4</v>
      </c>
      <c r="T111" t="s">
        <v>2071</v>
      </c>
      <c r="U111">
        <v>3</v>
      </c>
    </row>
    <row r="112" spans="1:21" x14ac:dyDescent="0.3">
      <c r="A112" t="s">
        <v>1335</v>
      </c>
      <c r="B112" t="s">
        <v>1045</v>
      </c>
      <c r="C112">
        <v>40</v>
      </c>
      <c r="D112" t="s">
        <v>1024</v>
      </c>
      <c r="E112" s="1">
        <v>45013</v>
      </c>
      <c r="F112">
        <v>34</v>
      </c>
      <c r="G112">
        <v>4.5999999999999996</v>
      </c>
      <c r="H112">
        <v>2023</v>
      </c>
      <c r="I112" t="s">
        <v>1033</v>
      </c>
      <c r="J112" t="s">
        <v>1034</v>
      </c>
      <c r="K112">
        <v>5</v>
      </c>
      <c r="T112" t="s">
        <v>2071</v>
      </c>
      <c r="U112">
        <v>3</v>
      </c>
    </row>
    <row r="113" spans="1:21" x14ac:dyDescent="0.3">
      <c r="A113" t="s">
        <v>1336</v>
      </c>
      <c r="B113" t="s">
        <v>1036</v>
      </c>
      <c r="C113">
        <v>56</v>
      </c>
      <c r="D113" t="s">
        <v>1029</v>
      </c>
      <c r="E113" s="1">
        <v>45013</v>
      </c>
      <c r="F113">
        <v>225</v>
      </c>
      <c r="G113">
        <v>4.5999999999999996</v>
      </c>
      <c r="H113">
        <v>2023</v>
      </c>
      <c r="I113" t="s">
        <v>1033</v>
      </c>
      <c r="J113" t="s">
        <v>1034</v>
      </c>
      <c r="K113">
        <v>5</v>
      </c>
      <c r="T113" t="s">
        <v>2071</v>
      </c>
      <c r="U113">
        <v>3</v>
      </c>
    </row>
    <row r="114" spans="1:21" x14ac:dyDescent="0.3">
      <c r="A114" t="s">
        <v>1337</v>
      </c>
      <c r="B114" t="s">
        <v>1065</v>
      </c>
      <c r="C114">
        <v>59</v>
      </c>
      <c r="D114" t="s">
        <v>1042</v>
      </c>
      <c r="E114" s="1">
        <v>45013</v>
      </c>
      <c r="F114">
        <v>210</v>
      </c>
      <c r="G114">
        <v>4.5</v>
      </c>
      <c r="H114">
        <v>2023</v>
      </c>
      <c r="I114" t="s">
        <v>1033</v>
      </c>
      <c r="J114" t="s">
        <v>1034</v>
      </c>
      <c r="K114">
        <v>5</v>
      </c>
      <c r="T114" t="s">
        <v>2071</v>
      </c>
      <c r="U114">
        <v>3</v>
      </c>
    </row>
    <row r="115" spans="1:21" x14ac:dyDescent="0.3">
      <c r="A115" t="s">
        <v>1339</v>
      </c>
      <c r="B115" t="s">
        <v>1045</v>
      </c>
      <c r="C115">
        <v>63</v>
      </c>
      <c r="D115" t="s">
        <v>1017</v>
      </c>
      <c r="E115" s="1">
        <v>45014</v>
      </c>
      <c r="F115">
        <v>82</v>
      </c>
      <c r="G115">
        <v>4.5</v>
      </c>
      <c r="H115">
        <v>2023</v>
      </c>
      <c r="I115" t="s">
        <v>1048</v>
      </c>
      <c r="J115" t="s">
        <v>1019</v>
      </c>
      <c r="K115">
        <v>5</v>
      </c>
      <c r="T115" t="s">
        <v>2071</v>
      </c>
      <c r="U115">
        <v>3</v>
      </c>
    </row>
    <row r="116" spans="1:21" x14ac:dyDescent="0.3">
      <c r="A116" t="s">
        <v>1341</v>
      </c>
      <c r="B116" t="s">
        <v>1098</v>
      </c>
      <c r="C116">
        <v>95</v>
      </c>
      <c r="D116" t="s">
        <v>1017</v>
      </c>
      <c r="E116" s="1">
        <v>45014</v>
      </c>
      <c r="F116">
        <v>111</v>
      </c>
      <c r="G116">
        <v>3.3</v>
      </c>
      <c r="H116">
        <v>2023</v>
      </c>
      <c r="I116" t="s">
        <v>1048</v>
      </c>
      <c r="J116" t="s">
        <v>1019</v>
      </c>
      <c r="K116">
        <v>3</v>
      </c>
      <c r="T116" t="s">
        <v>2071</v>
      </c>
      <c r="U116">
        <v>3</v>
      </c>
    </row>
    <row r="117" spans="1:21" x14ac:dyDescent="0.3">
      <c r="A117" t="s">
        <v>1348</v>
      </c>
      <c r="B117" t="s">
        <v>1041</v>
      </c>
      <c r="C117">
        <v>99</v>
      </c>
      <c r="D117" t="s">
        <v>1024</v>
      </c>
      <c r="E117" s="1">
        <v>45017</v>
      </c>
      <c r="F117">
        <v>74</v>
      </c>
      <c r="G117">
        <v>4</v>
      </c>
      <c r="H117">
        <v>2023</v>
      </c>
      <c r="I117" t="s">
        <v>1062</v>
      </c>
      <c r="J117" t="s">
        <v>1019</v>
      </c>
      <c r="K117">
        <v>4</v>
      </c>
      <c r="T117" t="s">
        <v>2072</v>
      </c>
      <c r="U117">
        <v>4</v>
      </c>
    </row>
    <row r="118" spans="1:21" x14ac:dyDescent="0.3">
      <c r="A118" t="s">
        <v>1350</v>
      </c>
      <c r="B118" t="s">
        <v>1045</v>
      </c>
      <c r="C118">
        <v>65</v>
      </c>
      <c r="D118" t="s">
        <v>1024</v>
      </c>
      <c r="E118" s="1">
        <v>45017</v>
      </c>
      <c r="F118">
        <v>64</v>
      </c>
      <c r="G118">
        <v>3.7</v>
      </c>
      <c r="H118">
        <v>2023</v>
      </c>
      <c r="I118" t="s">
        <v>1062</v>
      </c>
      <c r="J118" t="s">
        <v>1019</v>
      </c>
      <c r="K118">
        <v>4</v>
      </c>
      <c r="T118" t="s">
        <v>2072</v>
      </c>
      <c r="U118">
        <v>4</v>
      </c>
    </row>
    <row r="119" spans="1:21" x14ac:dyDescent="0.3">
      <c r="A119" t="s">
        <v>1356</v>
      </c>
      <c r="B119" t="s">
        <v>1041</v>
      </c>
      <c r="C119">
        <v>111</v>
      </c>
      <c r="D119" t="s">
        <v>1024</v>
      </c>
      <c r="E119" s="1">
        <v>45020</v>
      </c>
      <c r="F119">
        <v>175</v>
      </c>
      <c r="G119">
        <v>3.5</v>
      </c>
      <c r="H119">
        <v>2023</v>
      </c>
      <c r="I119" t="s">
        <v>1033</v>
      </c>
      <c r="J119" t="s">
        <v>1019</v>
      </c>
      <c r="K119">
        <v>4</v>
      </c>
      <c r="T119" t="s">
        <v>2072</v>
      </c>
      <c r="U119">
        <v>4</v>
      </c>
    </row>
    <row r="120" spans="1:21" x14ac:dyDescent="0.3">
      <c r="A120" t="s">
        <v>1359</v>
      </c>
      <c r="B120" t="s">
        <v>1036</v>
      </c>
      <c r="C120">
        <v>38</v>
      </c>
      <c r="D120" t="s">
        <v>1024</v>
      </c>
      <c r="E120" s="1">
        <v>45021</v>
      </c>
      <c r="F120">
        <v>81</v>
      </c>
      <c r="G120">
        <v>3.6</v>
      </c>
      <c r="H120">
        <v>2023</v>
      </c>
      <c r="I120" t="s">
        <v>1048</v>
      </c>
      <c r="J120" t="s">
        <v>1034</v>
      </c>
      <c r="K120">
        <v>4</v>
      </c>
      <c r="T120" t="s">
        <v>2072</v>
      </c>
      <c r="U120">
        <v>4</v>
      </c>
    </row>
    <row r="121" spans="1:21" x14ac:dyDescent="0.3">
      <c r="A121" t="s">
        <v>1360</v>
      </c>
      <c r="B121" t="s">
        <v>1065</v>
      </c>
      <c r="C121">
        <v>130</v>
      </c>
      <c r="D121" t="s">
        <v>1042</v>
      </c>
      <c r="E121" s="1">
        <v>45021</v>
      </c>
      <c r="F121">
        <v>54</v>
      </c>
      <c r="G121">
        <v>4.0999999999999996</v>
      </c>
      <c r="H121">
        <v>2023</v>
      </c>
      <c r="I121" t="s">
        <v>1048</v>
      </c>
      <c r="J121" t="s">
        <v>1031</v>
      </c>
      <c r="K121">
        <v>4</v>
      </c>
      <c r="T121" t="s">
        <v>2072</v>
      </c>
      <c r="U121">
        <v>4</v>
      </c>
    </row>
    <row r="122" spans="1:21" x14ac:dyDescent="0.3">
      <c r="A122" t="s">
        <v>1361</v>
      </c>
      <c r="B122" t="s">
        <v>1045</v>
      </c>
      <c r="C122">
        <v>23</v>
      </c>
      <c r="D122" t="s">
        <v>1029</v>
      </c>
      <c r="E122" s="1">
        <v>45021</v>
      </c>
      <c r="F122">
        <v>105</v>
      </c>
      <c r="G122">
        <v>4.8</v>
      </c>
      <c r="H122">
        <v>2023</v>
      </c>
      <c r="I122" t="s">
        <v>1048</v>
      </c>
      <c r="J122" t="s">
        <v>1056</v>
      </c>
      <c r="K122">
        <v>5</v>
      </c>
      <c r="T122" t="s">
        <v>2072</v>
      </c>
      <c r="U122">
        <v>4</v>
      </c>
    </row>
    <row r="123" spans="1:21" x14ac:dyDescent="0.3">
      <c r="A123" t="s">
        <v>1362</v>
      </c>
      <c r="B123" t="s">
        <v>1065</v>
      </c>
      <c r="C123">
        <v>124</v>
      </c>
      <c r="D123" t="s">
        <v>1024</v>
      </c>
      <c r="E123" s="1">
        <v>45022</v>
      </c>
      <c r="F123">
        <v>176</v>
      </c>
      <c r="G123">
        <v>3.9</v>
      </c>
      <c r="H123">
        <v>2023</v>
      </c>
      <c r="I123" t="s">
        <v>1052</v>
      </c>
      <c r="J123" t="s">
        <v>1031</v>
      </c>
      <c r="K123">
        <v>4</v>
      </c>
      <c r="T123" t="s">
        <v>2072</v>
      </c>
      <c r="U123">
        <v>4</v>
      </c>
    </row>
    <row r="124" spans="1:21" x14ac:dyDescent="0.3">
      <c r="A124" t="s">
        <v>1369</v>
      </c>
      <c r="B124" t="s">
        <v>1036</v>
      </c>
      <c r="C124">
        <v>36</v>
      </c>
      <c r="D124" t="s">
        <v>1024</v>
      </c>
      <c r="E124" s="1">
        <v>45023</v>
      </c>
      <c r="F124">
        <v>135</v>
      </c>
      <c r="G124">
        <v>4.5999999999999996</v>
      </c>
      <c r="H124">
        <v>2023</v>
      </c>
      <c r="I124" t="s">
        <v>411</v>
      </c>
      <c r="J124" t="s">
        <v>1034</v>
      </c>
      <c r="K124">
        <v>5</v>
      </c>
      <c r="T124" t="s">
        <v>2072</v>
      </c>
      <c r="U124">
        <v>4</v>
      </c>
    </row>
    <row r="125" spans="1:21" x14ac:dyDescent="0.3">
      <c r="A125" t="s">
        <v>1370</v>
      </c>
      <c r="B125" t="s">
        <v>1065</v>
      </c>
      <c r="C125">
        <v>74</v>
      </c>
      <c r="D125" t="s">
        <v>1024</v>
      </c>
      <c r="E125" s="1">
        <v>45023</v>
      </c>
      <c r="F125">
        <v>30</v>
      </c>
      <c r="G125">
        <v>4</v>
      </c>
      <c r="H125">
        <v>2023</v>
      </c>
      <c r="I125" t="s">
        <v>411</v>
      </c>
      <c r="J125" t="s">
        <v>1019</v>
      </c>
      <c r="K125">
        <v>4</v>
      </c>
      <c r="T125" t="s">
        <v>2072</v>
      </c>
      <c r="U125">
        <v>4</v>
      </c>
    </row>
    <row r="126" spans="1:21" x14ac:dyDescent="0.3">
      <c r="A126" t="s">
        <v>1372</v>
      </c>
      <c r="B126" t="s">
        <v>1098</v>
      </c>
      <c r="C126">
        <v>70</v>
      </c>
      <c r="D126" t="s">
        <v>1038</v>
      </c>
      <c r="E126" s="1">
        <v>45023</v>
      </c>
      <c r="F126">
        <v>42</v>
      </c>
      <c r="G126">
        <v>4.4000000000000004</v>
      </c>
      <c r="H126">
        <v>2023</v>
      </c>
      <c r="I126" t="s">
        <v>411</v>
      </c>
      <c r="J126" t="s">
        <v>1019</v>
      </c>
      <c r="K126">
        <v>4</v>
      </c>
      <c r="T126" t="s">
        <v>2072</v>
      </c>
      <c r="U126">
        <v>4</v>
      </c>
    </row>
    <row r="127" spans="1:21" x14ac:dyDescent="0.3">
      <c r="A127" t="s">
        <v>1374</v>
      </c>
      <c r="B127" t="s">
        <v>1041</v>
      </c>
      <c r="C127">
        <v>104</v>
      </c>
      <c r="D127" t="s">
        <v>1029</v>
      </c>
      <c r="E127" s="1">
        <v>45023</v>
      </c>
      <c r="F127">
        <v>164</v>
      </c>
      <c r="G127">
        <v>4</v>
      </c>
      <c r="H127">
        <v>2023</v>
      </c>
      <c r="I127" t="s">
        <v>411</v>
      </c>
      <c r="J127" t="s">
        <v>1019</v>
      </c>
      <c r="K127">
        <v>4</v>
      </c>
      <c r="T127" t="s">
        <v>2072</v>
      </c>
      <c r="U127">
        <v>4</v>
      </c>
    </row>
    <row r="128" spans="1:21" x14ac:dyDescent="0.3">
      <c r="A128" t="s">
        <v>1382</v>
      </c>
      <c r="B128" t="s">
        <v>1065</v>
      </c>
      <c r="C128">
        <v>23</v>
      </c>
      <c r="D128" t="s">
        <v>1024</v>
      </c>
      <c r="E128" s="1">
        <v>45025</v>
      </c>
      <c r="F128">
        <v>86</v>
      </c>
      <c r="G128">
        <v>2.2000000000000002</v>
      </c>
      <c r="H128">
        <v>2023</v>
      </c>
      <c r="I128" t="s">
        <v>1018</v>
      </c>
      <c r="J128" t="s">
        <v>1056</v>
      </c>
      <c r="K128">
        <v>2</v>
      </c>
      <c r="T128" t="s">
        <v>2072</v>
      </c>
      <c r="U128">
        <v>4</v>
      </c>
    </row>
    <row r="129" spans="1:21" x14ac:dyDescent="0.3">
      <c r="A129" t="s">
        <v>1385</v>
      </c>
      <c r="B129" t="s">
        <v>1047</v>
      </c>
      <c r="C129">
        <v>47</v>
      </c>
      <c r="D129" t="s">
        <v>1017</v>
      </c>
      <c r="E129" s="1">
        <v>45025</v>
      </c>
      <c r="F129">
        <v>132</v>
      </c>
      <c r="G129">
        <v>3.7</v>
      </c>
      <c r="H129">
        <v>2023</v>
      </c>
      <c r="I129" t="s">
        <v>1018</v>
      </c>
      <c r="J129" t="s">
        <v>1034</v>
      </c>
      <c r="K129">
        <v>4</v>
      </c>
      <c r="T129" t="s">
        <v>2072</v>
      </c>
      <c r="U129">
        <v>4</v>
      </c>
    </row>
    <row r="130" spans="1:21" x14ac:dyDescent="0.3">
      <c r="A130" t="s">
        <v>1387</v>
      </c>
      <c r="B130" t="s">
        <v>1041</v>
      </c>
      <c r="C130">
        <v>104</v>
      </c>
      <c r="D130" t="s">
        <v>1038</v>
      </c>
      <c r="E130" s="1">
        <v>45026</v>
      </c>
      <c r="F130">
        <v>68</v>
      </c>
      <c r="G130">
        <v>3.6</v>
      </c>
      <c r="H130">
        <v>2023</v>
      </c>
      <c r="I130" t="s">
        <v>1030</v>
      </c>
      <c r="J130" t="s">
        <v>1019</v>
      </c>
      <c r="K130">
        <v>4</v>
      </c>
      <c r="T130" t="s">
        <v>2072</v>
      </c>
      <c r="U130">
        <v>4</v>
      </c>
    </row>
    <row r="131" spans="1:21" x14ac:dyDescent="0.3">
      <c r="A131" t="s">
        <v>1388</v>
      </c>
      <c r="B131" t="s">
        <v>1047</v>
      </c>
      <c r="C131">
        <v>116</v>
      </c>
      <c r="D131" t="s">
        <v>1024</v>
      </c>
      <c r="E131" s="1">
        <v>45026</v>
      </c>
      <c r="F131">
        <v>22</v>
      </c>
      <c r="G131">
        <v>4.7</v>
      </c>
      <c r="H131">
        <v>2023</v>
      </c>
      <c r="I131" t="s">
        <v>1030</v>
      </c>
      <c r="J131" t="s">
        <v>1019</v>
      </c>
      <c r="K131">
        <v>5</v>
      </c>
      <c r="T131" t="s">
        <v>2072</v>
      </c>
      <c r="U131">
        <v>4</v>
      </c>
    </row>
    <row r="132" spans="1:21" x14ac:dyDescent="0.3">
      <c r="A132" t="s">
        <v>1389</v>
      </c>
      <c r="B132" t="s">
        <v>1065</v>
      </c>
      <c r="C132">
        <v>99</v>
      </c>
      <c r="D132" t="s">
        <v>1038</v>
      </c>
      <c r="E132" s="1">
        <v>45026</v>
      </c>
      <c r="F132">
        <v>42</v>
      </c>
      <c r="G132">
        <v>3.1</v>
      </c>
      <c r="H132">
        <v>2023</v>
      </c>
      <c r="I132" t="s">
        <v>1030</v>
      </c>
      <c r="J132" t="s">
        <v>1019</v>
      </c>
      <c r="K132">
        <v>3</v>
      </c>
      <c r="T132" t="s">
        <v>2072</v>
      </c>
      <c r="U132">
        <v>4</v>
      </c>
    </row>
    <row r="133" spans="1:21" x14ac:dyDescent="0.3">
      <c r="A133" t="s">
        <v>1390</v>
      </c>
      <c r="B133" t="s">
        <v>1041</v>
      </c>
      <c r="C133">
        <v>84</v>
      </c>
      <c r="D133" t="s">
        <v>1038</v>
      </c>
      <c r="E133" s="1">
        <v>45027</v>
      </c>
      <c r="F133">
        <v>38</v>
      </c>
      <c r="G133">
        <v>3.3</v>
      </c>
      <c r="H133">
        <v>2023</v>
      </c>
      <c r="I133" t="s">
        <v>1033</v>
      </c>
      <c r="J133" t="s">
        <v>1019</v>
      </c>
      <c r="K133">
        <v>3</v>
      </c>
      <c r="T133" t="s">
        <v>2072</v>
      </c>
      <c r="U133">
        <v>4</v>
      </c>
    </row>
    <row r="134" spans="1:21" x14ac:dyDescent="0.3">
      <c r="A134" t="s">
        <v>1392</v>
      </c>
      <c r="B134" t="s">
        <v>1036</v>
      </c>
      <c r="C134">
        <v>25</v>
      </c>
      <c r="D134" t="s">
        <v>1017</v>
      </c>
      <c r="E134" s="1">
        <v>45027</v>
      </c>
      <c r="F134">
        <v>75</v>
      </c>
      <c r="G134">
        <v>3.9</v>
      </c>
      <c r="H134">
        <v>2023</v>
      </c>
      <c r="I134" t="s">
        <v>1033</v>
      </c>
      <c r="J134" t="s">
        <v>1056</v>
      </c>
      <c r="K134">
        <v>4</v>
      </c>
      <c r="T134" t="s">
        <v>2072</v>
      </c>
      <c r="U134">
        <v>4</v>
      </c>
    </row>
    <row r="135" spans="1:21" x14ac:dyDescent="0.3">
      <c r="A135" t="s">
        <v>1396</v>
      </c>
      <c r="B135" t="s">
        <v>1065</v>
      </c>
      <c r="C135">
        <v>50</v>
      </c>
      <c r="D135" t="s">
        <v>1024</v>
      </c>
      <c r="E135" s="1">
        <v>45029</v>
      </c>
      <c r="F135">
        <v>105</v>
      </c>
      <c r="G135">
        <v>3.5</v>
      </c>
      <c r="H135">
        <v>2023</v>
      </c>
      <c r="I135" t="s">
        <v>1052</v>
      </c>
      <c r="J135" t="s">
        <v>1034</v>
      </c>
      <c r="K135">
        <v>4</v>
      </c>
      <c r="T135" t="s">
        <v>2072</v>
      </c>
      <c r="U135">
        <v>4</v>
      </c>
    </row>
    <row r="136" spans="1:21" x14ac:dyDescent="0.3">
      <c r="A136" t="s">
        <v>1398</v>
      </c>
      <c r="B136" t="s">
        <v>1045</v>
      </c>
      <c r="C136">
        <v>114</v>
      </c>
      <c r="D136" t="s">
        <v>1038</v>
      </c>
      <c r="E136" s="1">
        <v>45030</v>
      </c>
      <c r="F136">
        <v>126</v>
      </c>
      <c r="G136">
        <v>4.4000000000000004</v>
      </c>
      <c r="H136">
        <v>2023</v>
      </c>
      <c r="I136" t="s">
        <v>411</v>
      </c>
      <c r="J136" t="s">
        <v>1019</v>
      </c>
      <c r="K136">
        <v>4</v>
      </c>
      <c r="T136" t="s">
        <v>2072</v>
      </c>
      <c r="U136">
        <v>4</v>
      </c>
    </row>
    <row r="137" spans="1:21" x14ac:dyDescent="0.3">
      <c r="A137" t="s">
        <v>1401</v>
      </c>
      <c r="B137" t="s">
        <v>1098</v>
      </c>
      <c r="C137">
        <v>67</v>
      </c>
      <c r="D137" t="s">
        <v>1024</v>
      </c>
      <c r="E137" s="1">
        <v>45031</v>
      </c>
      <c r="F137">
        <v>172</v>
      </c>
      <c r="G137">
        <v>4.5</v>
      </c>
      <c r="H137">
        <v>2023</v>
      </c>
      <c r="I137" t="s">
        <v>1062</v>
      </c>
      <c r="J137" t="s">
        <v>1019</v>
      </c>
      <c r="K137">
        <v>5</v>
      </c>
      <c r="T137" t="s">
        <v>2072</v>
      </c>
      <c r="U137">
        <v>4</v>
      </c>
    </row>
    <row r="138" spans="1:21" x14ac:dyDescent="0.3">
      <c r="A138" t="s">
        <v>1402</v>
      </c>
      <c r="B138" t="s">
        <v>1045</v>
      </c>
      <c r="C138">
        <v>139</v>
      </c>
      <c r="D138" t="s">
        <v>1017</v>
      </c>
      <c r="E138" s="1">
        <v>45031</v>
      </c>
      <c r="F138">
        <v>114</v>
      </c>
      <c r="G138">
        <v>4</v>
      </c>
      <c r="H138">
        <v>2023</v>
      </c>
      <c r="I138" t="s">
        <v>1062</v>
      </c>
      <c r="J138" t="s">
        <v>1031</v>
      </c>
      <c r="K138">
        <v>4</v>
      </c>
      <c r="T138" t="s">
        <v>2072</v>
      </c>
      <c r="U138">
        <v>4</v>
      </c>
    </row>
    <row r="139" spans="1:21" x14ac:dyDescent="0.3">
      <c r="A139" t="s">
        <v>1403</v>
      </c>
      <c r="B139" t="s">
        <v>1098</v>
      </c>
      <c r="C139">
        <v>102</v>
      </c>
      <c r="D139" t="s">
        <v>1017</v>
      </c>
      <c r="E139" s="1">
        <v>45031</v>
      </c>
      <c r="F139">
        <v>60</v>
      </c>
      <c r="G139">
        <v>3.8</v>
      </c>
      <c r="H139">
        <v>2023</v>
      </c>
      <c r="I139" t="s">
        <v>1062</v>
      </c>
      <c r="J139" t="s">
        <v>1019</v>
      </c>
      <c r="K139">
        <v>4</v>
      </c>
      <c r="T139" t="s">
        <v>2072</v>
      </c>
      <c r="U139">
        <v>4</v>
      </c>
    </row>
    <row r="140" spans="1:21" x14ac:dyDescent="0.3">
      <c r="A140" t="s">
        <v>1405</v>
      </c>
      <c r="B140" t="s">
        <v>1036</v>
      </c>
      <c r="C140">
        <v>66</v>
      </c>
      <c r="D140" t="s">
        <v>1024</v>
      </c>
      <c r="E140" s="1">
        <v>45031</v>
      </c>
      <c r="F140">
        <v>210</v>
      </c>
      <c r="G140">
        <v>4.3</v>
      </c>
      <c r="H140">
        <v>2023</v>
      </c>
      <c r="I140" t="s">
        <v>1062</v>
      </c>
      <c r="J140" t="s">
        <v>1019</v>
      </c>
      <c r="K140">
        <v>4</v>
      </c>
      <c r="T140" t="s">
        <v>2072</v>
      </c>
      <c r="U140">
        <v>4</v>
      </c>
    </row>
    <row r="141" spans="1:21" x14ac:dyDescent="0.3">
      <c r="A141" t="s">
        <v>1410</v>
      </c>
      <c r="B141" t="s">
        <v>1065</v>
      </c>
      <c r="C141">
        <v>45</v>
      </c>
      <c r="D141" t="s">
        <v>1029</v>
      </c>
      <c r="E141" s="1">
        <v>45032</v>
      </c>
      <c r="F141">
        <v>156</v>
      </c>
      <c r="G141">
        <v>2.7</v>
      </c>
      <c r="H141">
        <v>2023</v>
      </c>
      <c r="I141" t="s">
        <v>1018</v>
      </c>
      <c r="J141" t="s">
        <v>1034</v>
      </c>
      <c r="K141">
        <v>3</v>
      </c>
      <c r="T141" t="s">
        <v>2072</v>
      </c>
      <c r="U141">
        <v>4</v>
      </c>
    </row>
    <row r="142" spans="1:21" x14ac:dyDescent="0.3">
      <c r="A142" t="s">
        <v>1412</v>
      </c>
      <c r="B142" t="s">
        <v>1047</v>
      </c>
      <c r="C142">
        <v>49</v>
      </c>
      <c r="D142" t="s">
        <v>1042</v>
      </c>
      <c r="E142" s="1">
        <v>45032</v>
      </c>
      <c r="F142">
        <v>195</v>
      </c>
      <c r="G142">
        <v>2.6</v>
      </c>
      <c r="H142">
        <v>2023</v>
      </c>
      <c r="I142" t="s">
        <v>1018</v>
      </c>
      <c r="J142" t="s">
        <v>1034</v>
      </c>
      <c r="K142">
        <v>3</v>
      </c>
      <c r="T142" t="s">
        <v>2072</v>
      </c>
      <c r="U142">
        <v>4</v>
      </c>
    </row>
    <row r="143" spans="1:21" x14ac:dyDescent="0.3">
      <c r="A143" t="s">
        <v>1416</v>
      </c>
      <c r="B143" t="s">
        <v>1045</v>
      </c>
      <c r="C143">
        <v>69</v>
      </c>
      <c r="D143" t="s">
        <v>1029</v>
      </c>
      <c r="E143" s="1">
        <v>45032</v>
      </c>
      <c r="F143">
        <v>130</v>
      </c>
      <c r="G143">
        <v>1.9</v>
      </c>
      <c r="H143">
        <v>2023</v>
      </c>
      <c r="I143" t="s">
        <v>1018</v>
      </c>
      <c r="J143" t="s">
        <v>1019</v>
      </c>
      <c r="K143">
        <v>2</v>
      </c>
      <c r="T143" t="s">
        <v>2072</v>
      </c>
      <c r="U143">
        <v>4</v>
      </c>
    </row>
    <row r="144" spans="1:21" x14ac:dyDescent="0.3">
      <c r="A144" t="s">
        <v>1417</v>
      </c>
      <c r="B144" t="s">
        <v>1041</v>
      </c>
      <c r="C144">
        <v>110</v>
      </c>
      <c r="D144" t="s">
        <v>1038</v>
      </c>
      <c r="E144" s="1">
        <v>45033</v>
      </c>
      <c r="F144">
        <v>21</v>
      </c>
      <c r="G144">
        <v>2.6</v>
      </c>
      <c r="H144">
        <v>2023</v>
      </c>
      <c r="I144" t="s">
        <v>1030</v>
      </c>
      <c r="J144" t="s">
        <v>1019</v>
      </c>
      <c r="K144">
        <v>3</v>
      </c>
      <c r="T144" t="s">
        <v>2072</v>
      </c>
      <c r="U144">
        <v>4</v>
      </c>
    </row>
    <row r="145" spans="1:21" x14ac:dyDescent="0.3">
      <c r="A145" t="s">
        <v>1418</v>
      </c>
      <c r="B145" t="s">
        <v>1098</v>
      </c>
      <c r="C145">
        <v>64</v>
      </c>
      <c r="D145" t="s">
        <v>1017</v>
      </c>
      <c r="E145" s="1">
        <v>45033</v>
      </c>
      <c r="F145">
        <v>88</v>
      </c>
      <c r="G145">
        <v>4.3</v>
      </c>
      <c r="H145">
        <v>2023</v>
      </c>
      <c r="I145" t="s">
        <v>1030</v>
      </c>
      <c r="J145" t="s">
        <v>1019</v>
      </c>
      <c r="K145">
        <v>4</v>
      </c>
      <c r="T145" t="s">
        <v>2072</v>
      </c>
      <c r="U145">
        <v>4</v>
      </c>
    </row>
    <row r="146" spans="1:21" x14ac:dyDescent="0.3">
      <c r="A146" t="s">
        <v>1420</v>
      </c>
      <c r="B146" t="s">
        <v>1098</v>
      </c>
      <c r="C146">
        <v>165</v>
      </c>
      <c r="D146" t="s">
        <v>1024</v>
      </c>
      <c r="E146" s="1">
        <v>45033</v>
      </c>
      <c r="F146">
        <v>68</v>
      </c>
      <c r="G146">
        <v>4.3</v>
      </c>
      <c r="H146">
        <v>2023</v>
      </c>
      <c r="I146" t="s">
        <v>1030</v>
      </c>
      <c r="J146" t="s">
        <v>1031</v>
      </c>
      <c r="K146">
        <v>4</v>
      </c>
      <c r="T146" t="s">
        <v>2072</v>
      </c>
      <c r="U146">
        <v>4</v>
      </c>
    </row>
    <row r="147" spans="1:21" x14ac:dyDescent="0.3">
      <c r="A147" t="s">
        <v>1421</v>
      </c>
      <c r="B147" t="s">
        <v>1065</v>
      </c>
      <c r="C147">
        <v>125</v>
      </c>
      <c r="D147" t="s">
        <v>1024</v>
      </c>
      <c r="E147" s="1">
        <v>45033</v>
      </c>
      <c r="F147">
        <v>148</v>
      </c>
      <c r="G147">
        <v>4.5</v>
      </c>
      <c r="H147">
        <v>2023</v>
      </c>
      <c r="I147" t="s">
        <v>1030</v>
      </c>
      <c r="J147" t="s">
        <v>1031</v>
      </c>
      <c r="K147">
        <v>5</v>
      </c>
      <c r="T147" t="s">
        <v>2072</v>
      </c>
      <c r="U147">
        <v>4</v>
      </c>
    </row>
    <row r="148" spans="1:21" x14ac:dyDescent="0.3">
      <c r="A148" t="s">
        <v>1423</v>
      </c>
      <c r="B148" t="s">
        <v>1045</v>
      </c>
      <c r="C148">
        <v>6</v>
      </c>
      <c r="D148" t="s">
        <v>1017</v>
      </c>
      <c r="E148" s="1">
        <v>45034</v>
      </c>
      <c r="F148">
        <v>75</v>
      </c>
      <c r="G148">
        <v>3.9</v>
      </c>
      <c r="H148">
        <v>2023</v>
      </c>
      <c r="I148" t="s">
        <v>1033</v>
      </c>
      <c r="J148" t="s">
        <v>1186</v>
      </c>
      <c r="K148">
        <v>4</v>
      </c>
      <c r="T148" t="s">
        <v>2072</v>
      </c>
      <c r="U148">
        <v>4</v>
      </c>
    </row>
    <row r="149" spans="1:21" x14ac:dyDescent="0.3">
      <c r="A149" t="s">
        <v>1431</v>
      </c>
      <c r="B149" t="s">
        <v>1098</v>
      </c>
      <c r="C149">
        <v>62</v>
      </c>
      <c r="D149" t="s">
        <v>1029</v>
      </c>
      <c r="E149" s="1">
        <v>45035</v>
      </c>
      <c r="F149">
        <v>35</v>
      </c>
      <c r="G149">
        <v>4.4000000000000004</v>
      </c>
      <c r="H149">
        <v>2023</v>
      </c>
      <c r="I149" t="s">
        <v>1048</v>
      </c>
      <c r="J149" t="s">
        <v>1019</v>
      </c>
      <c r="K149">
        <v>4</v>
      </c>
      <c r="T149" t="s">
        <v>2072</v>
      </c>
      <c r="U149">
        <v>4</v>
      </c>
    </row>
    <row r="150" spans="1:21" x14ac:dyDescent="0.3">
      <c r="A150" t="s">
        <v>1432</v>
      </c>
      <c r="B150" t="s">
        <v>1041</v>
      </c>
      <c r="C150">
        <v>88</v>
      </c>
      <c r="D150" t="s">
        <v>1029</v>
      </c>
      <c r="E150" s="1">
        <v>45036</v>
      </c>
      <c r="F150">
        <v>35</v>
      </c>
      <c r="G150">
        <v>3.8</v>
      </c>
      <c r="H150">
        <v>2023</v>
      </c>
      <c r="I150" t="s">
        <v>1052</v>
      </c>
      <c r="J150" t="s">
        <v>1019</v>
      </c>
      <c r="K150">
        <v>4</v>
      </c>
      <c r="T150" t="s">
        <v>2072</v>
      </c>
      <c r="U150">
        <v>4</v>
      </c>
    </row>
    <row r="151" spans="1:21" x14ac:dyDescent="0.3">
      <c r="A151" t="s">
        <v>1433</v>
      </c>
      <c r="B151" t="s">
        <v>1065</v>
      </c>
      <c r="C151">
        <v>116</v>
      </c>
      <c r="D151" t="s">
        <v>1029</v>
      </c>
      <c r="E151" s="1">
        <v>45036</v>
      </c>
      <c r="F151">
        <v>132</v>
      </c>
      <c r="G151">
        <v>5</v>
      </c>
      <c r="H151">
        <v>2023</v>
      </c>
      <c r="I151" t="s">
        <v>1052</v>
      </c>
      <c r="J151" t="s">
        <v>1019</v>
      </c>
      <c r="K151">
        <v>5</v>
      </c>
      <c r="T151" t="s">
        <v>2072</v>
      </c>
      <c r="U151">
        <v>4</v>
      </c>
    </row>
    <row r="152" spans="1:21" x14ac:dyDescent="0.3">
      <c r="A152" t="s">
        <v>1435</v>
      </c>
      <c r="B152" t="s">
        <v>1098</v>
      </c>
      <c r="C152">
        <v>99</v>
      </c>
      <c r="D152" t="s">
        <v>1024</v>
      </c>
      <c r="E152" s="1">
        <v>45037</v>
      </c>
      <c r="F152">
        <v>48</v>
      </c>
      <c r="G152">
        <v>5</v>
      </c>
      <c r="H152">
        <v>2023</v>
      </c>
      <c r="I152" t="s">
        <v>411</v>
      </c>
      <c r="J152" t="s">
        <v>1019</v>
      </c>
      <c r="K152">
        <v>5</v>
      </c>
      <c r="T152" t="s">
        <v>2072</v>
      </c>
      <c r="U152">
        <v>4</v>
      </c>
    </row>
    <row r="153" spans="1:21" x14ac:dyDescent="0.3">
      <c r="A153" t="s">
        <v>1436</v>
      </c>
      <c r="B153" t="s">
        <v>1098</v>
      </c>
      <c r="C153">
        <v>55</v>
      </c>
      <c r="D153" t="s">
        <v>1017</v>
      </c>
      <c r="E153" s="1">
        <v>45037</v>
      </c>
      <c r="F153">
        <v>200</v>
      </c>
      <c r="G153">
        <v>2.2999999999999998</v>
      </c>
      <c r="H153">
        <v>2023</v>
      </c>
      <c r="I153" t="s">
        <v>411</v>
      </c>
      <c r="J153" t="s">
        <v>1034</v>
      </c>
      <c r="K153">
        <v>2</v>
      </c>
      <c r="T153" t="s">
        <v>2072</v>
      </c>
      <c r="U153">
        <v>4</v>
      </c>
    </row>
    <row r="154" spans="1:21" x14ac:dyDescent="0.3">
      <c r="A154" t="s">
        <v>1438</v>
      </c>
      <c r="B154" t="s">
        <v>1065</v>
      </c>
      <c r="C154">
        <v>36</v>
      </c>
      <c r="D154" t="s">
        <v>1038</v>
      </c>
      <c r="E154" s="1">
        <v>45037</v>
      </c>
      <c r="F154">
        <v>81</v>
      </c>
      <c r="G154">
        <v>3.7</v>
      </c>
      <c r="H154">
        <v>2023</v>
      </c>
      <c r="I154" t="s">
        <v>411</v>
      </c>
      <c r="J154" t="s">
        <v>1034</v>
      </c>
      <c r="K154">
        <v>4</v>
      </c>
      <c r="T154" t="s">
        <v>2072</v>
      </c>
      <c r="U154">
        <v>4</v>
      </c>
    </row>
    <row r="155" spans="1:21" x14ac:dyDescent="0.3">
      <c r="A155" t="s">
        <v>1440</v>
      </c>
      <c r="B155" t="s">
        <v>1047</v>
      </c>
      <c r="C155">
        <v>24</v>
      </c>
      <c r="D155" t="s">
        <v>1042</v>
      </c>
      <c r="E155" s="1">
        <v>45037</v>
      </c>
      <c r="F155">
        <v>74</v>
      </c>
      <c r="G155">
        <v>4.8</v>
      </c>
      <c r="H155">
        <v>2023</v>
      </c>
      <c r="I155" t="s">
        <v>411</v>
      </c>
      <c r="J155" t="s">
        <v>1056</v>
      </c>
      <c r="K155">
        <v>5</v>
      </c>
      <c r="T155" t="s">
        <v>2072</v>
      </c>
      <c r="U155">
        <v>4</v>
      </c>
    </row>
    <row r="156" spans="1:21" x14ac:dyDescent="0.3">
      <c r="A156" t="s">
        <v>1443</v>
      </c>
      <c r="B156" t="s">
        <v>1098</v>
      </c>
      <c r="C156">
        <v>53</v>
      </c>
      <c r="D156" t="s">
        <v>1029</v>
      </c>
      <c r="E156" s="1">
        <v>45038</v>
      </c>
      <c r="F156">
        <v>110</v>
      </c>
      <c r="G156">
        <v>4.3</v>
      </c>
      <c r="H156">
        <v>2023</v>
      </c>
      <c r="I156" t="s">
        <v>1062</v>
      </c>
      <c r="J156" t="s">
        <v>1034</v>
      </c>
      <c r="K156">
        <v>4</v>
      </c>
      <c r="T156" t="s">
        <v>2072</v>
      </c>
      <c r="U156">
        <v>4</v>
      </c>
    </row>
    <row r="157" spans="1:21" x14ac:dyDescent="0.3">
      <c r="A157" t="s">
        <v>1445</v>
      </c>
      <c r="B157" t="s">
        <v>1098</v>
      </c>
      <c r="C157">
        <v>89</v>
      </c>
      <c r="D157" t="s">
        <v>1038</v>
      </c>
      <c r="E157" s="1">
        <v>45038</v>
      </c>
      <c r="F157">
        <v>129</v>
      </c>
      <c r="G157">
        <v>4</v>
      </c>
      <c r="H157">
        <v>2023</v>
      </c>
      <c r="I157" t="s">
        <v>1062</v>
      </c>
      <c r="J157" t="s">
        <v>1019</v>
      </c>
      <c r="K157">
        <v>4</v>
      </c>
      <c r="T157" t="s">
        <v>2072</v>
      </c>
      <c r="U157">
        <v>4</v>
      </c>
    </row>
    <row r="158" spans="1:21" x14ac:dyDescent="0.3">
      <c r="A158" t="s">
        <v>1446</v>
      </c>
      <c r="B158" t="s">
        <v>1041</v>
      </c>
      <c r="C158">
        <v>84</v>
      </c>
      <c r="D158" t="s">
        <v>1017</v>
      </c>
      <c r="E158" s="1">
        <v>45038</v>
      </c>
      <c r="F158">
        <v>156</v>
      </c>
      <c r="G158">
        <v>3.2</v>
      </c>
      <c r="H158">
        <v>2023</v>
      </c>
      <c r="I158" t="s">
        <v>1062</v>
      </c>
      <c r="J158" t="s">
        <v>1019</v>
      </c>
      <c r="K158">
        <v>3</v>
      </c>
      <c r="T158" t="s">
        <v>2072</v>
      </c>
      <c r="U158">
        <v>4</v>
      </c>
    </row>
    <row r="159" spans="1:21" x14ac:dyDescent="0.3">
      <c r="A159" t="s">
        <v>1447</v>
      </c>
      <c r="B159" t="s">
        <v>1047</v>
      </c>
      <c r="C159">
        <v>130</v>
      </c>
      <c r="D159" t="s">
        <v>1029</v>
      </c>
      <c r="E159" s="1">
        <v>45039</v>
      </c>
      <c r="F159">
        <v>120</v>
      </c>
      <c r="G159">
        <v>3.8</v>
      </c>
      <c r="H159">
        <v>2023</v>
      </c>
      <c r="I159" t="s">
        <v>1018</v>
      </c>
      <c r="J159" t="s">
        <v>1031</v>
      </c>
      <c r="K159">
        <v>4</v>
      </c>
      <c r="T159" t="s">
        <v>2072</v>
      </c>
      <c r="U159">
        <v>4</v>
      </c>
    </row>
    <row r="160" spans="1:21" x14ac:dyDescent="0.3">
      <c r="A160" t="s">
        <v>1451</v>
      </c>
      <c r="B160" t="s">
        <v>1036</v>
      </c>
      <c r="C160">
        <v>88</v>
      </c>
      <c r="D160" t="s">
        <v>1042</v>
      </c>
      <c r="E160" s="1">
        <v>45039</v>
      </c>
      <c r="F160">
        <v>72</v>
      </c>
      <c r="G160">
        <v>4</v>
      </c>
      <c r="H160">
        <v>2023</v>
      </c>
      <c r="I160" t="s">
        <v>1018</v>
      </c>
      <c r="J160" t="s">
        <v>1019</v>
      </c>
      <c r="K160">
        <v>4</v>
      </c>
      <c r="T160" t="s">
        <v>2072</v>
      </c>
      <c r="U160">
        <v>4</v>
      </c>
    </row>
    <row r="161" spans="1:21" x14ac:dyDescent="0.3">
      <c r="A161" t="s">
        <v>1455</v>
      </c>
      <c r="B161" t="s">
        <v>1098</v>
      </c>
      <c r="C161">
        <v>26</v>
      </c>
      <c r="D161" t="s">
        <v>1038</v>
      </c>
      <c r="E161" s="1">
        <v>45040</v>
      </c>
      <c r="F161">
        <v>43</v>
      </c>
      <c r="G161">
        <v>4.2</v>
      </c>
      <c r="H161">
        <v>2023</v>
      </c>
      <c r="I161" t="s">
        <v>1030</v>
      </c>
      <c r="J161" t="s">
        <v>1056</v>
      </c>
      <c r="K161">
        <v>4</v>
      </c>
      <c r="T161" t="s">
        <v>2072</v>
      </c>
      <c r="U161">
        <v>4</v>
      </c>
    </row>
    <row r="162" spans="1:21" x14ac:dyDescent="0.3">
      <c r="A162" t="s">
        <v>1456</v>
      </c>
      <c r="B162" t="s">
        <v>1041</v>
      </c>
      <c r="C162">
        <v>131</v>
      </c>
      <c r="D162" t="s">
        <v>1042</v>
      </c>
      <c r="E162" s="1">
        <v>45040</v>
      </c>
      <c r="F162">
        <v>41</v>
      </c>
      <c r="G162">
        <v>4.9000000000000004</v>
      </c>
      <c r="H162">
        <v>2023</v>
      </c>
      <c r="I162" t="s">
        <v>1030</v>
      </c>
      <c r="J162" t="s">
        <v>1031</v>
      </c>
      <c r="K162">
        <v>5</v>
      </c>
      <c r="T162" t="s">
        <v>2072</v>
      </c>
      <c r="U162">
        <v>4</v>
      </c>
    </row>
    <row r="163" spans="1:21" x14ac:dyDescent="0.3">
      <c r="A163" t="s">
        <v>1465</v>
      </c>
      <c r="B163" t="s">
        <v>1036</v>
      </c>
      <c r="C163">
        <v>126</v>
      </c>
      <c r="D163" t="s">
        <v>1029</v>
      </c>
      <c r="E163" s="1">
        <v>45042</v>
      </c>
      <c r="F163">
        <v>175</v>
      </c>
      <c r="G163">
        <v>4.8</v>
      </c>
      <c r="H163">
        <v>2023</v>
      </c>
      <c r="I163" t="s">
        <v>1048</v>
      </c>
      <c r="J163" t="s">
        <v>1031</v>
      </c>
      <c r="K163">
        <v>5</v>
      </c>
      <c r="T163" t="s">
        <v>2072</v>
      </c>
      <c r="U163">
        <v>4</v>
      </c>
    </row>
    <row r="164" spans="1:21" x14ac:dyDescent="0.3">
      <c r="A164" t="s">
        <v>1467</v>
      </c>
      <c r="B164" t="s">
        <v>1047</v>
      </c>
      <c r="C164">
        <v>105</v>
      </c>
      <c r="D164" t="s">
        <v>1029</v>
      </c>
      <c r="E164" s="1">
        <v>45042</v>
      </c>
      <c r="F164">
        <v>66</v>
      </c>
      <c r="G164">
        <v>4.2</v>
      </c>
      <c r="H164">
        <v>2023</v>
      </c>
      <c r="I164" t="s">
        <v>1048</v>
      </c>
      <c r="J164" t="s">
        <v>1019</v>
      </c>
      <c r="K164">
        <v>4</v>
      </c>
      <c r="T164" t="s">
        <v>2072</v>
      </c>
      <c r="U164">
        <v>4</v>
      </c>
    </row>
    <row r="165" spans="1:21" x14ac:dyDescent="0.3">
      <c r="A165" t="s">
        <v>1468</v>
      </c>
      <c r="B165" t="s">
        <v>1047</v>
      </c>
      <c r="C165">
        <v>31</v>
      </c>
      <c r="D165" t="s">
        <v>1029</v>
      </c>
      <c r="E165" s="1">
        <v>45042</v>
      </c>
      <c r="F165">
        <v>25</v>
      </c>
      <c r="G165">
        <v>3.2</v>
      </c>
      <c r="H165">
        <v>2023</v>
      </c>
      <c r="I165" t="s">
        <v>1048</v>
      </c>
      <c r="J165" t="s">
        <v>1034</v>
      </c>
      <c r="K165">
        <v>3</v>
      </c>
      <c r="T165" t="s">
        <v>2072</v>
      </c>
      <c r="U165">
        <v>4</v>
      </c>
    </row>
    <row r="166" spans="1:21" x14ac:dyDescent="0.3">
      <c r="A166" t="s">
        <v>1471</v>
      </c>
      <c r="B166" t="s">
        <v>1036</v>
      </c>
      <c r="C166">
        <v>101</v>
      </c>
      <c r="D166" t="s">
        <v>1017</v>
      </c>
      <c r="E166" s="1">
        <v>45043</v>
      </c>
      <c r="F166">
        <v>225</v>
      </c>
      <c r="G166">
        <v>1.9</v>
      </c>
      <c r="H166">
        <v>2023</v>
      </c>
      <c r="I166" t="s">
        <v>1052</v>
      </c>
      <c r="J166" t="s">
        <v>1019</v>
      </c>
      <c r="K166">
        <v>2</v>
      </c>
      <c r="T166" t="s">
        <v>2072</v>
      </c>
      <c r="U166">
        <v>4</v>
      </c>
    </row>
    <row r="167" spans="1:21" x14ac:dyDescent="0.3">
      <c r="A167" t="s">
        <v>1475</v>
      </c>
      <c r="B167" t="s">
        <v>1047</v>
      </c>
      <c r="C167">
        <v>135</v>
      </c>
      <c r="D167" t="s">
        <v>1042</v>
      </c>
      <c r="E167" s="1">
        <v>45045</v>
      </c>
      <c r="F167">
        <v>125</v>
      </c>
      <c r="G167">
        <v>3.3</v>
      </c>
      <c r="H167">
        <v>2023</v>
      </c>
      <c r="I167" t="s">
        <v>1062</v>
      </c>
      <c r="J167" t="s">
        <v>1031</v>
      </c>
      <c r="K167">
        <v>3</v>
      </c>
      <c r="T167" t="s">
        <v>2072</v>
      </c>
      <c r="U167">
        <v>4</v>
      </c>
    </row>
    <row r="168" spans="1:21" x14ac:dyDescent="0.3">
      <c r="A168" t="s">
        <v>1476</v>
      </c>
      <c r="B168" t="s">
        <v>1036</v>
      </c>
      <c r="C168">
        <v>81</v>
      </c>
      <c r="D168" t="s">
        <v>1024</v>
      </c>
      <c r="E168" s="1">
        <v>45045</v>
      </c>
      <c r="F168">
        <v>78</v>
      </c>
      <c r="G168">
        <v>2.9</v>
      </c>
      <c r="H168">
        <v>2023</v>
      </c>
      <c r="I168" t="s">
        <v>1062</v>
      </c>
      <c r="J168" t="s">
        <v>1019</v>
      </c>
      <c r="K168">
        <v>3</v>
      </c>
      <c r="T168" t="s">
        <v>2072</v>
      </c>
      <c r="U168">
        <v>4</v>
      </c>
    </row>
    <row r="169" spans="1:21" x14ac:dyDescent="0.3">
      <c r="A169" t="s">
        <v>1477</v>
      </c>
      <c r="B169" t="s">
        <v>1036</v>
      </c>
      <c r="C169">
        <v>81</v>
      </c>
      <c r="D169" t="s">
        <v>1038</v>
      </c>
      <c r="E169" s="1">
        <v>45045</v>
      </c>
      <c r="F169">
        <v>40</v>
      </c>
      <c r="G169">
        <v>2.4</v>
      </c>
      <c r="H169">
        <v>2023</v>
      </c>
      <c r="I169" t="s">
        <v>1062</v>
      </c>
      <c r="J169" t="s">
        <v>1019</v>
      </c>
      <c r="K169">
        <v>2</v>
      </c>
      <c r="T169" t="s">
        <v>2072</v>
      </c>
      <c r="U169">
        <v>4</v>
      </c>
    </row>
    <row r="170" spans="1:21" x14ac:dyDescent="0.3">
      <c r="A170" t="s">
        <v>1480</v>
      </c>
      <c r="B170" t="s">
        <v>1047</v>
      </c>
      <c r="C170">
        <v>95</v>
      </c>
      <c r="D170" t="s">
        <v>1038</v>
      </c>
      <c r="E170" s="1">
        <v>45046</v>
      </c>
      <c r="F170">
        <v>75</v>
      </c>
      <c r="G170">
        <v>4.8</v>
      </c>
      <c r="H170">
        <v>2023</v>
      </c>
      <c r="I170" t="s">
        <v>1018</v>
      </c>
      <c r="J170" t="s">
        <v>1019</v>
      </c>
      <c r="K170">
        <v>5</v>
      </c>
      <c r="T170" t="s">
        <v>2072</v>
      </c>
      <c r="U170">
        <v>4</v>
      </c>
    </row>
    <row r="171" spans="1:21" x14ac:dyDescent="0.3">
      <c r="A171" t="s">
        <v>1482</v>
      </c>
      <c r="B171" t="s">
        <v>1098</v>
      </c>
      <c r="C171">
        <v>60</v>
      </c>
      <c r="D171" t="s">
        <v>1024</v>
      </c>
      <c r="E171" s="1">
        <v>45047</v>
      </c>
      <c r="F171">
        <v>41</v>
      </c>
      <c r="G171">
        <v>4.8</v>
      </c>
      <c r="H171">
        <v>2023</v>
      </c>
      <c r="I171" t="s">
        <v>1030</v>
      </c>
      <c r="J171" t="s">
        <v>1034</v>
      </c>
      <c r="K171">
        <v>5</v>
      </c>
      <c r="T171" t="s">
        <v>2073</v>
      </c>
      <c r="U171">
        <v>5</v>
      </c>
    </row>
    <row r="172" spans="1:21" x14ac:dyDescent="0.3">
      <c r="A172" t="s">
        <v>1483</v>
      </c>
      <c r="B172" t="s">
        <v>1045</v>
      </c>
      <c r="C172">
        <v>137</v>
      </c>
      <c r="D172" t="s">
        <v>1029</v>
      </c>
      <c r="E172" s="1">
        <v>45047</v>
      </c>
      <c r="F172">
        <v>20</v>
      </c>
      <c r="G172">
        <v>4.2</v>
      </c>
      <c r="H172">
        <v>2023</v>
      </c>
      <c r="I172" t="s">
        <v>1030</v>
      </c>
      <c r="J172" t="s">
        <v>1031</v>
      </c>
      <c r="K172">
        <v>4</v>
      </c>
      <c r="T172" t="s">
        <v>2073</v>
      </c>
      <c r="U172">
        <v>5</v>
      </c>
    </row>
    <row r="173" spans="1:21" x14ac:dyDescent="0.3">
      <c r="A173" t="s">
        <v>1485</v>
      </c>
      <c r="B173" t="s">
        <v>1047</v>
      </c>
      <c r="C173">
        <v>76</v>
      </c>
      <c r="D173" t="s">
        <v>1017</v>
      </c>
      <c r="E173" s="1">
        <v>45047</v>
      </c>
      <c r="F173">
        <v>140</v>
      </c>
      <c r="G173">
        <v>3.7</v>
      </c>
      <c r="H173">
        <v>2023</v>
      </c>
      <c r="I173" t="s">
        <v>1030</v>
      </c>
      <c r="J173" t="s">
        <v>1019</v>
      </c>
      <c r="K173">
        <v>4</v>
      </c>
      <c r="T173" t="s">
        <v>2073</v>
      </c>
      <c r="U173">
        <v>5</v>
      </c>
    </row>
    <row r="174" spans="1:21" x14ac:dyDescent="0.3">
      <c r="A174" t="s">
        <v>1486</v>
      </c>
      <c r="B174" t="s">
        <v>1065</v>
      </c>
      <c r="C174">
        <v>73</v>
      </c>
      <c r="D174" t="s">
        <v>1024</v>
      </c>
      <c r="E174" s="1">
        <v>45047</v>
      </c>
      <c r="F174">
        <v>66</v>
      </c>
      <c r="G174">
        <v>4.8</v>
      </c>
      <c r="H174">
        <v>2023</v>
      </c>
      <c r="I174" t="s">
        <v>1030</v>
      </c>
      <c r="J174" t="s">
        <v>1019</v>
      </c>
      <c r="K174">
        <v>5</v>
      </c>
      <c r="T174" t="s">
        <v>2073</v>
      </c>
      <c r="U174">
        <v>5</v>
      </c>
    </row>
    <row r="175" spans="1:21" x14ac:dyDescent="0.3">
      <c r="A175" t="s">
        <v>1487</v>
      </c>
      <c r="B175" t="s">
        <v>1041</v>
      </c>
      <c r="C175">
        <v>119</v>
      </c>
      <c r="D175" t="s">
        <v>1029</v>
      </c>
      <c r="E175" s="1">
        <v>45047</v>
      </c>
      <c r="F175">
        <v>105</v>
      </c>
      <c r="G175">
        <v>4.7</v>
      </c>
      <c r="H175">
        <v>2023</v>
      </c>
      <c r="I175" t="s">
        <v>1030</v>
      </c>
      <c r="J175" t="s">
        <v>1019</v>
      </c>
      <c r="K175">
        <v>5</v>
      </c>
      <c r="T175" t="s">
        <v>2073</v>
      </c>
      <c r="U175">
        <v>5</v>
      </c>
    </row>
    <row r="176" spans="1:21" x14ac:dyDescent="0.3">
      <c r="A176" t="s">
        <v>1489</v>
      </c>
      <c r="B176" t="s">
        <v>1045</v>
      </c>
      <c r="C176">
        <v>41</v>
      </c>
      <c r="D176" t="s">
        <v>1042</v>
      </c>
      <c r="E176" s="1">
        <v>45048</v>
      </c>
      <c r="F176">
        <v>123</v>
      </c>
      <c r="G176">
        <v>3.2</v>
      </c>
      <c r="H176">
        <v>2023</v>
      </c>
      <c r="I176" t="s">
        <v>1033</v>
      </c>
      <c r="J176" t="s">
        <v>1034</v>
      </c>
      <c r="K176">
        <v>3</v>
      </c>
      <c r="T176" t="s">
        <v>2073</v>
      </c>
      <c r="U176">
        <v>5</v>
      </c>
    </row>
    <row r="177" spans="1:21" x14ac:dyDescent="0.3">
      <c r="A177" t="s">
        <v>1495</v>
      </c>
      <c r="B177" t="s">
        <v>1098</v>
      </c>
      <c r="C177">
        <v>111</v>
      </c>
      <c r="D177" t="s">
        <v>1029</v>
      </c>
      <c r="E177" s="1">
        <v>45050</v>
      </c>
      <c r="F177">
        <v>90</v>
      </c>
      <c r="G177">
        <v>2.8</v>
      </c>
      <c r="H177">
        <v>2023</v>
      </c>
      <c r="I177" t="s">
        <v>1052</v>
      </c>
      <c r="J177" t="s">
        <v>1019</v>
      </c>
      <c r="K177">
        <v>3</v>
      </c>
      <c r="T177" t="s">
        <v>2073</v>
      </c>
      <c r="U177">
        <v>5</v>
      </c>
    </row>
    <row r="178" spans="1:21" x14ac:dyDescent="0.3">
      <c r="A178" t="s">
        <v>1497</v>
      </c>
      <c r="B178" t="s">
        <v>1047</v>
      </c>
      <c r="C178">
        <v>40</v>
      </c>
      <c r="D178" t="s">
        <v>1038</v>
      </c>
      <c r="E178" s="1">
        <v>45052</v>
      </c>
      <c r="F178">
        <v>108</v>
      </c>
      <c r="G178">
        <v>4.2</v>
      </c>
      <c r="H178">
        <v>2023</v>
      </c>
      <c r="I178" t="s">
        <v>1062</v>
      </c>
      <c r="J178" t="s">
        <v>1034</v>
      </c>
      <c r="K178">
        <v>4</v>
      </c>
      <c r="T178" t="s">
        <v>2073</v>
      </c>
      <c r="U178">
        <v>5</v>
      </c>
    </row>
    <row r="179" spans="1:21" x14ac:dyDescent="0.3">
      <c r="A179" t="s">
        <v>1498</v>
      </c>
      <c r="B179" t="s">
        <v>1098</v>
      </c>
      <c r="C179">
        <v>143</v>
      </c>
      <c r="D179" t="s">
        <v>1038</v>
      </c>
      <c r="E179" s="1">
        <v>45052</v>
      </c>
      <c r="F179">
        <v>54</v>
      </c>
      <c r="G179">
        <v>4.4000000000000004</v>
      </c>
      <c r="H179">
        <v>2023</v>
      </c>
      <c r="I179" t="s">
        <v>1062</v>
      </c>
      <c r="J179" t="s">
        <v>1031</v>
      </c>
      <c r="K179">
        <v>4</v>
      </c>
      <c r="T179" t="s">
        <v>2073</v>
      </c>
      <c r="U179">
        <v>5</v>
      </c>
    </row>
    <row r="180" spans="1:21" x14ac:dyDescent="0.3">
      <c r="A180" t="s">
        <v>1499</v>
      </c>
      <c r="B180" t="s">
        <v>1047</v>
      </c>
      <c r="C180">
        <v>70</v>
      </c>
      <c r="D180" t="s">
        <v>1038</v>
      </c>
      <c r="E180" s="1">
        <v>45053</v>
      </c>
      <c r="F180">
        <v>44</v>
      </c>
      <c r="G180">
        <v>3.5</v>
      </c>
      <c r="H180">
        <v>2023</v>
      </c>
      <c r="I180" t="s">
        <v>1018</v>
      </c>
      <c r="J180" t="s">
        <v>1019</v>
      </c>
      <c r="K180">
        <v>4</v>
      </c>
      <c r="T180" t="s">
        <v>2073</v>
      </c>
      <c r="U180">
        <v>5</v>
      </c>
    </row>
    <row r="181" spans="1:21" x14ac:dyDescent="0.3">
      <c r="A181" t="s">
        <v>1500</v>
      </c>
      <c r="B181" t="s">
        <v>1065</v>
      </c>
      <c r="C181">
        <v>137</v>
      </c>
      <c r="D181" t="s">
        <v>1038</v>
      </c>
      <c r="E181" s="1">
        <v>45053</v>
      </c>
      <c r="F181">
        <v>44</v>
      </c>
      <c r="G181">
        <v>4.7</v>
      </c>
      <c r="H181">
        <v>2023</v>
      </c>
      <c r="I181" t="s">
        <v>1018</v>
      </c>
      <c r="J181" t="s">
        <v>1031</v>
      </c>
      <c r="K181">
        <v>5</v>
      </c>
      <c r="T181" t="s">
        <v>2073</v>
      </c>
      <c r="U181">
        <v>5</v>
      </c>
    </row>
    <row r="182" spans="1:21" x14ac:dyDescent="0.3">
      <c r="A182" t="s">
        <v>1504</v>
      </c>
      <c r="B182" t="s">
        <v>1065</v>
      </c>
      <c r="C182">
        <v>73</v>
      </c>
      <c r="D182" t="s">
        <v>1017</v>
      </c>
      <c r="E182" s="1">
        <v>45054</v>
      </c>
      <c r="F182">
        <v>87</v>
      </c>
      <c r="G182">
        <v>3.6</v>
      </c>
      <c r="H182">
        <v>2023</v>
      </c>
      <c r="I182" t="s">
        <v>1030</v>
      </c>
      <c r="J182" t="s">
        <v>1019</v>
      </c>
      <c r="K182">
        <v>4</v>
      </c>
      <c r="T182" t="s">
        <v>2073</v>
      </c>
      <c r="U182">
        <v>5</v>
      </c>
    </row>
    <row r="183" spans="1:21" x14ac:dyDescent="0.3">
      <c r="A183" t="s">
        <v>1508</v>
      </c>
      <c r="B183" t="s">
        <v>1098</v>
      </c>
      <c r="C183">
        <v>89</v>
      </c>
      <c r="D183" t="s">
        <v>1038</v>
      </c>
      <c r="E183" s="1">
        <v>45056</v>
      </c>
      <c r="F183">
        <v>176</v>
      </c>
      <c r="G183">
        <v>4.5</v>
      </c>
      <c r="H183">
        <v>2023</v>
      </c>
      <c r="I183" t="s">
        <v>1048</v>
      </c>
      <c r="J183" t="s">
        <v>1019</v>
      </c>
      <c r="K183">
        <v>5</v>
      </c>
      <c r="T183" t="s">
        <v>2073</v>
      </c>
      <c r="U183">
        <v>5</v>
      </c>
    </row>
    <row r="184" spans="1:21" x14ac:dyDescent="0.3">
      <c r="A184" t="s">
        <v>1509</v>
      </c>
      <c r="B184" t="s">
        <v>1041</v>
      </c>
      <c r="C184">
        <v>54</v>
      </c>
      <c r="D184" t="s">
        <v>1029</v>
      </c>
      <c r="E184" s="1">
        <v>45057</v>
      </c>
      <c r="F184">
        <v>31</v>
      </c>
      <c r="G184">
        <v>3.3</v>
      </c>
      <c r="H184">
        <v>2023</v>
      </c>
      <c r="I184" t="s">
        <v>1052</v>
      </c>
      <c r="J184" t="s">
        <v>1034</v>
      </c>
      <c r="K184">
        <v>3</v>
      </c>
      <c r="T184" t="s">
        <v>2073</v>
      </c>
      <c r="U184">
        <v>5</v>
      </c>
    </row>
    <row r="185" spans="1:21" x14ac:dyDescent="0.3">
      <c r="A185" t="s">
        <v>1511</v>
      </c>
      <c r="B185" t="s">
        <v>1045</v>
      </c>
      <c r="C185">
        <v>91</v>
      </c>
      <c r="D185" t="s">
        <v>1038</v>
      </c>
      <c r="E185" s="1">
        <v>45058</v>
      </c>
      <c r="F185">
        <v>76</v>
      </c>
      <c r="G185">
        <v>4.9000000000000004</v>
      </c>
      <c r="H185">
        <v>2023</v>
      </c>
      <c r="I185" t="s">
        <v>411</v>
      </c>
      <c r="J185" t="s">
        <v>1019</v>
      </c>
      <c r="K185">
        <v>5</v>
      </c>
      <c r="T185" t="s">
        <v>2073</v>
      </c>
      <c r="U185">
        <v>5</v>
      </c>
    </row>
    <row r="186" spans="1:21" x14ac:dyDescent="0.3">
      <c r="A186" t="s">
        <v>1513</v>
      </c>
      <c r="B186" t="s">
        <v>1045</v>
      </c>
      <c r="C186">
        <v>81</v>
      </c>
      <c r="D186" t="s">
        <v>1024</v>
      </c>
      <c r="E186" s="1">
        <v>45060</v>
      </c>
      <c r="F186">
        <v>100</v>
      </c>
      <c r="G186">
        <v>1.3</v>
      </c>
      <c r="H186">
        <v>2023</v>
      </c>
      <c r="I186" t="s">
        <v>1018</v>
      </c>
      <c r="J186" t="s">
        <v>1019</v>
      </c>
      <c r="K186">
        <v>1</v>
      </c>
      <c r="T186" t="s">
        <v>2073</v>
      </c>
      <c r="U186">
        <v>5</v>
      </c>
    </row>
    <row r="187" spans="1:21" x14ac:dyDescent="0.3">
      <c r="A187" t="s">
        <v>1516</v>
      </c>
      <c r="B187" t="s">
        <v>1036</v>
      </c>
      <c r="C187">
        <v>56</v>
      </c>
      <c r="D187" t="s">
        <v>1038</v>
      </c>
      <c r="E187" s="1">
        <v>45061</v>
      </c>
      <c r="F187">
        <v>200</v>
      </c>
      <c r="G187">
        <v>4.5999999999999996</v>
      </c>
      <c r="H187">
        <v>2023</v>
      </c>
      <c r="I187" t="s">
        <v>1030</v>
      </c>
      <c r="J187" t="s">
        <v>1034</v>
      </c>
      <c r="K187">
        <v>5</v>
      </c>
      <c r="T187" t="s">
        <v>2073</v>
      </c>
      <c r="U187">
        <v>5</v>
      </c>
    </row>
    <row r="188" spans="1:21" x14ac:dyDescent="0.3">
      <c r="A188" t="s">
        <v>1518</v>
      </c>
      <c r="B188" t="s">
        <v>1098</v>
      </c>
      <c r="C188">
        <v>51</v>
      </c>
      <c r="D188" t="s">
        <v>1038</v>
      </c>
      <c r="E188" s="1">
        <v>45062</v>
      </c>
      <c r="F188">
        <v>117</v>
      </c>
      <c r="G188">
        <v>2.7</v>
      </c>
      <c r="H188">
        <v>2023</v>
      </c>
      <c r="I188" t="s">
        <v>1033</v>
      </c>
      <c r="J188" t="s">
        <v>1034</v>
      </c>
      <c r="K188">
        <v>3</v>
      </c>
      <c r="T188" t="s">
        <v>2073</v>
      </c>
      <c r="U188">
        <v>5</v>
      </c>
    </row>
    <row r="189" spans="1:21" x14ac:dyDescent="0.3">
      <c r="A189" t="s">
        <v>1521</v>
      </c>
      <c r="B189" t="s">
        <v>1098</v>
      </c>
      <c r="C189">
        <v>139</v>
      </c>
      <c r="D189" t="s">
        <v>1029</v>
      </c>
      <c r="E189" s="1">
        <v>45063</v>
      </c>
      <c r="F189">
        <v>220</v>
      </c>
      <c r="G189">
        <v>3.2</v>
      </c>
      <c r="H189">
        <v>2023</v>
      </c>
      <c r="I189" t="s">
        <v>1048</v>
      </c>
      <c r="J189" t="s">
        <v>1031</v>
      </c>
      <c r="K189">
        <v>3</v>
      </c>
      <c r="T189" t="s">
        <v>2073</v>
      </c>
      <c r="U189">
        <v>5</v>
      </c>
    </row>
    <row r="190" spans="1:21" x14ac:dyDescent="0.3">
      <c r="A190" t="s">
        <v>1522</v>
      </c>
      <c r="B190" t="s">
        <v>1047</v>
      </c>
      <c r="C190">
        <v>50</v>
      </c>
      <c r="D190" t="s">
        <v>1024</v>
      </c>
      <c r="E190" s="1">
        <v>45063</v>
      </c>
      <c r="F190">
        <v>26</v>
      </c>
      <c r="G190">
        <v>4.7</v>
      </c>
      <c r="H190">
        <v>2023</v>
      </c>
      <c r="I190" t="s">
        <v>1048</v>
      </c>
      <c r="J190" t="s">
        <v>1034</v>
      </c>
      <c r="K190">
        <v>5</v>
      </c>
      <c r="T190" t="s">
        <v>2073</v>
      </c>
      <c r="U190">
        <v>5</v>
      </c>
    </row>
    <row r="191" spans="1:21" x14ac:dyDescent="0.3">
      <c r="A191" t="s">
        <v>1524</v>
      </c>
      <c r="B191" t="s">
        <v>1041</v>
      </c>
      <c r="C191">
        <v>19</v>
      </c>
      <c r="D191" t="s">
        <v>1042</v>
      </c>
      <c r="E191" s="1">
        <v>45064</v>
      </c>
      <c r="F191">
        <v>132</v>
      </c>
      <c r="G191">
        <v>4.3</v>
      </c>
      <c r="H191">
        <v>2023</v>
      </c>
      <c r="I191" t="s">
        <v>1052</v>
      </c>
      <c r="J191" t="s">
        <v>1056</v>
      </c>
      <c r="K191">
        <v>4</v>
      </c>
      <c r="T191" t="s">
        <v>2073</v>
      </c>
      <c r="U191">
        <v>5</v>
      </c>
    </row>
    <row r="192" spans="1:21" x14ac:dyDescent="0.3">
      <c r="A192" t="s">
        <v>1530</v>
      </c>
      <c r="B192" t="s">
        <v>1047</v>
      </c>
      <c r="C192">
        <v>76</v>
      </c>
      <c r="D192" t="s">
        <v>1038</v>
      </c>
      <c r="E192" s="1">
        <v>45068</v>
      </c>
      <c r="F192">
        <v>39</v>
      </c>
      <c r="G192">
        <v>4.5999999999999996</v>
      </c>
      <c r="H192">
        <v>2023</v>
      </c>
      <c r="I192" t="s">
        <v>1030</v>
      </c>
      <c r="J192" t="s">
        <v>1019</v>
      </c>
      <c r="K192">
        <v>5</v>
      </c>
      <c r="T192" t="s">
        <v>2073</v>
      </c>
      <c r="U192">
        <v>5</v>
      </c>
    </row>
    <row r="193" spans="1:21" x14ac:dyDescent="0.3">
      <c r="A193" t="s">
        <v>1531</v>
      </c>
      <c r="B193" t="s">
        <v>1041</v>
      </c>
      <c r="C193">
        <v>64</v>
      </c>
      <c r="D193" t="s">
        <v>1042</v>
      </c>
      <c r="E193" s="1">
        <v>45068</v>
      </c>
      <c r="F193">
        <v>132</v>
      </c>
      <c r="G193">
        <v>3.3</v>
      </c>
      <c r="H193">
        <v>2023</v>
      </c>
      <c r="I193" t="s">
        <v>1030</v>
      </c>
      <c r="J193" t="s">
        <v>1019</v>
      </c>
      <c r="K193">
        <v>3</v>
      </c>
      <c r="T193" t="s">
        <v>2073</v>
      </c>
      <c r="U193">
        <v>5</v>
      </c>
    </row>
    <row r="194" spans="1:21" x14ac:dyDescent="0.3">
      <c r="A194" t="s">
        <v>1536</v>
      </c>
      <c r="B194" t="s">
        <v>1098</v>
      </c>
      <c r="C194">
        <v>63</v>
      </c>
      <c r="D194" t="s">
        <v>1038</v>
      </c>
      <c r="E194" s="1">
        <v>45069</v>
      </c>
      <c r="F194">
        <v>80</v>
      </c>
      <c r="G194">
        <v>2.5</v>
      </c>
      <c r="H194">
        <v>2023</v>
      </c>
      <c r="I194" t="s">
        <v>1033</v>
      </c>
      <c r="J194" t="s">
        <v>1019</v>
      </c>
      <c r="K194">
        <v>3</v>
      </c>
      <c r="T194" t="s">
        <v>2073</v>
      </c>
      <c r="U194">
        <v>5</v>
      </c>
    </row>
    <row r="195" spans="1:21" x14ac:dyDescent="0.3">
      <c r="A195" t="s">
        <v>1537</v>
      </c>
      <c r="B195" t="s">
        <v>1041</v>
      </c>
      <c r="C195">
        <v>59</v>
      </c>
      <c r="D195" t="s">
        <v>1017</v>
      </c>
      <c r="E195" s="1">
        <v>45070</v>
      </c>
      <c r="F195">
        <v>123</v>
      </c>
      <c r="G195">
        <v>3.6</v>
      </c>
      <c r="H195">
        <v>2023</v>
      </c>
      <c r="I195" t="s">
        <v>1048</v>
      </c>
      <c r="J195" t="s">
        <v>1034</v>
      </c>
      <c r="K195">
        <v>4</v>
      </c>
      <c r="T195" t="s">
        <v>2073</v>
      </c>
      <c r="U195">
        <v>5</v>
      </c>
    </row>
    <row r="196" spans="1:21" x14ac:dyDescent="0.3">
      <c r="A196" t="s">
        <v>1540</v>
      </c>
      <c r="B196" t="s">
        <v>1045</v>
      </c>
      <c r="C196">
        <v>151</v>
      </c>
      <c r="D196" t="s">
        <v>1038</v>
      </c>
      <c r="E196" s="1">
        <v>45071</v>
      </c>
      <c r="F196">
        <v>123</v>
      </c>
      <c r="G196">
        <v>3.7</v>
      </c>
      <c r="H196">
        <v>2023</v>
      </c>
      <c r="I196" t="s">
        <v>1052</v>
      </c>
      <c r="J196" t="s">
        <v>1031</v>
      </c>
      <c r="K196">
        <v>4</v>
      </c>
      <c r="T196" t="s">
        <v>2073</v>
      </c>
      <c r="U196">
        <v>5</v>
      </c>
    </row>
    <row r="197" spans="1:21" x14ac:dyDescent="0.3">
      <c r="A197" t="s">
        <v>1542</v>
      </c>
      <c r="B197" t="s">
        <v>1098</v>
      </c>
      <c r="C197">
        <v>148</v>
      </c>
      <c r="D197" t="s">
        <v>1042</v>
      </c>
      <c r="E197" s="1">
        <v>45071</v>
      </c>
      <c r="F197">
        <v>36</v>
      </c>
      <c r="G197">
        <v>2.9</v>
      </c>
      <c r="H197">
        <v>2023</v>
      </c>
      <c r="I197" t="s">
        <v>1052</v>
      </c>
      <c r="J197" t="s">
        <v>1031</v>
      </c>
      <c r="K197">
        <v>3</v>
      </c>
      <c r="T197" t="s">
        <v>2073</v>
      </c>
      <c r="U197">
        <v>5</v>
      </c>
    </row>
    <row r="198" spans="1:21" x14ac:dyDescent="0.3">
      <c r="A198" t="s">
        <v>1543</v>
      </c>
      <c r="B198" t="s">
        <v>1045</v>
      </c>
      <c r="C198">
        <v>81</v>
      </c>
      <c r="D198" t="s">
        <v>1042</v>
      </c>
      <c r="E198" s="1">
        <v>45071</v>
      </c>
      <c r="F198">
        <v>116</v>
      </c>
      <c r="G198">
        <v>4.3</v>
      </c>
      <c r="H198">
        <v>2023</v>
      </c>
      <c r="I198" t="s">
        <v>1052</v>
      </c>
      <c r="J198" t="s">
        <v>1019</v>
      </c>
      <c r="K198">
        <v>4</v>
      </c>
      <c r="T198" t="s">
        <v>2073</v>
      </c>
      <c r="U198">
        <v>5</v>
      </c>
    </row>
    <row r="199" spans="1:21" x14ac:dyDescent="0.3">
      <c r="A199" t="s">
        <v>1547</v>
      </c>
      <c r="B199" t="s">
        <v>1047</v>
      </c>
      <c r="C199">
        <v>103</v>
      </c>
      <c r="D199" t="s">
        <v>1017</v>
      </c>
      <c r="E199" s="1">
        <v>45072</v>
      </c>
      <c r="F199">
        <v>62</v>
      </c>
      <c r="G199">
        <v>3.4</v>
      </c>
      <c r="H199">
        <v>2023</v>
      </c>
      <c r="I199" t="s">
        <v>411</v>
      </c>
      <c r="J199" t="s">
        <v>1019</v>
      </c>
      <c r="K199">
        <v>3</v>
      </c>
      <c r="T199" t="s">
        <v>2073</v>
      </c>
      <c r="U199">
        <v>5</v>
      </c>
    </row>
    <row r="200" spans="1:21" x14ac:dyDescent="0.3">
      <c r="A200" t="s">
        <v>1550</v>
      </c>
      <c r="B200" t="s">
        <v>1041</v>
      </c>
      <c r="C200">
        <v>43</v>
      </c>
      <c r="D200" t="s">
        <v>1029</v>
      </c>
      <c r="E200" s="1">
        <v>45072</v>
      </c>
      <c r="F200">
        <v>37</v>
      </c>
      <c r="G200">
        <v>4.9000000000000004</v>
      </c>
      <c r="H200">
        <v>2023</v>
      </c>
      <c r="I200" t="s">
        <v>411</v>
      </c>
      <c r="J200" t="s">
        <v>1034</v>
      </c>
      <c r="K200">
        <v>5</v>
      </c>
      <c r="T200" t="s">
        <v>2073</v>
      </c>
      <c r="U200">
        <v>5</v>
      </c>
    </row>
    <row r="201" spans="1:21" x14ac:dyDescent="0.3">
      <c r="A201" t="s">
        <v>1554</v>
      </c>
      <c r="B201" t="s">
        <v>1045</v>
      </c>
      <c r="C201">
        <v>40</v>
      </c>
      <c r="D201" t="s">
        <v>1017</v>
      </c>
      <c r="E201" s="1">
        <v>45074</v>
      </c>
      <c r="F201">
        <v>116</v>
      </c>
      <c r="G201">
        <v>2.6</v>
      </c>
      <c r="H201">
        <v>2023</v>
      </c>
      <c r="I201" t="s">
        <v>1018</v>
      </c>
      <c r="J201" t="s">
        <v>1034</v>
      </c>
      <c r="K201">
        <v>3</v>
      </c>
      <c r="T201" t="s">
        <v>2073</v>
      </c>
      <c r="U201">
        <v>5</v>
      </c>
    </row>
    <row r="202" spans="1:21" x14ac:dyDescent="0.3">
      <c r="A202" t="s">
        <v>1555</v>
      </c>
      <c r="B202" t="s">
        <v>1041</v>
      </c>
      <c r="C202">
        <v>122</v>
      </c>
      <c r="D202" t="s">
        <v>1042</v>
      </c>
      <c r="E202" s="1">
        <v>45074</v>
      </c>
      <c r="F202">
        <v>45</v>
      </c>
      <c r="G202">
        <v>4.2</v>
      </c>
      <c r="H202">
        <v>2023</v>
      </c>
      <c r="I202" t="s">
        <v>1018</v>
      </c>
      <c r="J202" t="s">
        <v>1031</v>
      </c>
      <c r="K202">
        <v>4</v>
      </c>
      <c r="T202" t="s">
        <v>2073</v>
      </c>
      <c r="U202">
        <v>5</v>
      </c>
    </row>
    <row r="203" spans="1:21" x14ac:dyDescent="0.3">
      <c r="A203" t="s">
        <v>1559</v>
      </c>
      <c r="B203" t="s">
        <v>1041</v>
      </c>
      <c r="C203">
        <v>134</v>
      </c>
      <c r="D203" t="s">
        <v>1042</v>
      </c>
      <c r="E203" s="1">
        <v>45076</v>
      </c>
      <c r="F203">
        <v>120</v>
      </c>
      <c r="G203">
        <v>3</v>
      </c>
      <c r="H203">
        <v>2023</v>
      </c>
      <c r="I203" t="s">
        <v>1033</v>
      </c>
      <c r="J203" t="s">
        <v>1031</v>
      </c>
      <c r="K203">
        <v>3</v>
      </c>
      <c r="T203" t="s">
        <v>2073</v>
      </c>
      <c r="U203">
        <v>5</v>
      </c>
    </row>
    <row r="204" spans="1:21" x14ac:dyDescent="0.3">
      <c r="A204" t="s">
        <v>1560</v>
      </c>
      <c r="B204" t="s">
        <v>1065</v>
      </c>
      <c r="C204">
        <v>94</v>
      </c>
      <c r="D204" t="s">
        <v>1024</v>
      </c>
      <c r="E204" s="1">
        <v>45076</v>
      </c>
      <c r="F204">
        <v>180</v>
      </c>
      <c r="G204">
        <v>4.7</v>
      </c>
      <c r="H204">
        <v>2023</v>
      </c>
      <c r="I204" t="s">
        <v>1033</v>
      </c>
      <c r="J204" t="s">
        <v>1019</v>
      </c>
      <c r="K204">
        <v>5</v>
      </c>
      <c r="T204" t="s">
        <v>2073</v>
      </c>
      <c r="U204">
        <v>5</v>
      </c>
    </row>
    <row r="205" spans="1:21" x14ac:dyDescent="0.3">
      <c r="A205" t="s">
        <v>1561</v>
      </c>
      <c r="B205" t="s">
        <v>1036</v>
      </c>
      <c r="C205">
        <v>63</v>
      </c>
      <c r="D205" t="s">
        <v>1017</v>
      </c>
      <c r="E205" s="1">
        <v>45076</v>
      </c>
      <c r="F205">
        <v>44</v>
      </c>
      <c r="G205">
        <v>3</v>
      </c>
      <c r="H205">
        <v>2023</v>
      </c>
      <c r="I205" t="s">
        <v>1033</v>
      </c>
      <c r="J205" t="s">
        <v>1019</v>
      </c>
      <c r="K205">
        <v>3</v>
      </c>
      <c r="T205" t="s">
        <v>2073</v>
      </c>
      <c r="U205">
        <v>5</v>
      </c>
    </row>
    <row r="206" spans="1:21" x14ac:dyDescent="0.3">
      <c r="A206" t="s">
        <v>1563</v>
      </c>
      <c r="B206" t="s">
        <v>1041</v>
      </c>
      <c r="C206">
        <v>106</v>
      </c>
      <c r="D206" t="s">
        <v>1042</v>
      </c>
      <c r="E206" s="1">
        <v>45077</v>
      </c>
      <c r="F206">
        <v>120</v>
      </c>
      <c r="G206">
        <v>4.0999999999999996</v>
      </c>
      <c r="H206">
        <v>2023</v>
      </c>
      <c r="I206" t="s">
        <v>1048</v>
      </c>
      <c r="J206" t="s">
        <v>1019</v>
      </c>
      <c r="K206">
        <v>4</v>
      </c>
      <c r="T206" t="s">
        <v>2073</v>
      </c>
      <c r="U206">
        <v>5</v>
      </c>
    </row>
    <row r="207" spans="1:21" x14ac:dyDescent="0.3">
      <c r="A207" t="s">
        <v>1566</v>
      </c>
      <c r="B207" t="s">
        <v>1098</v>
      </c>
      <c r="C207">
        <v>39</v>
      </c>
      <c r="D207" t="s">
        <v>1024</v>
      </c>
      <c r="E207" s="1">
        <v>45078</v>
      </c>
      <c r="F207">
        <v>46</v>
      </c>
      <c r="G207">
        <v>4.5999999999999996</v>
      </c>
      <c r="H207">
        <v>2023</v>
      </c>
      <c r="I207" t="s">
        <v>1052</v>
      </c>
      <c r="J207" t="s">
        <v>1034</v>
      </c>
      <c r="K207">
        <v>5</v>
      </c>
      <c r="T207" t="s">
        <v>2074</v>
      </c>
      <c r="U207">
        <v>6</v>
      </c>
    </row>
    <row r="208" spans="1:21" x14ac:dyDescent="0.3">
      <c r="A208" t="s">
        <v>1567</v>
      </c>
      <c r="B208" t="s">
        <v>1045</v>
      </c>
      <c r="C208">
        <v>111</v>
      </c>
      <c r="D208" t="s">
        <v>1042</v>
      </c>
      <c r="E208" s="1">
        <v>45078</v>
      </c>
      <c r="F208">
        <v>210</v>
      </c>
      <c r="G208">
        <v>4.3</v>
      </c>
      <c r="H208">
        <v>2023</v>
      </c>
      <c r="I208" t="s">
        <v>1052</v>
      </c>
      <c r="J208" t="s">
        <v>1019</v>
      </c>
      <c r="K208">
        <v>4</v>
      </c>
      <c r="T208" t="s">
        <v>2074</v>
      </c>
      <c r="U208">
        <v>6</v>
      </c>
    </row>
    <row r="209" spans="1:21" x14ac:dyDescent="0.3">
      <c r="A209" t="s">
        <v>1569</v>
      </c>
      <c r="B209" t="s">
        <v>1036</v>
      </c>
      <c r="C209">
        <v>147</v>
      </c>
      <c r="D209" t="s">
        <v>1042</v>
      </c>
      <c r="E209" s="1">
        <v>45080</v>
      </c>
      <c r="F209">
        <v>115</v>
      </c>
      <c r="G209">
        <v>4.7</v>
      </c>
      <c r="H209">
        <v>2023</v>
      </c>
      <c r="I209" t="s">
        <v>1062</v>
      </c>
      <c r="J209" t="s">
        <v>1031</v>
      </c>
      <c r="K209">
        <v>5</v>
      </c>
      <c r="T209" t="s">
        <v>2074</v>
      </c>
      <c r="U209">
        <v>6</v>
      </c>
    </row>
    <row r="210" spans="1:21" x14ac:dyDescent="0.3">
      <c r="A210" t="s">
        <v>1570</v>
      </c>
      <c r="B210" t="s">
        <v>1065</v>
      </c>
      <c r="C210">
        <v>49</v>
      </c>
      <c r="D210" t="s">
        <v>1024</v>
      </c>
      <c r="E210" s="1">
        <v>45081</v>
      </c>
      <c r="F210">
        <v>100</v>
      </c>
      <c r="G210">
        <v>2.2000000000000002</v>
      </c>
      <c r="H210">
        <v>2023</v>
      </c>
      <c r="I210" t="s">
        <v>1018</v>
      </c>
      <c r="J210" t="s">
        <v>1034</v>
      </c>
      <c r="K210">
        <v>2</v>
      </c>
      <c r="T210" t="s">
        <v>2074</v>
      </c>
      <c r="U210">
        <v>6</v>
      </c>
    </row>
    <row r="211" spans="1:21" x14ac:dyDescent="0.3">
      <c r="A211" t="s">
        <v>1579</v>
      </c>
      <c r="B211" t="s">
        <v>1045</v>
      </c>
      <c r="C211">
        <v>125</v>
      </c>
      <c r="D211" t="s">
        <v>1017</v>
      </c>
      <c r="E211" s="1">
        <v>45086</v>
      </c>
      <c r="F211">
        <v>87</v>
      </c>
      <c r="G211">
        <v>4.0999999999999996</v>
      </c>
      <c r="H211">
        <v>2023</v>
      </c>
      <c r="I211" t="s">
        <v>411</v>
      </c>
      <c r="J211" t="s">
        <v>1031</v>
      </c>
      <c r="K211">
        <v>4</v>
      </c>
      <c r="T211" t="s">
        <v>2074</v>
      </c>
      <c r="U211">
        <v>6</v>
      </c>
    </row>
    <row r="212" spans="1:21" x14ac:dyDescent="0.3">
      <c r="A212" t="s">
        <v>1580</v>
      </c>
      <c r="B212" t="s">
        <v>1041</v>
      </c>
      <c r="C212">
        <v>147</v>
      </c>
      <c r="D212" t="s">
        <v>1042</v>
      </c>
      <c r="E212" s="1">
        <v>45086</v>
      </c>
      <c r="F212">
        <v>140</v>
      </c>
      <c r="G212">
        <v>4.2</v>
      </c>
      <c r="H212">
        <v>2023</v>
      </c>
      <c r="I212" t="s">
        <v>411</v>
      </c>
      <c r="J212" t="s">
        <v>1031</v>
      </c>
      <c r="K212">
        <v>4</v>
      </c>
      <c r="T212" t="s">
        <v>2074</v>
      </c>
      <c r="U212">
        <v>6</v>
      </c>
    </row>
    <row r="213" spans="1:21" x14ac:dyDescent="0.3">
      <c r="A213" t="s">
        <v>1581</v>
      </c>
      <c r="B213" t="s">
        <v>1047</v>
      </c>
      <c r="C213">
        <v>76</v>
      </c>
      <c r="D213" t="s">
        <v>1042</v>
      </c>
      <c r="E213" s="1">
        <v>45086</v>
      </c>
      <c r="F213">
        <v>164</v>
      </c>
      <c r="G213">
        <v>4.5</v>
      </c>
      <c r="H213">
        <v>2023</v>
      </c>
      <c r="I213" t="s">
        <v>411</v>
      </c>
      <c r="J213" t="s">
        <v>1019</v>
      </c>
      <c r="K213">
        <v>5</v>
      </c>
      <c r="T213" t="s">
        <v>2074</v>
      </c>
      <c r="U213">
        <v>6</v>
      </c>
    </row>
    <row r="214" spans="1:21" x14ac:dyDescent="0.3">
      <c r="A214" t="s">
        <v>1582</v>
      </c>
      <c r="B214" t="s">
        <v>1036</v>
      </c>
      <c r="C214">
        <v>99</v>
      </c>
      <c r="D214" t="s">
        <v>1029</v>
      </c>
      <c r="E214" s="1">
        <v>45087</v>
      </c>
      <c r="F214">
        <v>180</v>
      </c>
      <c r="G214">
        <v>3.8</v>
      </c>
      <c r="H214">
        <v>2023</v>
      </c>
      <c r="I214" t="s">
        <v>1062</v>
      </c>
      <c r="J214" t="s">
        <v>1019</v>
      </c>
      <c r="K214">
        <v>4</v>
      </c>
      <c r="T214" t="s">
        <v>2074</v>
      </c>
      <c r="U214">
        <v>6</v>
      </c>
    </row>
    <row r="215" spans="1:21" x14ac:dyDescent="0.3">
      <c r="A215" t="s">
        <v>1583</v>
      </c>
      <c r="B215" t="s">
        <v>1098</v>
      </c>
      <c r="C215">
        <v>111</v>
      </c>
      <c r="D215" t="s">
        <v>1038</v>
      </c>
      <c r="E215" s="1">
        <v>45088</v>
      </c>
      <c r="F215">
        <v>22</v>
      </c>
      <c r="G215">
        <v>4.0999999999999996</v>
      </c>
      <c r="H215">
        <v>2023</v>
      </c>
      <c r="I215" t="s">
        <v>1018</v>
      </c>
      <c r="J215" t="s">
        <v>1019</v>
      </c>
      <c r="K215">
        <v>4</v>
      </c>
      <c r="T215" t="s">
        <v>2074</v>
      </c>
      <c r="U215">
        <v>6</v>
      </c>
    </row>
    <row r="216" spans="1:21" x14ac:dyDescent="0.3">
      <c r="A216" t="s">
        <v>1586</v>
      </c>
      <c r="B216" t="s">
        <v>1047</v>
      </c>
      <c r="C216">
        <v>71</v>
      </c>
      <c r="D216" t="s">
        <v>1042</v>
      </c>
      <c r="E216" s="1">
        <v>45089</v>
      </c>
      <c r="F216">
        <v>52</v>
      </c>
      <c r="G216">
        <v>3.4</v>
      </c>
      <c r="H216">
        <v>2023</v>
      </c>
      <c r="I216" t="s">
        <v>1030</v>
      </c>
      <c r="J216" t="s">
        <v>1019</v>
      </c>
      <c r="K216">
        <v>3</v>
      </c>
      <c r="T216" t="s">
        <v>2074</v>
      </c>
      <c r="U216">
        <v>6</v>
      </c>
    </row>
    <row r="217" spans="1:21" x14ac:dyDescent="0.3">
      <c r="A217" t="s">
        <v>1587</v>
      </c>
      <c r="B217" t="s">
        <v>1047</v>
      </c>
      <c r="C217">
        <v>121</v>
      </c>
      <c r="D217" t="s">
        <v>1017</v>
      </c>
      <c r="E217" s="1">
        <v>45090</v>
      </c>
      <c r="F217">
        <v>84</v>
      </c>
      <c r="G217">
        <v>4.5999999999999996</v>
      </c>
      <c r="H217">
        <v>2023</v>
      </c>
      <c r="I217" t="s">
        <v>1033</v>
      </c>
      <c r="J217" t="s">
        <v>1031</v>
      </c>
      <c r="K217">
        <v>5</v>
      </c>
      <c r="T217" t="s">
        <v>2074</v>
      </c>
      <c r="U217">
        <v>6</v>
      </c>
    </row>
    <row r="218" spans="1:21" x14ac:dyDescent="0.3">
      <c r="A218" t="s">
        <v>1588</v>
      </c>
      <c r="B218" t="s">
        <v>1047</v>
      </c>
      <c r="C218">
        <v>60</v>
      </c>
      <c r="D218" t="s">
        <v>1017</v>
      </c>
      <c r="E218" s="1">
        <v>45090</v>
      </c>
      <c r="F218">
        <v>37</v>
      </c>
      <c r="G218">
        <v>3.9</v>
      </c>
      <c r="H218">
        <v>2023</v>
      </c>
      <c r="I218" t="s">
        <v>1033</v>
      </c>
      <c r="J218" t="s">
        <v>1034</v>
      </c>
      <c r="K218">
        <v>4</v>
      </c>
      <c r="T218" t="s">
        <v>2074</v>
      </c>
      <c r="U218">
        <v>6</v>
      </c>
    </row>
    <row r="219" spans="1:21" x14ac:dyDescent="0.3">
      <c r="A219" t="s">
        <v>1589</v>
      </c>
      <c r="B219" t="s">
        <v>1065</v>
      </c>
      <c r="C219">
        <v>158</v>
      </c>
      <c r="D219" t="s">
        <v>1029</v>
      </c>
      <c r="E219" s="1">
        <v>45091</v>
      </c>
      <c r="F219">
        <v>190</v>
      </c>
      <c r="G219">
        <v>4</v>
      </c>
      <c r="H219">
        <v>2023</v>
      </c>
      <c r="I219" t="s">
        <v>1048</v>
      </c>
      <c r="J219" t="s">
        <v>1031</v>
      </c>
      <c r="K219">
        <v>4</v>
      </c>
      <c r="T219" t="s">
        <v>2074</v>
      </c>
      <c r="U219">
        <v>6</v>
      </c>
    </row>
    <row r="220" spans="1:21" x14ac:dyDescent="0.3">
      <c r="A220" t="s">
        <v>1590</v>
      </c>
      <c r="B220" t="s">
        <v>1041</v>
      </c>
      <c r="C220">
        <v>159</v>
      </c>
      <c r="D220" t="s">
        <v>1024</v>
      </c>
      <c r="E220" s="1">
        <v>45091</v>
      </c>
      <c r="F220">
        <v>66</v>
      </c>
      <c r="G220">
        <v>3.4</v>
      </c>
      <c r="H220">
        <v>2023</v>
      </c>
      <c r="I220" t="s">
        <v>1048</v>
      </c>
      <c r="J220" t="s">
        <v>1031</v>
      </c>
      <c r="K220">
        <v>3</v>
      </c>
      <c r="T220" t="s">
        <v>2074</v>
      </c>
      <c r="U220">
        <v>6</v>
      </c>
    </row>
    <row r="221" spans="1:21" x14ac:dyDescent="0.3">
      <c r="A221" t="s">
        <v>1599</v>
      </c>
      <c r="B221" t="s">
        <v>1098</v>
      </c>
      <c r="C221">
        <v>107</v>
      </c>
      <c r="D221" t="s">
        <v>1042</v>
      </c>
      <c r="E221" s="1">
        <v>45095</v>
      </c>
      <c r="F221">
        <v>39</v>
      </c>
      <c r="G221">
        <v>4.8</v>
      </c>
      <c r="H221">
        <v>2023</v>
      </c>
      <c r="I221" t="s">
        <v>1018</v>
      </c>
      <c r="J221" t="s">
        <v>1019</v>
      </c>
      <c r="K221">
        <v>5</v>
      </c>
      <c r="T221" t="s">
        <v>2074</v>
      </c>
      <c r="U221">
        <v>6</v>
      </c>
    </row>
    <row r="222" spans="1:21" x14ac:dyDescent="0.3">
      <c r="A222" t="s">
        <v>1600</v>
      </c>
      <c r="B222" t="s">
        <v>1041</v>
      </c>
      <c r="C222">
        <v>85</v>
      </c>
      <c r="D222" t="s">
        <v>1038</v>
      </c>
      <c r="E222" s="1">
        <v>45095</v>
      </c>
      <c r="F222">
        <v>38</v>
      </c>
      <c r="G222">
        <v>4.8</v>
      </c>
      <c r="H222">
        <v>2023</v>
      </c>
      <c r="I222" t="s">
        <v>1018</v>
      </c>
      <c r="J222" t="s">
        <v>1019</v>
      </c>
      <c r="K222">
        <v>5</v>
      </c>
      <c r="T222" t="s">
        <v>2074</v>
      </c>
      <c r="U222">
        <v>6</v>
      </c>
    </row>
    <row r="223" spans="1:21" x14ac:dyDescent="0.3">
      <c r="A223" t="s">
        <v>1601</v>
      </c>
      <c r="B223" t="s">
        <v>1036</v>
      </c>
      <c r="C223">
        <v>49</v>
      </c>
      <c r="D223" t="s">
        <v>1042</v>
      </c>
      <c r="E223" s="1">
        <v>45096</v>
      </c>
      <c r="F223">
        <v>84</v>
      </c>
      <c r="G223">
        <v>2.9</v>
      </c>
      <c r="H223">
        <v>2023</v>
      </c>
      <c r="I223" t="s">
        <v>1030</v>
      </c>
      <c r="J223" t="s">
        <v>1034</v>
      </c>
      <c r="K223">
        <v>3</v>
      </c>
      <c r="T223" t="s">
        <v>2074</v>
      </c>
      <c r="U223">
        <v>6</v>
      </c>
    </row>
    <row r="224" spans="1:21" x14ac:dyDescent="0.3">
      <c r="A224" t="s">
        <v>1602</v>
      </c>
      <c r="B224" t="s">
        <v>1047</v>
      </c>
      <c r="C224">
        <v>117</v>
      </c>
      <c r="D224" t="s">
        <v>1029</v>
      </c>
      <c r="E224" s="1">
        <v>45097</v>
      </c>
      <c r="F224">
        <v>82</v>
      </c>
      <c r="G224">
        <v>3.5</v>
      </c>
      <c r="H224">
        <v>2023</v>
      </c>
      <c r="I224" t="s">
        <v>1033</v>
      </c>
      <c r="J224" t="s">
        <v>1019</v>
      </c>
      <c r="K224">
        <v>4</v>
      </c>
      <c r="T224" t="s">
        <v>2074</v>
      </c>
      <c r="U224">
        <v>6</v>
      </c>
    </row>
    <row r="225" spans="1:21" x14ac:dyDescent="0.3">
      <c r="A225" t="s">
        <v>1603</v>
      </c>
      <c r="B225" t="s">
        <v>1098</v>
      </c>
      <c r="C225">
        <v>136</v>
      </c>
      <c r="D225" t="s">
        <v>1038</v>
      </c>
      <c r="E225" s="1">
        <v>45097</v>
      </c>
      <c r="F225">
        <v>37</v>
      </c>
      <c r="G225">
        <v>0.9</v>
      </c>
      <c r="H225">
        <v>2023</v>
      </c>
      <c r="I225" t="s">
        <v>1033</v>
      </c>
      <c r="J225" t="s">
        <v>1031</v>
      </c>
      <c r="K225">
        <v>1</v>
      </c>
      <c r="T225" t="s">
        <v>2074</v>
      </c>
      <c r="U225">
        <v>6</v>
      </c>
    </row>
    <row r="226" spans="1:21" x14ac:dyDescent="0.3">
      <c r="A226" t="s">
        <v>1606</v>
      </c>
      <c r="B226" t="s">
        <v>1036</v>
      </c>
      <c r="C226">
        <v>80</v>
      </c>
      <c r="D226" t="s">
        <v>1042</v>
      </c>
      <c r="E226" s="1">
        <v>45098</v>
      </c>
      <c r="F226">
        <v>32</v>
      </c>
      <c r="G226">
        <v>4.7</v>
      </c>
      <c r="H226">
        <v>2023</v>
      </c>
      <c r="I226" t="s">
        <v>1048</v>
      </c>
      <c r="J226" t="s">
        <v>1019</v>
      </c>
      <c r="K226">
        <v>5</v>
      </c>
      <c r="T226" t="s">
        <v>2074</v>
      </c>
      <c r="U226">
        <v>6</v>
      </c>
    </row>
    <row r="227" spans="1:21" x14ac:dyDescent="0.3">
      <c r="A227" t="s">
        <v>1609</v>
      </c>
      <c r="B227" t="s">
        <v>1065</v>
      </c>
      <c r="C227">
        <v>74</v>
      </c>
      <c r="D227" t="s">
        <v>1017</v>
      </c>
      <c r="E227" s="1">
        <v>45098</v>
      </c>
      <c r="F227">
        <v>117</v>
      </c>
      <c r="G227">
        <v>4.8</v>
      </c>
      <c r="H227">
        <v>2023</v>
      </c>
      <c r="I227" t="s">
        <v>1048</v>
      </c>
      <c r="J227" t="s">
        <v>1019</v>
      </c>
      <c r="K227">
        <v>5</v>
      </c>
      <c r="T227" t="s">
        <v>2074</v>
      </c>
      <c r="U227">
        <v>6</v>
      </c>
    </row>
    <row r="228" spans="1:21" x14ac:dyDescent="0.3">
      <c r="A228" t="s">
        <v>1610</v>
      </c>
      <c r="B228" t="s">
        <v>1036</v>
      </c>
      <c r="C228">
        <v>52</v>
      </c>
      <c r="D228" t="s">
        <v>1029</v>
      </c>
      <c r="E228" s="1">
        <v>45100</v>
      </c>
      <c r="F228">
        <v>70</v>
      </c>
      <c r="G228">
        <v>4.0999999999999996</v>
      </c>
      <c r="H228">
        <v>2023</v>
      </c>
      <c r="I228" t="s">
        <v>411</v>
      </c>
      <c r="J228" t="s">
        <v>1034</v>
      </c>
      <c r="K228">
        <v>4</v>
      </c>
      <c r="T228" t="s">
        <v>2074</v>
      </c>
      <c r="U228">
        <v>6</v>
      </c>
    </row>
    <row r="229" spans="1:21" x14ac:dyDescent="0.3">
      <c r="A229" t="s">
        <v>1611</v>
      </c>
      <c r="B229" t="s">
        <v>1036</v>
      </c>
      <c r="C229">
        <v>74</v>
      </c>
      <c r="D229" t="s">
        <v>1024</v>
      </c>
      <c r="E229" s="1">
        <v>45100</v>
      </c>
      <c r="F229">
        <v>37</v>
      </c>
      <c r="G229">
        <v>2.7</v>
      </c>
      <c r="H229">
        <v>2023</v>
      </c>
      <c r="I229" t="s">
        <v>411</v>
      </c>
      <c r="J229" t="s">
        <v>1019</v>
      </c>
      <c r="K229">
        <v>3</v>
      </c>
      <c r="T229" t="s">
        <v>2074</v>
      </c>
      <c r="U229">
        <v>6</v>
      </c>
    </row>
    <row r="230" spans="1:21" x14ac:dyDescent="0.3">
      <c r="A230" t="s">
        <v>1613</v>
      </c>
      <c r="B230" t="s">
        <v>1045</v>
      </c>
      <c r="C230">
        <v>104</v>
      </c>
      <c r="D230" t="s">
        <v>1042</v>
      </c>
      <c r="E230" s="1">
        <v>45100</v>
      </c>
      <c r="F230">
        <v>136</v>
      </c>
      <c r="G230">
        <v>5</v>
      </c>
      <c r="H230">
        <v>2023</v>
      </c>
      <c r="I230" t="s">
        <v>411</v>
      </c>
      <c r="J230" t="s">
        <v>1019</v>
      </c>
      <c r="K230">
        <v>5</v>
      </c>
      <c r="T230" t="s">
        <v>2074</v>
      </c>
      <c r="U230">
        <v>6</v>
      </c>
    </row>
    <row r="231" spans="1:21" x14ac:dyDescent="0.3">
      <c r="A231" t="s">
        <v>1616</v>
      </c>
      <c r="B231" t="s">
        <v>1045</v>
      </c>
      <c r="C231">
        <v>35</v>
      </c>
      <c r="D231" t="s">
        <v>1029</v>
      </c>
      <c r="E231" s="1">
        <v>45102</v>
      </c>
      <c r="F231">
        <v>86</v>
      </c>
      <c r="G231">
        <v>4.5999999999999996</v>
      </c>
      <c r="H231">
        <v>2023</v>
      </c>
      <c r="I231" t="s">
        <v>1018</v>
      </c>
      <c r="J231" t="s">
        <v>1034</v>
      </c>
      <c r="K231">
        <v>5</v>
      </c>
      <c r="T231" t="s">
        <v>2074</v>
      </c>
      <c r="U231">
        <v>6</v>
      </c>
    </row>
    <row r="232" spans="1:21" x14ac:dyDescent="0.3">
      <c r="A232" t="s">
        <v>1617</v>
      </c>
      <c r="B232" t="s">
        <v>1036</v>
      </c>
      <c r="C232">
        <v>123</v>
      </c>
      <c r="D232" t="s">
        <v>1042</v>
      </c>
      <c r="E232" s="1">
        <v>45102</v>
      </c>
      <c r="F232">
        <v>68</v>
      </c>
      <c r="G232">
        <v>4.5</v>
      </c>
      <c r="H232">
        <v>2023</v>
      </c>
      <c r="I232" t="s">
        <v>1018</v>
      </c>
      <c r="J232" t="s">
        <v>1031</v>
      </c>
      <c r="K232">
        <v>5</v>
      </c>
      <c r="T232" t="s">
        <v>2074</v>
      </c>
      <c r="U232">
        <v>6</v>
      </c>
    </row>
    <row r="233" spans="1:21" x14ac:dyDescent="0.3">
      <c r="A233" t="s">
        <v>1618</v>
      </c>
      <c r="B233" t="s">
        <v>1047</v>
      </c>
      <c r="C233">
        <v>133</v>
      </c>
      <c r="D233" t="s">
        <v>1029</v>
      </c>
      <c r="E233" s="1">
        <v>45103</v>
      </c>
      <c r="F233">
        <v>21</v>
      </c>
      <c r="G233">
        <v>3.7</v>
      </c>
      <c r="H233">
        <v>2023</v>
      </c>
      <c r="I233" t="s">
        <v>1030</v>
      </c>
      <c r="J233" t="s">
        <v>1031</v>
      </c>
      <c r="K233">
        <v>4</v>
      </c>
      <c r="T233" t="s">
        <v>2074</v>
      </c>
      <c r="U233">
        <v>6</v>
      </c>
    </row>
    <row r="234" spans="1:21" x14ac:dyDescent="0.3">
      <c r="A234" t="s">
        <v>1620</v>
      </c>
      <c r="B234" t="s">
        <v>1036</v>
      </c>
      <c r="C234">
        <v>39</v>
      </c>
      <c r="D234" t="s">
        <v>1017</v>
      </c>
      <c r="E234" s="1">
        <v>45103</v>
      </c>
      <c r="F234">
        <v>176</v>
      </c>
      <c r="G234">
        <v>4.3</v>
      </c>
      <c r="H234">
        <v>2023</v>
      </c>
      <c r="I234" t="s">
        <v>1030</v>
      </c>
      <c r="J234" t="s">
        <v>1034</v>
      </c>
      <c r="K234">
        <v>4</v>
      </c>
      <c r="T234" t="s">
        <v>2074</v>
      </c>
      <c r="U234">
        <v>6</v>
      </c>
    </row>
    <row r="235" spans="1:21" x14ac:dyDescent="0.3">
      <c r="A235" t="s">
        <v>1621</v>
      </c>
      <c r="B235" t="s">
        <v>1065</v>
      </c>
      <c r="C235">
        <v>31</v>
      </c>
      <c r="D235" t="s">
        <v>1042</v>
      </c>
      <c r="E235" s="1">
        <v>45103</v>
      </c>
      <c r="F235">
        <v>172</v>
      </c>
      <c r="G235">
        <v>3.9</v>
      </c>
      <c r="H235">
        <v>2023</v>
      </c>
      <c r="I235" t="s">
        <v>1030</v>
      </c>
      <c r="J235" t="s">
        <v>1034</v>
      </c>
      <c r="K235">
        <v>4</v>
      </c>
      <c r="T235" t="s">
        <v>2074</v>
      </c>
      <c r="U235">
        <v>6</v>
      </c>
    </row>
    <row r="236" spans="1:21" x14ac:dyDescent="0.3">
      <c r="A236" t="s">
        <v>1624</v>
      </c>
      <c r="B236" t="s">
        <v>1045</v>
      </c>
      <c r="C236">
        <v>63</v>
      </c>
      <c r="D236" t="s">
        <v>1024</v>
      </c>
      <c r="E236" s="1">
        <v>45104</v>
      </c>
      <c r="F236">
        <v>70</v>
      </c>
      <c r="G236">
        <v>1.6</v>
      </c>
      <c r="H236">
        <v>2023</v>
      </c>
      <c r="I236" t="s">
        <v>1033</v>
      </c>
      <c r="J236" t="s">
        <v>1019</v>
      </c>
      <c r="K236">
        <v>2</v>
      </c>
      <c r="T236" t="s">
        <v>2074</v>
      </c>
      <c r="U236">
        <v>6</v>
      </c>
    </row>
    <row r="237" spans="1:21" x14ac:dyDescent="0.3">
      <c r="A237" t="s">
        <v>1626</v>
      </c>
      <c r="B237" t="s">
        <v>1041</v>
      </c>
      <c r="C237">
        <v>101</v>
      </c>
      <c r="D237" t="s">
        <v>1024</v>
      </c>
      <c r="E237" s="1">
        <v>45104</v>
      </c>
      <c r="F237">
        <v>84</v>
      </c>
      <c r="G237">
        <v>3.5</v>
      </c>
      <c r="H237">
        <v>2023</v>
      </c>
      <c r="I237" t="s">
        <v>1033</v>
      </c>
      <c r="J237" t="s">
        <v>1019</v>
      </c>
      <c r="K237">
        <v>4</v>
      </c>
      <c r="T237" t="s">
        <v>2074</v>
      </c>
      <c r="U237">
        <v>6</v>
      </c>
    </row>
    <row r="238" spans="1:21" x14ac:dyDescent="0.3">
      <c r="A238" t="s">
        <v>1627</v>
      </c>
      <c r="B238" t="s">
        <v>1047</v>
      </c>
      <c r="C238">
        <v>80</v>
      </c>
      <c r="D238" t="s">
        <v>1017</v>
      </c>
      <c r="E238" s="1">
        <v>45105</v>
      </c>
      <c r="F238">
        <v>68</v>
      </c>
      <c r="G238">
        <v>3.1</v>
      </c>
      <c r="H238">
        <v>2023</v>
      </c>
      <c r="I238" t="s">
        <v>1048</v>
      </c>
      <c r="J238" t="s">
        <v>1019</v>
      </c>
      <c r="K238">
        <v>3</v>
      </c>
      <c r="T238" t="s">
        <v>2074</v>
      </c>
      <c r="U238">
        <v>6</v>
      </c>
    </row>
    <row r="239" spans="1:21" x14ac:dyDescent="0.3">
      <c r="A239" t="s">
        <v>1629</v>
      </c>
      <c r="B239" t="s">
        <v>1041</v>
      </c>
      <c r="C239">
        <v>102</v>
      </c>
      <c r="D239" t="s">
        <v>1038</v>
      </c>
      <c r="E239" s="1">
        <v>45106</v>
      </c>
      <c r="F239">
        <v>99</v>
      </c>
      <c r="G239">
        <v>3.2</v>
      </c>
      <c r="H239">
        <v>2023</v>
      </c>
      <c r="I239" t="s">
        <v>1052</v>
      </c>
      <c r="J239" t="s">
        <v>1019</v>
      </c>
      <c r="K239">
        <v>3</v>
      </c>
      <c r="T239" t="s">
        <v>2074</v>
      </c>
      <c r="U239">
        <v>6</v>
      </c>
    </row>
    <row r="240" spans="1:21" x14ac:dyDescent="0.3">
      <c r="A240" t="s">
        <v>1630</v>
      </c>
      <c r="B240" t="s">
        <v>1045</v>
      </c>
      <c r="C240">
        <v>60</v>
      </c>
      <c r="D240" t="s">
        <v>1038</v>
      </c>
      <c r="E240" s="1">
        <v>45107</v>
      </c>
      <c r="F240">
        <v>66</v>
      </c>
      <c r="G240">
        <v>3.2</v>
      </c>
      <c r="H240">
        <v>2023</v>
      </c>
      <c r="I240" t="s">
        <v>411</v>
      </c>
      <c r="J240" t="s">
        <v>1034</v>
      </c>
      <c r="K240">
        <v>3</v>
      </c>
      <c r="T240" t="s">
        <v>2074</v>
      </c>
      <c r="U240">
        <v>6</v>
      </c>
    </row>
    <row r="241" spans="1:21" x14ac:dyDescent="0.3">
      <c r="A241" t="s">
        <v>1632</v>
      </c>
      <c r="B241" t="s">
        <v>1047</v>
      </c>
      <c r="C241">
        <v>90</v>
      </c>
      <c r="D241" t="s">
        <v>1017</v>
      </c>
      <c r="E241" s="1">
        <v>45108</v>
      </c>
      <c r="F241">
        <v>129</v>
      </c>
      <c r="G241">
        <v>3.9</v>
      </c>
      <c r="H241">
        <v>2024</v>
      </c>
      <c r="I241" t="s">
        <v>1062</v>
      </c>
      <c r="J241" t="s">
        <v>1019</v>
      </c>
      <c r="K241">
        <v>4</v>
      </c>
      <c r="T241" t="s">
        <v>2075</v>
      </c>
      <c r="U241">
        <v>7</v>
      </c>
    </row>
    <row r="242" spans="1:21" x14ac:dyDescent="0.3">
      <c r="A242" t="s">
        <v>1638</v>
      </c>
      <c r="B242" t="s">
        <v>1045</v>
      </c>
      <c r="C242">
        <v>110</v>
      </c>
      <c r="D242" t="s">
        <v>1024</v>
      </c>
      <c r="E242" s="1">
        <v>45109</v>
      </c>
      <c r="F242">
        <v>104</v>
      </c>
      <c r="G242">
        <v>4.4000000000000004</v>
      </c>
      <c r="H242">
        <v>2024</v>
      </c>
      <c r="I242" t="s">
        <v>1018</v>
      </c>
      <c r="J242" t="s">
        <v>1019</v>
      </c>
      <c r="K242">
        <v>4</v>
      </c>
      <c r="T242" t="s">
        <v>2075</v>
      </c>
      <c r="U242">
        <v>7</v>
      </c>
    </row>
    <row r="243" spans="1:21" x14ac:dyDescent="0.3">
      <c r="A243" t="s">
        <v>1640</v>
      </c>
      <c r="B243" t="s">
        <v>1041</v>
      </c>
      <c r="C243">
        <v>109</v>
      </c>
      <c r="D243" t="s">
        <v>1042</v>
      </c>
      <c r="E243" s="1">
        <v>45111</v>
      </c>
      <c r="F243">
        <v>140</v>
      </c>
      <c r="G243">
        <v>2.4</v>
      </c>
      <c r="H243">
        <v>2024</v>
      </c>
      <c r="I243" t="s">
        <v>1033</v>
      </c>
      <c r="J243" t="s">
        <v>1019</v>
      </c>
      <c r="K243">
        <v>2</v>
      </c>
      <c r="T243" t="s">
        <v>2075</v>
      </c>
      <c r="U243">
        <v>7</v>
      </c>
    </row>
    <row r="244" spans="1:21" x14ac:dyDescent="0.3">
      <c r="A244" t="s">
        <v>1642</v>
      </c>
      <c r="B244" t="s">
        <v>1041</v>
      </c>
      <c r="C244">
        <v>68</v>
      </c>
      <c r="D244" t="s">
        <v>1038</v>
      </c>
      <c r="E244" s="1">
        <v>45112</v>
      </c>
      <c r="F244">
        <v>41</v>
      </c>
      <c r="G244">
        <v>3.1</v>
      </c>
      <c r="H244">
        <v>2024</v>
      </c>
      <c r="I244" t="s">
        <v>1048</v>
      </c>
      <c r="J244" t="s">
        <v>1019</v>
      </c>
      <c r="K244">
        <v>3</v>
      </c>
      <c r="T244" t="s">
        <v>2075</v>
      </c>
      <c r="U244">
        <v>7</v>
      </c>
    </row>
    <row r="245" spans="1:21" x14ac:dyDescent="0.3">
      <c r="A245" t="s">
        <v>1648</v>
      </c>
      <c r="B245" t="s">
        <v>1047</v>
      </c>
      <c r="C245">
        <v>88</v>
      </c>
      <c r="D245" t="s">
        <v>1029</v>
      </c>
      <c r="E245" s="1">
        <v>45115</v>
      </c>
      <c r="F245">
        <v>110</v>
      </c>
      <c r="G245">
        <v>4.8</v>
      </c>
      <c r="H245">
        <v>2024</v>
      </c>
      <c r="I245" t="s">
        <v>1062</v>
      </c>
      <c r="J245" t="s">
        <v>1019</v>
      </c>
      <c r="K245">
        <v>5</v>
      </c>
      <c r="T245" t="s">
        <v>2075</v>
      </c>
      <c r="U245">
        <v>7</v>
      </c>
    </row>
    <row r="246" spans="1:21" x14ac:dyDescent="0.3">
      <c r="A246" t="s">
        <v>1649</v>
      </c>
      <c r="B246" t="s">
        <v>1036</v>
      </c>
      <c r="C246">
        <v>49</v>
      </c>
      <c r="D246" t="s">
        <v>1029</v>
      </c>
      <c r="E246" s="1">
        <v>45115</v>
      </c>
      <c r="F246">
        <v>39</v>
      </c>
      <c r="G246">
        <v>4.5999999999999996</v>
      </c>
      <c r="H246">
        <v>2024</v>
      </c>
      <c r="I246" t="s">
        <v>1062</v>
      </c>
      <c r="J246" t="s">
        <v>1034</v>
      </c>
      <c r="K246">
        <v>5</v>
      </c>
      <c r="T246" t="s">
        <v>2075</v>
      </c>
      <c r="U246">
        <v>7</v>
      </c>
    </row>
    <row r="247" spans="1:21" x14ac:dyDescent="0.3">
      <c r="A247" t="s">
        <v>1650</v>
      </c>
      <c r="B247" t="s">
        <v>1047</v>
      </c>
      <c r="C247">
        <v>72</v>
      </c>
      <c r="D247" t="s">
        <v>1017</v>
      </c>
      <c r="E247" s="1">
        <v>45115</v>
      </c>
      <c r="F247">
        <v>76</v>
      </c>
      <c r="G247">
        <v>4.5</v>
      </c>
      <c r="H247">
        <v>2024</v>
      </c>
      <c r="I247" t="s">
        <v>1062</v>
      </c>
      <c r="J247" t="s">
        <v>1019</v>
      </c>
      <c r="K247">
        <v>5</v>
      </c>
      <c r="T247" t="s">
        <v>2075</v>
      </c>
      <c r="U247">
        <v>7</v>
      </c>
    </row>
    <row r="248" spans="1:21" x14ac:dyDescent="0.3">
      <c r="A248" t="s">
        <v>1652</v>
      </c>
      <c r="B248" t="s">
        <v>1047</v>
      </c>
      <c r="C248">
        <v>52</v>
      </c>
      <c r="D248" t="s">
        <v>1038</v>
      </c>
      <c r="E248" s="1">
        <v>45115</v>
      </c>
      <c r="F248">
        <v>42</v>
      </c>
      <c r="G248">
        <v>4.8</v>
      </c>
      <c r="H248">
        <v>2024</v>
      </c>
      <c r="I248" t="s">
        <v>1062</v>
      </c>
      <c r="J248" t="s">
        <v>1034</v>
      </c>
      <c r="K248">
        <v>5</v>
      </c>
      <c r="T248" t="s">
        <v>2075</v>
      </c>
      <c r="U248">
        <v>7</v>
      </c>
    </row>
    <row r="249" spans="1:21" x14ac:dyDescent="0.3">
      <c r="A249" t="s">
        <v>1655</v>
      </c>
      <c r="B249" t="s">
        <v>1065</v>
      </c>
      <c r="C249">
        <v>52</v>
      </c>
      <c r="D249" t="s">
        <v>1042</v>
      </c>
      <c r="E249" s="1">
        <v>45117</v>
      </c>
      <c r="F249">
        <v>190</v>
      </c>
      <c r="G249">
        <v>3.3</v>
      </c>
      <c r="H249">
        <v>2024</v>
      </c>
      <c r="I249" t="s">
        <v>1030</v>
      </c>
      <c r="J249" t="s">
        <v>1034</v>
      </c>
      <c r="K249">
        <v>3</v>
      </c>
      <c r="T249" t="s">
        <v>2075</v>
      </c>
      <c r="U249">
        <v>7</v>
      </c>
    </row>
    <row r="250" spans="1:21" x14ac:dyDescent="0.3">
      <c r="A250" t="s">
        <v>1657</v>
      </c>
      <c r="B250" t="s">
        <v>1098</v>
      </c>
      <c r="C250">
        <v>131</v>
      </c>
      <c r="D250" t="s">
        <v>1024</v>
      </c>
      <c r="E250" s="1">
        <v>45118</v>
      </c>
      <c r="F250">
        <v>76</v>
      </c>
      <c r="G250">
        <v>4.5</v>
      </c>
      <c r="H250">
        <v>2024</v>
      </c>
      <c r="I250" t="s">
        <v>1033</v>
      </c>
      <c r="J250" t="s">
        <v>1031</v>
      </c>
      <c r="K250">
        <v>5</v>
      </c>
      <c r="T250" t="s">
        <v>2075</v>
      </c>
      <c r="U250">
        <v>7</v>
      </c>
    </row>
    <row r="251" spans="1:21" x14ac:dyDescent="0.3">
      <c r="A251" t="s">
        <v>1659</v>
      </c>
      <c r="B251" t="s">
        <v>1045</v>
      </c>
      <c r="C251">
        <v>45</v>
      </c>
      <c r="D251" t="s">
        <v>1042</v>
      </c>
      <c r="E251" s="1">
        <v>45119</v>
      </c>
      <c r="F251">
        <v>84</v>
      </c>
      <c r="G251">
        <v>4.8</v>
      </c>
      <c r="H251">
        <v>2024</v>
      </c>
      <c r="I251" t="s">
        <v>1048</v>
      </c>
      <c r="J251" t="s">
        <v>1034</v>
      </c>
      <c r="K251">
        <v>5</v>
      </c>
      <c r="T251" t="s">
        <v>2075</v>
      </c>
      <c r="U251">
        <v>7</v>
      </c>
    </row>
    <row r="252" spans="1:21" x14ac:dyDescent="0.3">
      <c r="A252" t="s">
        <v>1662</v>
      </c>
      <c r="B252" t="s">
        <v>1098</v>
      </c>
      <c r="C252">
        <v>33</v>
      </c>
      <c r="D252" t="s">
        <v>1029</v>
      </c>
      <c r="E252" s="1">
        <v>45120</v>
      </c>
      <c r="F252">
        <v>27</v>
      </c>
      <c r="G252">
        <v>3.7</v>
      </c>
      <c r="H252">
        <v>2024</v>
      </c>
      <c r="I252" t="s">
        <v>1052</v>
      </c>
      <c r="J252" t="s">
        <v>1034</v>
      </c>
      <c r="K252">
        <v>4</v>
      </c>
      <c r="T252" t="s">
        <v>2075</v>
      </c>
      <c r="U252">
        <v>7</v>
      </c>
    </row>
    <row r="253" spans="1:21" x14ac:dyDescent="0.3">
      <c r="A253" t="s">
        <v>1664</v>
      </c>
      <c r="B253" t="s">
        <v>1045</v>
      </c>
      <c r="C253">
        <v>168</v>
      </c>
      <c r="D253" t="s">
        <v>1029</v>
      </c>
      <c r="E253" s="1">
        <v>45121</v>
      </c>
      <c r="F253">
        <v>72</v>
      </c>
      <c r="G253">
        <v>3.5</v>
      </c>
      <c r="H253">
        <v>2024</v>
      </c>
      <c r="I253" t="s">
        <v>411</v>
      </c>
      <c r="J253" t="s">
        <v>1031</v>
      </c>
      <c r="K253">
        <v>4</v>
      </c>
      <c r="T253" t="s">
        <v>2075</v>
      </c>
      <c r="U253">
        <v>7</v>
      </c>
    </row>
    <row r="254" spans="1:21" x14ac:dyDescent="0.3">
      <c r="A254" t="s">
        <v>1673</v>
      </c>
      <c r="B254" t="s">
        <v>1098</v>
      </c>
      <c r="C254">
        <v>109</v>
      </c>
      <c r="D254" t="s">
        <v>1017</v>
      </c>
      <c r="E254" s="1">
        <v>45126</v>
      </c>
      <c r="F254">
        <v>132</v>
      </c>
      <c r="G254">
        <v>3.1</v>
      </c>
      <c r="H254">
        <v>2024</v>
      </c>
      <c r="I254" t="s">
        <v>1048</v>
      </c>
      <c r="J254" t="s">
        <v>1019</v>
      </c>
      <c r="K254">
        <v>3</v>
      </c>
      <c r="T254" t="s">
        <v>2075</v>
      </c>
      <c r="U254">
        <v>7</v>
      </c>
    </row>
    <row r="255" spans="1:21" x14ac:dyDescent="0.3">
      <c r="A255" t="s">
        <v>1683</v>
      </c>
      <c r="B255" t="s">
        <v>1065</v>
      </c>
      <c r="C255">
        <v>10</v>
      </c>
      <c r="D255" t="s">
        <v>1042</v>
      </c>
      <c r="E255" s="1">
        <v>45133</v>
      </c>
      <c r="F255">
        <v>72</v>
      </c>
      <c r="G255">
        <v>3.7</v>
      </c>
      <c r="H255">
        <v>2024</v>
      </c>
      <c r="I255" t="s">
        <v>1048</v>
      </c>
      <c r="J255" t="s">
        <v>1186</v>
      </c>
      <c r="K255">
        <v>4</v>
      </c>
      <c r="T255" t="s">
        <v>2075</v>
      </c>
      <c r="U255">
        <v>7</v>
      </c>
    </row>
    <row r="256" spans="1:21" x14ac:dyDescent="0.3">
      <c r="A256" t="s">
        <v>1691</v>
      </c>
      <c r="B256" t="s">
        <v>1047</v>
      </c>
      <c r="C256">
        <v>122</v>
      </c>
      <c r="D256" t="s">
        <v>1038</v>
      </c>
      <c r="E256" s="1">
        <v>45138</v>
      </c>
      <c r="F256">
        <v>78</v>
      </c>
      <c r="G256">
        <v>2.7</v>
      </c>
      <c r="H256">
        <v>2024</v>
      </c>
      <c r="I256" t="s">
        <v>1030</v>
      </c>
      <c r="J256" t="s">
        <v>1031</v>
      </c>
      <c r="K256">
        <v>3</v>
      </c>
      <c r="T256" t="s">
        <v>2075</v>
      </c>
      <c r="U256">
        <v>7</v>
      </c>
    </row>
    <row r="257" spans="1:21" x14ac:dyDescent="0.3">
      <c r="A257" t="s">
        <v>1694</v>
      </c>
      <c r="B257" t="s">
        <v>1098</v>
      </c>
      <c r="C257">
        <v>164</v>
      </c>
      <c r="D257" t="s">
        <v>1017</v>
      </c>
      <c r="E257" s="1">
        <v>45138</v>
      </c>
      <c r="F257">
        <v>36</v>
      </c>
      <c r="G257">
        <v>4.7</v>
      </c>
      <c r="H257">
        <v>2024</v>
      </c>
      <c r="I257" t="s">
        <v>1030</v>
      </c>
      <c r="J257" t="s">
        <v>1031</v>
      </c>
      <c r="K257">
        <v>5</v>
      </c>
      <c r="T257" t="s">
        <v>2075</v>
      </c>
      <c r="U257">
        <v>7</v>
      </c>
    </row>
    <row r="258" spans="1:21" x14ac:dyDescent="0.3">
      <c r="A258" t="s">
        <v>1696</v>
      </c>
      <c r="B258" t="s">
        <v>1036</v>
      </c>
      <c r="C258">
        <v>71</v>
      </c>
      <c r="D258" t="s">
        <v>1017</v>
      </c>
      <c r="E258" s="1">
        <v>45140</v>
      </c>
      <c r="F258">
        <v>170</v>
      </c>
      <c r="G258">
        <v>3.5</v>
      </c>
      <c r="H258">
        <v>2024</v>
      </c>
      <c r="I258" t="s">
        <v>1048</v>
      </c>
      <c r="J258" t="s">
        <v>1019</v>
      </c>
      <c r="K258">
        <v>4</v>
      </c>
      <c r="T258" t="s">
        <v>2076</v>
      </c>
      <c r="U258">
        <v>8</v>
      </c>
    </row>
    <row r="259" spans="1:21" x14ac:dyDescent="0.3">
      <c r="A259" t="s">
        <v>1700</v>
      </c>
      <c r="B259" t="s">
        <v>1041</v>
      </c>
      <c r="C259">
        <v>97</v>
      </c>
      <c r="D259" t="s">
        <v>1024</v>
      </c>
      <c r="E259" s="1">
        <v>45142</v>
      </c>
      <c r="F259">
        <v>105</v>
      </c>
      <c r="G259">
        <v>2.9</v>
      </c>
      <c r="H259">
        <v>2024</v>
      </c>
      <c r="I259" t="s">
        <v>411</v>
      </c>
      <c r="J259" t="s">
        <v>1019</v>
      </c>
      <c r="K259">
        <v>3</v>
      </c>
      <c r="T259" t="s">
        <v>2076</v>
      </c>
      <c r="U259">
        <v>8</v>
      </c>
    </row>
    <row r="260" spans="1:21" x14ac:dyDescent="0.3">
      <c r="A260" t="s">
        <v>1701</v>
      </c>
      <c r="B260" t="s">
        <v>1045</v>
      </c>
      <c r="C260">
        <v>144</v>
      </c>
      <c r="D260" t="s">
        <v>1038</v>
      </c>
      <c r="E260" s="1">
        <v>45142</v>
      </c>
      <c r="F260">
        <v>195</v>
      </c>
      <c r="G260">
        <v>3.4</v>
      </c>
      <c r="H260">
        <v>2024</v>
      </c>
      <c r="I260" t="s">
        <v>411</v>
      </c>
      <c r="J260" t="s">
        <v>1031</v>
      </c>
      <c r="K260">
        <v>3</v>
      </c>
      <c r="T260" t="s">
        <v>2076</v>
      </c>
      <c r="U260">
        <v>8</v>
      </c>
    </row>
    <row r="261" spans="1:21" x14ac:dyDescent="0.3">
      <c r="A261" t="s">
        <v>1703</v>
      </c>
      <c r="B261" t="s">
        <v>1045</v>
      </c>
      <c r="C261">
        <v>132</v>
      </c>
      <c r="D261" t="s">
        <v>1038</v>
      </c>
      <c r="E261" s="1">
        <v>45144</v>
      </c>
      <c r="F261">
        <v>195</v>
      </c>
      <c r="G261">
        <v>4.9000000000000004</v>
      </c>
      <c r="H261">
        <v>2024</v>
      </c>
      <c r="I261" t="s">
        <v>1018</v>
      </c>
      <c r="J261" t="s">
        <v>1031</v>
      </c>
      <c r="K261">
        <v>5</v>
      </c>
      <c r="T261" t="s">
        <v>2076</v>
      </c>
      <c r="U261">
        <v>8</v>
      </c>
    </row>
    <row r="262" spans="1:21" x14ac:dyDescent="0.3">
      <c r="A262" t="s">
        <v>1704</v>
      </c>
      <c r="B262" t="s">
        <v>1036</v>
      </c>
      <c r="C262">
        <v>72</v>
      </c>
      <c r="D262" t="s">
        <v>1029</v>
      </c>
      <c r="E262" s="1">
        <v>45144</v>
      </c>
      <c r="F262">
        <v>70</v>
      </c>
      <c r="G262">
        <v>3.6</v>
      </c>
      <c r="H262">
        <v>2024</v>
      </c>
      <c r="I262" t="s">
        <v>1018</v>
      </c>
      <c r="J262" t="s">
        <v>1019</v>
      </c>
      <c r="K262">
        <v>4</v>
      </c>
      <c r="T262" t="s">
        <v>2076</v>
      </c>
      <c r="U262">
        <v>8</v>
      </c>
    </row>
    <row r="263" spans="1:21" x14ac:dyDescent="0.3">
      <c r="A263" t="s">
        <v>1709</v>
      </c>
      <c r="B263" t="s">
        <v>1065</v>
      </c>
      <c r="C263">
        <v>120</v>
      </c>
      <c r="D263" t="s">
        <v>1017</v>
      </c>
      <c r="E263" s="1">
        <v>45148</v>
      </c>
      <c r="F263">
        <v>58</v>
      </c>
      <c r="G263">
        <v>4.5999999999999996</v>
      </c>
      <c r="H263">
        <v>2024</v>
      </c>
      <c r="I263" t="s">
        <v>1052</v>
      </c>
      <c r="J263" t="s">
        <v>1019</v>
      </c>
      <c r="K263">
        <v>5</v>
      </c>
      <c r="T263" t="s">
        <v>2076</v>
      </c>
      <c r="U263">
        <v>8</v>
      </c>
    </row>
    <row r="264" spans="1:21" x14ac:dyDescent="0.3">
      <c r="A264" t="s">
        <v>1710</v>
      </c>
      <c r="B264" t="s">
        <v>1041</v>
      </c>
      <c r="C264">
        <v>75</v>
      </c>
      <c r="D264" t="s">
        <v>1042</v>
      </c>
      <c r="E264" s="1">
        <v>45148</v>
      </c>
      <c r="F264">
        <v>220</v>
      </c>
      <c r="G264">
        <v>4.7</v>
      </c>
      <c r="H264">
        <v>2024</v>
      </c>
      <c r="I264" t="s">
        <v>1052</v>
      </c>
      <c r="J264" t="s">
        <v>1019</v>
      </c>
      <c r="K264">
        <v>5</v>
      </c>
      <c r="T264" t="s">
        <v>2076</v>
      </c>
      <c r="U264">
        <v>8</v>
      </c>
    </row>
    <row r="265" spans="1:21" x14ac:dyDescent="0.3">
      <c r="A265" t="s">
        <v>1712</v>
      </c>
      <c r="B265" t="s">
        <v>1045</v>
      </c>
      <c r="C265">
        <v>74</v>
      </c>
      <c r="D265" t="s">
        <v>1042</v>
      </c>
      <c r="E265" s="1">
        <v>45150</v>
      </c>
      <c r="F265">
        <v>26</v>
      </c>
      <c r="G265">
        <v>4.3</v>
      </c>
      <c r="H265">
        <v>2024</v>
      </c>
      <c r="I265" t="s">
        <v>1062</v>
      </c>
      <c r="J265" t="s">
        <v>1019</v>
      </c>
      <c r="K265">
        <v>4</v>
      </c>
      <c r="T265" t="s">
        <v>2076</v>
      </c>
      <c r="U265">
        <v>8</v>
      </c>
    </row>
    <row r="266" spans="1:21" x14ac:dyDescent="0.3">
      <c r="A266" t="s">
        <v>1717</v>
      </c>
      <c r="B266" t="s">
        <v>1041</v>
      </c>
      <c r="C266">
        <v>89</v>
      </c>
      <c r="D266" t="s">
        <v>1038</v>
      </c>
      <c r="E266" s="1">
        <v>45156</v>
      </c>
      <c r="F266">
        <v>164</v>
      </c>
      <c r="G266">
        <v>4.5</v>
      </c>
      <c r="H266">
        <v>2024</v>
      </c>
      <c r="I266" t="s">
        <v>411</v>
      </c>
      <c r="J266" t="s">
        <v>1019</v>
      </c>
      <c r="K266">
        <v>5</v>
      </c>
      <c r="T266" t="s">
        <v>2076</v>
      </c>
      <c r="U266">
        <v>8</v>
      </c>
    </row>
    <row r="267" spans="1:21" x14ac:dyDescent="0.3">
      <c r="A267" t="s">
        <v>1719</v>
      </c>
      <c r="B267" t="s">
        <v>1041</v>
      </c>
      <c r="C267">
        <v>66</v>
      </c>
      <c r="D267" t="s">
        <v>1038</v>
      </c>
      <c r="E267" s="1">
        <v>45157</v>
      </c>
      <c r="F267">
        <v>120</v>
      </c>
      <c r="G267">
        <v>4.5</v>
      </c>
      <c r="H267">
        <v>2024</v>
      </c>
      <c r="I267" t="s">
        <v>1062</v>
      </c>
      <c r="J267" t="s">
        <v>1019</v>
      </c>
      <c r="K267">
        <v>5</v>
      </c>
      <c r="T267" t="s">
        <v>2076</v>
      </c>
      <c r="U267">
        <v>8</v>
      </c>
    </row>
    <row r="268" spans="1:21" x14ac:dyDescent="0.3">
      <c r="A268" t="s">
        <v>1720</v>
      </c>
      <c r="B268" t="s">
        <v>1036</v>
      </c>
      <c r="C268">
        <v>61</v>
      </c>
      <c r="D268" t="s">
        <v>1029</v>
      </c>
      <c r="E268" s="1">
        <v>45157</v>
      </c>
      <c r="F268">
        <v>93</v>
      </c>
      <c r="G268">
        <v>2.7</v>
      </c>
      <c r="H268">
        <v>2024</v>
      </c>
      <c r="I268" t="s">
        <v>1062</v>
      </c>
      <c r="J268" t="s">
        <v>1019</v>
      </c>
      <c r="K268">
        <v>3</v>
      </c>
      <c r="T268" t="s">
        <v>2076</v>
      </c>
      <c r="U268">
        <v>8</v>
      </c>
    </row>
    <row r="269" spans="1:21" x14ac:dyDescent="0.3">
      <c r="A269" t="s">
        <v>1723</v>
      </c>
      <c r="B269" t="s">
        <v>1098</v>
      </c>
      <c r="C269">
        <v>63</v>
      </c>
      <c r="D269" t="s">
        <v>1029</v>
      </c>
      <c r="E269" s="1">
        <v>45158</v>
      </c>
      <c r="F269">
        <v>29</v>
      </c>
      <c r="G269">
        <v>4.7</v>
      </c>
      <c r="H269">
        <v>2024</v>
      </c>
      <c r="I269" t="s">
        <v>1018</v>
      </c>
      <c r="J269" t="s">
        <v>1019</v>
      </c>
      <c r="K269">
        <v>5</v>
      </c>
      <c r="T269" t="s">
        <v>2076</v>
      </c>
      <c r="U269">
        <v>8</v>
      </c>
    </row>
    <row r="270" spans="1:21" x14ac:dyDescent="0.3">
      <c r="A270" t="s">
        <v>1724</v>
      </c>
      <c r="B270" t="s">
        <v>1047</v>
      </c>
      <c r="C270">
        <v>64</v>
      </c>
      <c r="D270" t="s">
        <v>1042</v>
      </c>
      <c r="E270" s="1">
        <v>45158</v>
      </c>
      <c r="F270">
        <v>111</v>
      </c>
      <c r="G270">
        <v>3.9</v>
      </c>
      <c r="H270">
        <v>2024</v>
      </c>
      <c r="I270" t="s">
        <v>1018</v>
      </c>
      <c r="J270" t="s">
        <v>1019</v>
      </c>
      <c r="K270">
        <v>4</v>
      </c>
      <c r="T270" t="s">
        <v>2076</v>
      </c>
      <c r="U270">
        <v>8</v>
      </c>
    </row>
    <row r="271" spans="1:21" x14ac:dyDescent="0.3">
      <c r="A271" t="s">
        <v>1729</v>
      </c>
      <c r="B271" t="s">
        <v>1047</v>
      </c>
      <c r="C271">
        <v>18</v>
      </c>
      <c r="D271" t="s">
        <v>1024</v>
      </c>
      <c r="E271" s="1">
        <v>45162</v>
      </c>
      <c r="F271">
        <v>40</v>
      </c>
      <c r="G271">
        <v>4.4000000000000004</v>
      </c>
      <c r="H271">
        <v>2024</v>
      </c>
      <c r="I271" t="s">
        <v>1052</v>
      </c>
      <c r="J271" t="s">
        <v>1056</v>
      </c>
      <c r="K271">
        <v>4</v>
      </c>
      <c r="T271" t="s">
        <v>2076</v>
      </c>
      <c r="U271">
        <v>8</v>
      </c>
    </row>
    <row r="272" spans="1:21" x14ac:dyDescent="0.3">
      <c r="A272" t="s">
        <v>1730</v>
      </c>
      <c r="B272" t="s">
        <v>1036</v>
      </c>
      <c r="C272">
        <v>146</v>
      </c>
      <c r="D272" t="s">
        <v>1029</v>
      </c>
      <c r="E272" s="1">
        <v>45162</v>
      </c>
      <c r="F272">
        <v>160</v>
      </c>
      <c r="G272">
        <v>4.0999999999999996</v>
      </c>
      <c r="H272">
        <v>2024</v>
      </c>
      <c r="I272" t="s">
        <v>1052</v>
      </c>
      <c r="J272" t="s">
        <v>1031</v>
      </c>
      <c r="K272">
        <v>4</v>
      </c>
      <c r="T272" t="s">
        <v>2076</v>
      </c>
      <c r="U272">
        <v>8</v>
      </c>
    </row>
    <row r="273" spans="1:21" x14ac:dyDescent="0.3">
      <c r="A273" t="s">
        <v>1735</v>
      </c>
      <c r="B273" t="s">
        <v>1036</v>
      </c>
      <c r="C273">
        <v>104</v>
      </c>
      <c r="D273" t="s">
        <v>1038</v>
      </c>
      <c r="E273" s="1">
        <v>45164</v>
      </c>
      <c r="F273">
        <v>66</v>
      </c>
      <c r="G273">
        <v>4.8</v>
      </c>
      <c r="H273">
        <v>2024</v>
      </c>
      <c r="I273" t="s">
        <v>1062</v>
      </c>
      <c r="J273" t="s">
        <v>1019</v>
      </c>
      <c r="K273">
        <v>5</v>
      </c>
      <c r="T273" t="s">
        <v>2076</v>
      </c>
      <c r="U273">
        <v>8</v>
      </c>
    </row>
    <row r="274" spans="1:21" x14ac:dyDescent="0.3">
      <c r="A274" t="s">
        <v>1737</v>
      </c>
      <c r="B274" t="s">
        <v>1065</v>
      </c>
      <c r="C274">
        <v>80</v>
      </c>
      <c r="D274" t="s">
        <v>1042</v>
      </c>
      <c r="E274" s="1">
        <v>45165</v>
      </c>
      <c r="F274">
        <v>104</v>
      </c>
      <c r="G274">
        <v>4.7</v>
      </c>
      <c r="H274">
        <v>2024</v>
      </c>
      <c r="I274" t="s">
        <v>1018</v>
      </c>
      <c r="J274" t="s">
        <v>1019</v>
      </c>
      <c r="K274">
        <v>5</v>
      </c>
      <c r="T274" t="s">
        <v>2076</v>
      </c>
      <c r="U274">
        <v>8</v>
      </c>
    </row>
    <row r="275" spans="1:21" x14ac:dyDescent="0.3">
      <c r="A275" t="s">
        <v>1740</v>
      </c>
      <c r="B275" t="s">
        <v>1036</v>
      </c>
      <c r="C275">
        <v>117</v>
      </c>
      <c r="D275" t="s">
        <v>1042</v>
      </c>
      <c r="E275" s="1">
        <v>45165</v>
      </c>
      <c r="F275">
        <v>90</v>
      </c>
      <c r="G275">
        <v>4.0999999999999996</v>
      </c>
      <c r="H275">
        <v>2024</v>
      </c>
      <c r="I275" t="s">
        <v>1018</v>
      </c>
      <c r="J275" t="s">
        <v>1019</v>
      </c>
      <c r="K275">
        <v>4</v>
      </c>
      <c r="T275" t="s">
        <v>2076</v>
      </c>
      <c r="U275">
        <v>8</v>
      </c>
    </row>
    <row r="276" spans="1:21" x14ac:dyDescent="0.3">
      <c r="A276" t="s">
        <v>1746</v>
      </c>
      <c r="B276" t="s">
        <v>1045</v>
      </c>
      <c r="C276">
        <v>124</v>
      </c>
      <c r="D276" t="s">
        <v>1017</v>
      </c>
      <c r="E276" s="1">
        <v>45170</v>
      </c>
      <c r="F276">
        <v>132</v>
      </c>
      <c r="G276">
        <v>4</v>
      </c>
      <c r="H276">
        <v>2024</v>
      </c>
      <c r="I276" t="s">
        <v>411</v>
      </c>
      <c r="J276" t="s">
        <v>1031</v>
      </c>
      <c r="K276">
        <v>4</v>
      </c>
      <c r="T276" t="s">
        <v>2077</v>
      </c>
      <c r="U276">
        <v>9</v>
      </c>
    </row>
    <row r="277" spans="1:21" x14ac:dyDescent="0.3">
      <c r="A277" t="s">
        <v>1748</v>
      </c>
      <c r="B277" t="s">
        <v>1041</v>
      </c>
      <c r="C277">
        <v>96</v>
      </c>
      <c r="D277" t="s">
        <v>1038</v>
      </c>
      <c r="E277" s="1">
        <v>45170</v>
      </c>
      <c r="F277">
        <v>36</v>
      </c>
      <c r="G277">
        <v>3.4</v>
      </c>
      <c r="H277">
        <v>2024</v>
      </c>
      <c r="I277" t="s">
        <v>411</v>
      </c>
      <c r="J277" t="s">
        <v>1019</v>
      </c>
      <c r="K277">
        <v>3</v>
      </c>
      <c r="T277" t="s">
        <v>2077</v>
      </c>
      <c r="U277">
        <v>9</v>
      </c>
    </row>
    <row r="278" spans="1:21" x14ac:dyDescent="0.3">
      <c r="A278" t="s">
        <v>1755</v>
      </c>
      <c r="B278" t="s">
        <v>1047</v>
      </c>
      <c r="C278">
        <v>131</v>
      </c>
      <c r="D278" t="s">
        <v>1017</v>
      </c>
      <c r="E278" s="1">
        <v>45174</v>
      </c>
      <c r="F278">
        <v>75</v>
      </c>
      <c r="G278">
        <v>4.4000000000000004</v>
      </c>
      <c r="H278">
        <v>2024</v>
      </c>
      <c r="I278" t="s">
        <v>1033</v>
      </c>
      <c r="J278" t="s">
        <v>1031</v>
      </c>
      <c r="K278">
        <v>4</v>
      </c>
      <c r="T278" t="s">
        <v>2077</v>
      </c>
      <c r="U278">
        <v>9</v>
      </c>
    </row>
    <row r="279" spans="1:21" x14ac:dyDescent="0.3">
      <c r="A279" t="s">
        <v>1756</v>
      </c>
      <c r="B279" t="s">
        <v>1036</v>
      </c>
      <c r="C279">
        <v>52</v>
      </c>
      <c r="D279" t="s">
        <v>1038</v>
      </c>
      <c r="E279" s="1">
        <v>45175</v>
      </c>
      <c r="F279">
        <v>88</v>
      </c>
      <c r="G279">
        <v>4.3</v>
      </c>
      <c r="H279">
        <v>2024</v>
      </c>
      <c r="I279" t="s">
        <v>1048</v>
      </c>
      <c r="J279" t="s">
        <v>1034</v>
      </c>
      <c r="K279">
        <v>4</v>
      </c>
      <c r="T279" t="s">
        <v>2077</v>
      </c>
      <c r="U279">
        <v>9</v>
      </c>
    </row>
    <row r="280" spans="1:21" x14ac:dyDescent="0.3">
      <c r="A280" t="s">
        <v>1768</v>
      </c>
      <c r="B280" t="s">
        <v>1065</v>
      </c>
      <c r="C280">
        <v>124</v>
      </c>
      <c r="D280" t="s">
        <v>1017</v>
      </c>
      <c r="E280" s="1">
        <v>45179</v>
      </c>
      <c r="F280">
        <v>46</v>
      </c>
      <c r="G280">
        <v>3.1</v>
      </c>
      <c r="H280">
        <v>2024</v>
      </c>
      <c r="I280" t="s">
        <v>1018</v>
      </c>
      <c r="J280" t="s">
        <v>1031</v>
      </c>
      <c r="K280">
        <v>3</v>
      </c>
      <c r="T280" t="s">
        <v>2077</v>
      </c>
      <c r="U280">
        <v>9</v>
      </c>
    </row>
    <row r="281" spans="1:21" x14ac:dyDescent="0.3">
      <c r="A281" t="s">
        <v>1770</v>
      </c>
      <c r="B281" t="s">
        <v>1041</v>
      </c>
      <c r="C281">
        <v>107</v>
      </c>
      <c r="D281" t="s">
        <v>1024</v>
      </c>
      <c r="E281" s="1">
        <v>45179</v>
      </c>
      <c r="F281">
        <v>38</v>
      </c>
      <c r="G281">
        <v>4.7</v>
      </c>
      <c r="H281">
        <v>2024</v>
      </c>
      <c r="I281" t="s">
        <v>1018</v>
      </c>
      <c r="J281" t="s">
        <v>1019</v>
      </c>
      <c r="K281">
        <v>5</v>
      </c>
      <c r="T281" t="s">
        <v>2077</v>
      </c>
      <c r="U281">
        <v>9</v>
      </c>
    </row>
    <row r="282" spans="1:21" x14ac:dyDescent="0.3">
      <c r="A282" t="s">
        <v>1772</v>
      </c>
      <c r="B282" t="s">
        <v>1045</v>
      </c>
      <c r="C282">
        <v>66</v>
      </c>
      <c r="D282" t="s">
        <v>1024</v>
      </c>
      <c r="E282" s="1">
        <v>45181</v>
      </c>
      <c r="F282">
        <v>32</v>
      </c>
      <c r="G282">
        <v>3.8</v>
      </c>
      <c r="H282">
        <v>2024</v>
      </c>
      <c r="I282" t="s">
        <v>1033</v>
      </c>
      <c r="J282" t="s">
        <v>1019</v>
      </c>
      <c r="K282">
        <v>4</v>
      </c>
      <c r="T282" t="s">
        <v>2077</v>
      </c>
      <c r="U282">
        <v>9</v>
      </c>
    </row>
    <row r="283" spans="1:21" x14ac:dyDescent="0.3">
      <c r="A283" t="s">
        <v>1773</v>
      </c>
      <c r="B283" t="s">
        <v>1047</v>
      </c>
      <c r="C283">
        <v>75</v>
      </c>
      <c r="D283" t="s">
        <v>1042</v>
      </c>
      <c r="E283" s="1">
        <v>45181</v>
      </c>
      <c r="F283">
        <v>120</v>
      </c>
      <c r="G283">
        <v>4.4000000000000004</v>
      </c>
      <c r="H283">
        <v>2024</v>
      </c>
      <c r="I283" t="s">
        <v>1033</v>
      </c>
      <c r="J283" t="s">
        <v>1019</v>
      </c>
      <c r="K283">
        <v>4</v>
      </c>
      <c r="T283" t="s">
        <v>2077</v>
      </c>
      <c r="U283">
        <v>9</v>
      </c>
    </row>
    <row r="284" spans="1:21" x14ac:dyDescent="0.3">
      <c r="A284" t="s">
        <v>1774</v>
      </c>
      <c r="B284" t="s">
        <v>1041</v>
      </c>
      <c r="C284">
        <v>8</v>
      </c>
      <c r="D284" t="s">
        <v>1024</v>
      </c>
      <c r="E284" s="1">
        <v>45181</v>
      </c>
      <c r="F284">
        <v>31</v>
      </c>
      <c r="G284">
        <v>3.9</v>
      </c>
      <c r="H284">
        <v>2024</v>
      </c>
      <c r="I284" t="s">
        <v>1033</v>
      </c>
      <c r="J284" t="s">
        <v>1186</v>
      </c>
      <c r="K284">
        <v>4</v>
      </c>
      <c r="T284" t="s">
        <v>2077</v>
      </c>
      <c r="U284">
        <v>9</v>
      </c>
    </row>
    <row r="285" spans="1:21" x14ac:dyDescent="0.3">
      <c r="A285" t="s">
        <v>1777</v>
      </c>
      <c r="B285" t="s">
        <v>1045</v>
      </c>
      <c r="C285">
        <v>50</v>
      </c>
      <c r="D285" t="s">
        <v>1029</v>
      </c>
      <c r="E285" s="1">
        <v>45183</v>
      </c>
      <c r="F285">
        <v>124</v>
      </c>
      <c r="G285">
        <v>4</v>
      </c>
      <c r="H285">
        <v>2024</v>
      </c>
      <c r="I285" t="s">
        <v>1052</v>
      </c>
      <c r="J285" t="s">
        <v>1034</v>
      </c>
      <c r="K285">
        <v>4</v>
      </c>
      <c r="T285" t="s">
        <v>2077</v>
      </c>
      <c r="U285">
        <v>9</v>
      </c>
    </row>
    <row r="286" spans="1:21" x14ac:dyDescent="0.3">
      <c r="A286" t="s">
        <v>1778</v>
      </c>
      <c r="B286" t="s">
        <v>1036</v>
      </c>
      <c r="C286">
        <v>78</v>
      </c>
      <c r="D286" t="s">
        <v>1029</v>
      </c>
      <c r="E286" s="1">
        <v>45183</v>
      </c>
      <c r="F286">
        <v>23</v>
      </c>
      <c r="G286">
        <v>4.2</v>
      </c>
      <c r="H286">
        <v>2024</v>
      </c>
      <c r="I286" t="s">
        <v>1052</v>
      </c>
      <c r="J286" t="s">
        <v>1019</v>
      </c>
      <c r="K286">
        <v>4</v>
      </c>
      <c r="T286" t="s">
        <v>2077</v>
      </c>
      <c r="U286">
        <v>9</v>
      </c>
    </row>
    <row r="287" spans="1:21" x14ac:dyDescent="0.3">
      <c r="A287" t="s">
        <v>1780</v>
      </c>
      <c r="B287" t="s">
        <v>1036</v>
      </c>
      <c r="C287">
        <v>126</v>
      </c>
      <c r="D287" t="s">
        <v>1024</v>
      </c>
      <c r="E287" s="1">
        <v>45185</v>
      </c>
      <c r="F287">
        <v>52</v>
      </c>
      <c r="G287">
        <v>1.1000000000000001</v>
      </c>
      <c r="H287">
        <v>2024</v>
      </c>
      <c r="I287" t="s">
        <v>1062</v>
      </c>
      <c r="J287" t="s">
        <v>1031</v>
      </c>
      <c r="K287">
        <v>1</v>
      </c>
      <c r="T287" t="s">
        <v>2077</v>
      </c>
      <c r="U287">
        <v>9</v>
      </c>
    </row>
    <row r="288" spans="1:21" x14ac:dyDescent="0.3">
      <c r="A288" t="s">
        <v>1785</v>
      </c>
      <c r="B288" t="s">
        <v>1041</v>
      </c>
      <c r="C288">
        <v>108</v>
      </c>
      <c r="D288" t="s">
        <v>1017</v>
      </c>
      <c r="E288" s="1">
        <v>45190</v>
      </c>
      <c r="F288">
        <v>180</v>
      </c>
      <c r="G288">
        <v>4</v>
      </c>
      <c r="H288">
        <v>2024</v>
      </c>
      <c r="I288" t="s">
        <v>1052</v>
      </c>
      <c r="J288" t="s">
        <v>1019</v>
      </c>
      <c r="K288">
        <v>4</v>
      </c>
      <c r="T288" t="s">
        <v>2077</v>
      </c>
      <c r="U288">
        <v>9</v>
      </c>
    </row>
    <row r="289" spans="1:21" x14ac:dyDescent="0.3">
      <c r="A289" t="s">
        <v>1789</v>
      </c>
      <c r="B289" t="s">
        <v>1041</v>
      </c>
      <c r="C289">
        <v>120</v>
      </c>
      <c r="D289" t="s">
        <v>1017</v>
      </c>
      <c r="E289" s="1">
        <v>45191</v>
      </c>
      <c r="F289">
        <v>38</v>
      </c>
      <c r="G289">
        <v>4.2</v>
      </c>
      <c r="H289">
        <v>2024</v>
      </c>
      <c r="I289" t="s">
        <v>411</v>
      </c>
      <c r="J289" t="s">
        <v>1019</v>
      </c>
      <c r="K289">
        <v>4</v>
      </c>
      <c r="T289" t="s">
        <v>2077</v>
      </c>
      <c r="U289">
        <v>9</v>
      </c>
    </row>
    <row r="290" spans="1:21" x14ac:dyDescent="0.3">
      <c r="A290" t="s">
        <v>1791</v>
      </c>
      <c r="B290" t="s">
        <v>1036</v>
      </c>
      <c r="C290">
        <v>79</v>
      </c>
      <c r="D290" t="s">
        <v>1017</v>
      </c>
      <c r="E290" s="1">
        <v>45192</v>
      </c>
      <c r="F290">
        <v>215</v>
      </c>
      <c r="G290">
        <v>4.5999999999999996</v>
      </c>
      <c r="H290">
        <v>2024</v>
      </c>
      <c r="I290" t="s">
        <v>1062</v>
      </c>
      <c r="J290" t="s">
        <v>1019</v>
      </c>
      <c r="K290">
        <v>5</v>
      </c>
      <c r="T290" t="s">
        <v>2077</v>
      </c>
      <c r="U290">
        <v>9</v>
      </c>
    </row>
    <row r="291" spans="1:21" x14ac:dyDescent="0.3">
      <c r="A291" t="s">
        <v>1792</v>
      </c>
      <c r="B291" t="s">
        <v>1036</v>
      </c>
      <c r="C291">
        <v>45</v>
      </c>
      <c r="D291" t="s">
        <v>1029</v>
      </c>
      <c r="E291" s="1">
        <v>45192</v>
      </c>
      <c r="F291">
        <v>92</v>
      </c>
      <c r="G291">
        <v>4.3</v>
      </c>
      <c r="H291">
        <v>2024</v>
      </c>
      <c r="I291" t="s">
        <v>1062</v>
      </c>
      <c r="J291" t="s">
        <v>1034</v>
      </c>
      <c r="K291">
        <v>4</v>
      </c>
      <c r="T291" t="s">
        <v>2077</v>
      </c>
      <c r="U291">
        <v>9</v>
      </c>
    </row>
    <row r="292" spans="1:21" x14ac:dyDescent="0.3">
      <c r="A292" t="s">
        <v>1796</v>
      </c>
      <c r="B292" t="s">
        <v>1065</v>
      </c>
      <c r="C292">
        <v>159</v>
      </c>
      <c r="D292" t="s">
        <v>1024</v>
      </c>
      <c r="E292" s="1">
        <v>45193</v>
      </c>
      <c r="F292">
        <v>63</v>
      </c>
      <c r="G292">
        <v>4.2</v>
      </c>
      <c r="H292">
        <v>2024</v>
      </c>
      <c r="I292" t="s">
        <v>1018</v>
      </c>
      <c r="J292" t="s">
        <v>1031</v>
      </c>
      <c r="K292">
        <v>4</v>
      </c>
      <c r="T292" t="s">
        <v>2077</v>
      </c>
      <c r="U292">
        <v>9</v>
      </c>
    </row>
    <row r="293" spans="1:21" x14ac:dyDescent="0.3">
      <c r="A293" t="s">
        <v>1797</v>
      </c>
      <c r="B293" t="s">
        <v>1098</v>
      </c>
      <c r="C293">
        <v>109</v>
      </c>
      <c r="D293" t="s">
        <v>1042</v>
      </c>
      <c r="E293" s="1">
        <v>45193</v>
      </c>
      <c r="F293">
        <v>52</v>
      </c>
      <c r="G293">
        <v>3.9</v>
      </c>
      <c r="H293">
        <v>2024</v>
      </c>
      <c r="I293" t="s">
        <v>1018</v>
      </c>
      <c r="J293" t="s">
        <v>1019</v>
      </c>
      <c r="K293">
        <v>4</v>
      </c>
      <c r="T293" t="s">
        <v>2077</v>
      </c>
      <c r="U293">
        <v>9</v>
      </c>
    </row>
    <row r="294" spans="1:21" x14ac:dyDescent="0.3">
      <c r="A294" t="s">
        <v>1798</v>
      </c>
      <c r="B294" t="s">
        <v>1036</v>
      </c>
      <c r="C294">
        <v>107</v>
      </c>
      <c r="D294" t="s">
        <v>1042</v>
      </c>
      <c r="E294" s="1">
        <v>45193</v>
      </c>
      <c r="F294">
        <v>60</v>
      </c>
      <c r="G294">
        <v>4.2</v>
      </c>
      <c r="H294">
        <v>2024</v>
      </c>
      <c r="I294" t="s">
        <v>1018</v>
      </c>
      <c r="J294" t="s">
        <v>1019</v>
      </c>
      <c r="K294">
        <v>4</v>
      </c>
      <c r="T294" t="s">
        <v>2077</v>
      </c>
      <c r="U294">
        <v>9</v>
      </c>
    </row>
    <row r="295" spans="1:21" x14ac:dyDescent="0.3">
      <c r="A295" t="s">
        <v>1800</v>
      </c>
      <c r="B295" t="s">
        <v>1047</v>
      </c>
      <c r="C295">
        <v>96</v>
      </c>
      <c r="D295" t="s">
        <v>1017</v>
      </c>
      <c r="E295" s="1">
        <v>45195</v>
      </c>
      <c r="F295">
        <v>42</v>
      </c>
      <c r="G295">
        <v>4.5</v>
      </c>
      <c r="H295">
        <v>2024</v>
      </c>
      <c r="I295" t="s">
        <v>1033</v>
      </c>
      <c r="J295" t="s">
        <v>1019</v>
      </c>
      <c r="K295">
        <v>5</v>
      </c>
      <c r="T295" t="s">
        <v>2077</v>
      </c>
      <c r="U295">
        <v>9</v>
      </c>
    </row>
    <row r="296" spans="1:21" x14ac:dyDescent="0.3">
      <c r="A296" t="s">
        <v>1803</v>
      </c>
      <c r="B296" t="s">
        <v>1047</v>
      </c>
      <c r="C296">
        <v>152</v>
      </c>
      <c r="D296" t="s">
        <v>1038</v>
      </c>
      <c r="E296" s="1">
        <v>45196</v>
      </c>
      <c r="F296">
        <v>88</v>
      </c>
      <c r="G296">
        <v>4.7</v>
      </c>
      <c r="H296">
        <v>2024</v>
      </c>
      <c r="I296" t="s">
        <v>1048</v>
      </c>
      <c r="J296" t="s">
        <v>1031</v>
      </c>
      <c r="K296">
        <v>5</v>
      </c>
      <c r="T296" t="s">
        <v>2077</v>
      </c>
      <c r="U296">
        <v>9</v>
      </c>
    </row>
    <row r="297" spans="1:21" x14ac:dyDescent="0.3">
      <c r="A297" t="s">
        <v>1809</v>
      </c>
      <c r="B297" t="s">
        <v>1065</v>
      </c>
      <c r="C297">
        <v>64</v>
      </c>
      <c r="D297" t="s">
        <v>1038</v>
      </c>
      <c r="E297" s="1">
        <v>45198</v>
      </c>
      <c r="F297">
        <v>112</v>
      </c>
      <c r="G297">
        <v>2</v>
      </c>
      <c r="H297">
        <v>2024</v>
      </c>
      <c r="I297" t="s">
        <v>411</v>
      </c>
      <c r="J297" t="s">
        <v>1019</v>
      </c>
      <c r="K297">
        <v>2</v>
      </c>
      <c r="T297" t="s">
        <v>2077</v>
      </c>
      <c r="U297">
        <v>9</v>
      </c>
    </row>
    <row r="298" spans="1:21" x14ac:dyDescent="0.3">
      <c r="A298" t="s">
        <v>1811</v>
      </c>
      <c r="B298" t="s">
        <v>1098</v>
      </c>
      <c r="C298">
        <v>124</v>
      </c>
      <c r="D298" t="s">
        <v>1029</v>
      </c>
      <c r="E298" s="1">
        <v>45198</v>
      </c>
      <c r="F298">
        <v>48</v>
      </c>
      <c r="G298">
        <v>3.7</v>
      </c>
      <c r="H298">
        <v>2024</v>
      </c>
      <c r="I298" t="s">
        <v>411</v>
      </c>
      <c r="J298" t="s">
        <v>1031</v>
      </c>
      <c r="K298">
        <v>4</v>
      </c>
      <c r="T298" t="s">
        <v>2077</v>
      </c>
      <c r="U298">
        <v>9</v>
      </c>
    </row>
    <row r="299" spans="1:21" x14ac:dyDescent="0.3">
      <c r="A299" t="s">
        <v>1812</v>
      </c>
      <c r="B299" t="s">
        <v>1065</v>
      </c>
      <c r="C299">
        <v>125</v>
      </c>
      <c r="D299" t="s">
        <v>1024</v>
      </c>
      <c r="E299" s="1">
        <v>45198</v>
      </c>
      <c r="F299">
        <v>116</v>
      </c>
      <c r="G299">
        <v>4.4000000000000004</v>
      </c>
      <c r="H299">
        <v>2024</v>
      </c>
      <c r="I299" t="s">
        <v>411</v>
      </c>
      <c r="J299" t="s">
        <v>1031</v>
      </c>
      <c r="K299">
        <v>4</v>
      </c>
      <c r="T299" t="s">
        <v>2077</v>
      </c>
      <c r="U299">
        <v>9</v>
      </c>
    </row>
    <row r="300" spans="1:21" x14ac:dyDescent="0.3">
      <c r="A300" t="s">
        <v>1818</v>
      </c>
      <c r="B300" t="s">
        <v>1065</v>
      </c>
      <c r="C300">
        <v>119</v>
      </c>
      <c r="D300" t="s">
        <v>1017</v>
      </c>
      <c r="E300" s="1">
        <v>45199</v>
      </c>
      <c r="F300">
        <v>96</v>
      </c>
      <c r="G300">
        <v>3.1</v>
      </c>
      <c r="H300">
        <v>2024</v>
      </c>
      <c r="I300" t="s">
        <v>1062</v>
      </c>
      <c r="J300" t="s">
        <v>1019</v>
      </c>
      <c r="K300">
        <v>3</v>
      </c>
      <c r="T300" t="s">
        <v>2077</v>
      </c>
      <c r="U300">
        <v>9</v>
      </c>
    </row>
    <row r="301" spans="1:21" x14ac:dyDescent="0.3">
      <c r="A301" t="s">
        <v>1819</v>
      </c>
      <c r="B301" t="s">
        <v>1098</v>
      </c>
      <c r="C301">
        <v>61</v>
      </c>
      <c r="D301" t="s">
        <v>1029</v>
      </c>
      <c r="E301" s="1">
        <v>45199</v>
      </c>
      <c r="F301">
        <v>117</v>
      </c>
      <c r="G301">
        <v>4.0999999999999996</v>
      </c>
      <c r="H301">
        <v>2024</v>
      </c>
      <c r="I301" t="s">
        <v>1062</v>
      </c>
      <c r="J301" t="s">
        <v>1019</v>
      </c>
      <c r="K301">
        <v>4</v>
      </c>
      <c r="T301" t="s">
        <v>2077</v>
      </c>
      <c r="U301">
        <v>9</v>
      </c>
    </row>
    <row r="302" spans="1:21" x14ac:dyDescent="0.3">
      <c r="A302" t="s">
        <v>1821</v>
      </c>
      <c r="B302" t="s">
        <v>1047</v>
      </c>
      <c r="C302">
        <v>134</v>
      </c>
      <c r="D302" t="s">
        <v>1042</v>
      </c>
      <c r="E302" s="1">
        <v>45199</v>
      </c>
      <c r="F302">
        <v>117</v>
      </c>
      <c r="G302">
        <v>4</v>
      </c>
      <c r="H302">
        <v>2024</v>
      </c>
      <c r="I302" t="s">
        <v>1062</v>
      </c>
      <c r="J302" t="s">
        <v>1031</v>
      </c>
      <c r="K302">
        <v>4</v>
      </c>
      <c r="T302" t="s">
        <v>2077</v>
      </c>
      <c r="U302">
        <v>9</v>
      </c>
    </row>
    <row r="303" spans="1:21" x14ac:dyDescent="0.3">
      <c r="A303" t="s">
        <v>1824</v>
      </c>
      <c r="B303" t="s">
        <v>1045</v>
      </c>
      <c r="C303">
        <v>78</v>
      </c>
      <c r="D303" t="s">
        <v>1038</v>
      </c>
      <c r="E303" s="1">
        <v>45200</v>
      </c>
      <c r="F303">
        <v>135</v>
      </c>
      <c r="G303">
        <v>4.0999999999999996</v>
      </c>
      <c r="H303">
        <v>2024</v>
      </c>
      <c r="I303" t="s">
        <v>1018</v>
      </c>
      <c r="J303" t="s">
        <v>1019</v>
      </c>
      <c r="K303">
        <v>4</v>
      </c>
      <c r="T303" t="s">
        <v>2078</v>
      </c>
      <c r="U303">
        <v>10</v>
      </c>
    </row>
    <row r="304" spans="1:21" x14ac:dyDescent="0.3">
      <c r="A304" t="s">
        <v>1825</v>
      </c>
      <c r="B304" t="s">
        <v>1065</v>
      </c>
      <c r="C304">
        <v>82</v>
      </c>
      <c r="D304" t="s">
        <v>1024</v>
      </c>
      <c r="E304" s="1">
        <v>45200</v>
      </c>
      <c r="F304">
        <v>99</v>
      </c>
      <c r="G304">
        <v>4.2</v>
      </c>
      <c r="H304">
        <v>2024</v>
      </c>
      <c r="I304" t="s">
        <v>1018</v>
      </c>
      <c r="J304" t="s">
        <v>1019</v>
      </c>
      <c r="K304">
        <v>4</v>
      </c>
      <c r="T304" t="s">
        <v>2078</v>
      </c>
      <c r="U304">
        <v>10</v>
      </c>
    </row>
    <row r="305" spans="1:21" x14ac:dyDescent="0.3">
      <c r="A305" t="s">
        <v>1826</v>
      </c>
      <c r="B305" t="s">
        <v>1041</v>
      </c>
      <c r="C305">
        <v>149</v>
      </c>
      <c r="D305" t="s">
        <v>1029</v>
      </c>
      <c r="E305" s="1">
        <v>45200</v>
      </c>
      <c r="F305">
        <v>130</v>
      </c>
      <c r="G305">
        <v>3.3</v>
      </c>
      <c r="H305">
        <v>2024</v>
      </c>
      <c r="I305" t="s">
        <v>1018</v>
      </c>
      <c r="J305" t="s">
        <v>1031</v>
      </c>
      <c r="K305">
        <v>3</v>
      </c>
      <c r="T305" t="s">
        <v>2078</v>
      </c>
      <c r="U305">
        <v>10</v>
      </c>
    </row>
    <row r="306" spans="1:21" x14ac:dyDescent="0.3">
      <c r="A306" t="s">
        <v>1827</v>
      </c>
      <c r="B306" t="s">
        <v>1036</v>
      </c>
      <c r="C306">
        <v>56</v>
      </c>
      <c r="D306" t="s">
        <v>1042</v>
      </c>
      <c r="E306" s="1">
        <v>45200</v>
      </c>
      <c r="F306">
        <v>96</v>
      </c>
      <c r="G306">
        <v>4.7</v>
      </c>
      <c r="H306">
        <v>2024</v>
      </c>
      <c r="I306" t="s">
        <v>1018</v>
      </c>
      <c r="J306" t="s">
        <v>1034</v>
      </c>
      <c r="K306">
        <v>5</v>
      </c>
      <c r="T306" t="s">
        <v>2078</v>
      </c>
      <c r="U306">
        <v>10</v>
      </c>
    </row>
    <row r="307" spans="1:21" x14ac:dyDescent="0.3">
      <c r="A307" t="s">
        <v>1829</v>
      </c>
      <c r="B307" t="s">
        <v>1098</v>
      </c>
      <c r="C307">
        <v>131</v>
      </c>
      <c r="D307" t="s">
        <v>1017</v>
      </c>
      <c r="E307" s="1">
        <v>45200</v>
      </c>
      <c r="F307">
        <v>69</v>
      </c>
      <c r="G307">
        <v>4.7</v>
      </c>
      <c r="H307">
        <v>2024</v>
      </c>
      <c r="I307" t="s">
        <v>1018</v>
      </c>
      <c r="J307" t="s">
        <v>1031</v>
      </c>
      <c r="K307">
        <v>5</v>
      </c>
      <c r="T307" t="s">
        <v>2078</v>
      </c>
      <c r="U307">
        <v>10</v>
      </c>
    </row>
    <row r="308" spans="1:21" x14ac:dyDescent="0.3">
      <c r="A308" t="s">
        <v>1830</v>
      </c>
      <c r="B308" t="s">
        <v>1098</v>
      </c>
      <c r="C308">
        <v>109</v>
      </c>
      <c r="D308" t="s">
        <v>1017</v>
      </c>
      <c r="E308" s="1">
        <v>45200</v>
      </c>
      <c r="F308">
        <v>44</v>
      </c>
      <c r="G308">
        <v>4.5999999999999996</v>
      </c>
      <c r="H308">
        <v>2024</v>
      </c>
      <c r="I308" t="s">
        <v>1018</v>
      </c>
      <c r="J308" t="s">
        <v>1019</v>
      </c>
      <c r="K308">
        <v>5</v>
      </c>
      <c r="T308" t="s">
        <v>2078</v>
      </c>
      <c r="U308">
        <v>10</v>
      </c>
    </row>
    <row r="309" spans="1:21" x14ac:dyDescent="0.3">
      <c r="A309" t="s">
        <v>1831</v>
      </c>
      <c r="B309" t="s">
        <v>1036</v>
      </c>
      <c r="C309">
        <v>142</v>
      </c>
      <c r="D309" t="s">
        <v>1017</v>
      </c>
      <c r="E309" s="1">
        <v>45200</v>
      </c>
      <c r="F309">
        <v>44</v>
      </c>
      <c r="G309">
        <v>4.8</v>
      </c>
      <c r="H309">
        <v>2024</v>
      </c>
      <c r="I309" t="s">
        <v>1018</v>
      </c>
      <c r="J309" t="s">
        <v>1031</v>
      </c>
      <c r="K309">
        <v>5</v>
      </c>
      <c r="T309" t="s">
        <v>2078</v>
      </c>
      <c r="U309">
        <v>10</v>
      </c>
    </row>
    <row r="310" spans="1:21" x14ac:dyDescent="0.3">
      <c r="A310" t="s">
        <v>1835</v>
      </c>
      <c r="B310" t="s">
        <v>1047</v>
      </c>
      <c r="C310">
        <v>78</v>
      </c>
      <c r="D310" t="s">
        <v>1038</v>
      </c>
      <c r="E310" s="1">
        <v>45202</v>
      </c>
      <c r="F310">
        <v>84</v>
      </c>
      <c r="G310">
        <v>4.5999999999999996</v>
      </c>
      <c r="H310">
        <v>2024</v>
      </c>
      <c r="I310" t="s">
        <v>1033</v>
      </c>
      <c r="J310" t="s">
        <v>1019</v>
      </c>
      <c r="K310">
        <v>5</v>
      </c>
      <c r="T310" t="s">
        <v>2078</v>
      </c>
      <c r="U310">
        <v>10</v>
      </c>
    </row>
    <row r="311" spans="1:21" x14ac:dyDescent="0.3">
      <c r="A311" t="s">
        <v>1837</v>
      </c>
      <c r="B311" t="s">
        <v>1036</v>
      </c>
      <c r="C311">
        <v>82</v>
      </c>
      <c r="D311" t="s">
        <v>1024</v>
      </c>
      <c r="E311" s="1">
        <v>45202</v>
      </c>
      <c r="F311">
        <v>130</v>
      </c>
      <c r="G311">
        <v>4.4000000000000004</v>
      </c>
      <c r="H311">
        <v>2024</v>
      </c>
      <c r="I311" t="s">
        <v>1033</v>
      </c>
      <c r="J311" t="s">
        <v>1019</v>
      </c>
      <c r="K311">
        <v>4</v>
      </c>
      <c r="T311" t="s">
        <v>2078</v>
      </c>
      <c r="U311">
        <v>10</v>
      </c>
    </row>
    <row r="312" spans="1:21" x14ac:dyDescent="0.3">
      <c r="A312" t="s">
        <v>1841</v>
      </c>
      <c r="B312" t="s">
        <v>1045</v>
      </c>
      <c r="C312">
        <v>138</v>
      </c>
      <c r="D312" t="s">
        <v>1038</v>
      </c>
      <c r="E312" s="1">
        <v>45204</v>
      </c>
      <c r="F312">
        <v>155</v>
      </c>
      <c r="G312">
        <v>2.7</v>
      </c>
      <c r="H312">
        <v>2024</v>
      </c>
      <c r="I312" t="s">
        <v>1052</v>
      </c>
      <c r="J312" t="s">
        <v>1031</v>
      </c>
      <c r="K312">
        <v>3</v>
      </c>
      <c r="T312" t="s">
        <v>2078</v>
      </c>
      <c r="U312">
        <v>10</v>
      </c>
    </row>
    <row r="313" spans="1:21" x14ac:dyDescent="0.3">
      <c r="A313" t="s">
        <v>1842</v>
      </c>
      <c r="B313" t="s">
        <v>1041</v>
      </c>
      <c r="C313">
        <v>88</v>
      </c>
      <c r="D313" t="s">
        <v>1024</v>
      </c>
      <c r="E313" s="1">
        <v>45204</v>
      </c>
      <c r="F313">
        <v>100</v>
      </c>
      <c r="G313">
        <v>4.9000000000000004</v>
      </c>
      <c r="H313">
        <v>2024</v>
      </c>
      <c r="I313" t="s">
        <v>1052</v>
      </c>
      <c r="J313" t="s">
        <v>1019</v>
      </c>
      <c r="K313">
        <v>5</v>
      </c>
      <c r="T313" t="s">
        <v>2078</v>
      </c>
      <c r="U313">
        <v>10</v>
      </c>
    </row>
    <row r="314" spans="1:21" x14ac:dyDescent="0.3">
      <c r="A314" t="s">
        <v>1847</v>
      </c>
      <c r="B314" t="s">
        <v>1036</v>
      </c>
      <c r="C314">
        <v>90</v>
      </c>
      <c r="D314" t="s">
        <v>1038</v>
      </c>
      <c r="E314" s="1">
        <v>45205</v>
      </c>
      <c r="F314">
        <v>84</v>
      </c>
      <c r="G314">
        <v>3.9</v>
      </c>
      <c r="H314">
        <v>2024</v>
      </c>
      <c r="I314" t="s">
        <v>411</v>
      </c>
      <c r="J314" t="s">
        <v>1019</v>
      </c>
      <c r="K314">
        <v>4</v>
      </c>
      <c r="T314" t="s">
        <v>2078</v>
      </c>
      <c r="U314">
        <v>10</v>
      </c>
    </row>
    <row r="315" spans="1:21" x14ac:dyDescent="0.3">
      <c r="A315" t="s">
        <v>1852</v>
      </c>
      <c r="B315" t="s">
        <v>1036</v>
      </c>
      <c r="C315">
        <v>66</v>
      </c>
      <c r="D315" t="s">
        <v>1042</v>
      </c>
      <c r="E315" s="1">
        <v>45206</v>
      </c>
      <c r="F315">
        <v>136</v>
      </c>
      <c r="G315">
        <v>4.7</v>
      </c>
      <c r="H315">
        <v>2024</v>
      </c>
      <c r="I315" t="s">
        <v>1062</v>
      </c>
      <c r="J315" t="s">
        <v>1019</v>
      </c>
      <c r="K315">
        <v>5</v>
      </c>
      <c r="T315" t="s">
        <v>2078</v>
      </c>
      <c r="U315">
        <v>10</v>
      </c>
    </row>
    <row r="316" spans="1:21" x14ac:dyDescent="0.3">
      <c r="A316" t="s">
        <v>1854</v>
      </c>
      <c r="B316" t="s">
        <v>1047</v>
      </c>
      <c r="C316">
        <v>18</v>
      </c>
      <c r="D316" t="s">
        <v>1029</v>
      </c>
      <c r="E316" s="1">
        <v>45207</v>
      </c>
      <c r="F316">
        <v>96</v>
      </c>
      <c r="G316">
        <v>4.8</v>
      </c>
      <c r="H316">
        <v>2024</v>
      </c>
      <c r="I316" t="s">
        <v>1018</v>
      </c>
      <c r="J316" t="s">
        <v>1056</v>
      </c>
      <c r="K316">
        <v>5</v>
      </c>
      <c r="T316" t="s">
        <v>2078</v>
      </c>
      <c r="U316">
        <v>10</v>
      </c>
    </row>
    <row r="317" spans="1:21" x14ac:dyDescent="0.3">
      <c r="A317" t="s">
        <v>1856</v>
      </c>
      <c r="B317" t="s">
        <v>1045</v>
      </c>
      <c r="C317">
        <v>94</v>
      </c>
      <c r="D317" t="s">
        <v>1042</v>
      </c>
      <c r="E317" s="1">
        <v>45208</v>
      </c>
      <c r="F317">
        <v>120</v>
      </c>
      <c r="G317">
        <v>3.4</v>
      </c>
      <c r="H317">
        <v>2024</v>
      </c>
      <c r="I317" t="s">
        <v>1030</v>
      </c>
      <c r="J317" t="s">
        <v>1019</v>
      </c>
      <c r="K317">
        <v>3</v>
      </c>
      <c r="T317" t="s">
        <v>2078</v>
      </c>
      <c r="U317">
        <v>10</v>
      </c>
    </row>
    <row r="318" spans="1:21" x14ac:dyDescent="0.3">
      <c r="A318" t="s">
        <v>1862</v>
      </c>
      <c r="B318" t="s">
        <v>1065</v>
      </c>
      <c r="C318">
        <v>59</v>
      </c>
      <c r="D318" t="s">
        <v>1042</v>
      </c>
      <c r="E318" s="1">
        <v>45209</v>
      </c>
      <c r="F318">
        <v>152</v>
      </c>
      <c r="G318">
        <v>4.8</v>
      </c>
      <c r="H318">
        <v>2024</v>
      </c>
      <c r="I318" t="s">
        <v>1033</v>
      </c>
      <c r="J318" t="s">
        <v>1034</v>
      </c>
      <c r="K318">
        <v>5</v>
      </c>
      <c r="T318" t="s">
        <v>2078</v>
      </c>
      <c r="U318">
        <v>10</v>
      </c>
    </row>
    <row r="319" spans="1:21" x14ac:dyDescent="0.3">
      <c r="A319" t="s">
        <v>1863</v>
      </c>
      <c r="B319" t="s">
        <v>1065</v>
      </c>
      <c r="C319">
        <v>90</v>
      </c>
      <c r="D319" t="s">
        <v>1024</v>
      </c>
      <c r="E319" s="1">
        <v>45209</v>
      </c>
      <c r="F319">
        <v>48</v>
      </c>
      <c r="G319">
        <v>4.7</v>
      </c>
      <c r="H319">
        <v>2024</v>
      </c>
      <c r="I319" t="s">
        <v>1033</v>
      </c>
      <c r="J319" t="s">
        <v>1019</v>
      </c>
      <c r="K319">
        <v>5</v>
      </c>
      <c r="T319" t="s">
        <v>2078</v>
      </c>
      <c r="U319">
        <v>10</v>
      </c>
    </row>
    <row r="320" spans="1:21" x14ac:dyDescent="0.3">
      <c r="A320" t="s">
        <v>1864</v>
      </c>
      <c r="B320" t="s">
        <v>1041</v>
      </c>
      <c r="C320">
        <v>55</v>
      </c>
      <c r="D320" t="s">
        <v>1024</v>
      </c>
      <c r="E320" s="1">
        <v>45209</v>
      </c>
      <c r="F320">
        <v>25</v>
      </c>
      <c r="G320">
        <v>4.7</v>
      </c>
      <c r="H320">
        <v>2024</v>
      </c>
      <c r="I320" t="s">
        <v>1033</v>
      </c>
      <c r="J320" t="s">
        <v>1034</v>
      </c>
      <c r="K320">
        <v>5</v>
      </c>
      <c r="T320" t="s">
        <v>2078</v>
      </c>
      <c r="U320">
        <v>10</v>
      </c>
    </row>
    <row r="321" spans="1:21" x14ac:dyDescent="0.3">
      <c r="A321" t="s">
        <v>1867</v>
      </c>
      <c r="B321" t="s">
        <v>1098</v>
      </c>
      <c r="C321">
        <v>69</v>
      </c>
      <c r="D321" t="s">
        <v>1042</v>
      </c>
      <c r="E321" s="1">
        <v>45210</v>
      </c>
      <c r="F321">
        <v>36</v>
      </c>
      <c r="G321">
        <v>4.5</v>
      </c>
      <c r="H321">
        <v>2024</v>
      </c>
      <c r="I321" t="s">
        <v>1048</v>
      </c>
      <c r="J321" t="s">
        <v>1019</v>
      </c>
      <c r="K321">
        <v>5</v>
      </c>
      <c r="T321" t="s">
        <v>2078</v>
      </c>
      <c r="U321">
        <v>10</v>
      </c>
    </row>
    <row r="322" spans="1:21" x14ac:dyDescent="0.3">
      <c r="A322" t="s">
        <v>1870</v>
      </c>
      <c r="B322" t="s">
        <v>1098</v>
      </c>
      <c r="C322">
        <v>120</v>
      </c>
      <c r="D322" t="s">
        <v>1017</v>
      </c>
      <c r="E322" s="1">
        <v>45211</v>
      </c>
      <c r="F322">
        <v>195</v>
      </c>
      <c r="G322">
        <v>4.3</v>
      </c>
      <c r="H322">
        <v>2024</v>
      </c>
      <c r="I322" t="s">
        <v>1052</v>
      </c>
      <c r="J322" t="s">
        <v>1019</v>
      </c>
      <c r="K322">
        <v>4</v>
      </c>
      <c r="T322" t="s">
        <v>2078</v>
      </c>
      <c r="U322">
        <v>10</v>
      </c>
    </row>
    <row r="323" spans="1:21" x14ac:dyDescent="0.3">
      <c r="A323" t="s">
        <v>1872</v>
      </c>
      <c r="B323" t="s">
        <v>1041</v>
      </c>
      <c r="C323">
        <v>124</v>
      </c>
      <c r="D323" t="s">
        <v>1042</v>
      </c>
      <c r="E323" s="1">
        <v>45213</v>
      </c>
      <c r="F323">
        <v>29</v>
      </c>
      <c r="G323">
        <v>4.8</v>
      </c>
      <c r="H323">
        <v>2024</v>
      </c>
      <c r="I323" t="s">
        <v>1062</v>
      </c>
      <c r="J323" t="s">
        <v>1031</v>
      </c>
      <c r="K323">
        <v>5</v>
      </c>
      <c r="T323" t="s">
        <v>2078</v>
      </c>
      <c r="U323">
        <v>10</v>
      </c>
    </row>
    <row r="324" spans="1:21" x14ac:dyDescent="0.3">
      <c r="A324" t="s">
        <v>1876</v>
      </c>
      <c r="B324" t="s">
        <v>1036</v>
      </c>
      <c r="C324">
        <v>125</v>
      </c>
      <c r="D324" t="s">
        <v>1029</v>
      </c>
      <c r="E324" s="1">
        <v>45213</v>
      </c>
      <c r="F324">
        <v>82</v>
      </c>
      <c r="G324">
        <v>4.5999999999999996</v>
      </c>
      <c r="H324">
        <v>2024</v>
      </c>
      <c r="I324" t="s">
        <v>1062</v>
      </c>
      <c r="J324" t="s">
        <v>1031</v>
      </c>
      <c r="K324">
        <v>5</v>
      </c>
      <c r="T324" t="s">
        <v>2078</v>
      </c>
      <c r="U324">
        <v>10</v>
      </c>
    </row>
    <row r="325" spans="1:21" x14ac:dyDescent="0.3">
      <c r="A325" t="s">
        <v>1882</v>
      </c>
      <c r="B325" t="s">
        <v>1036</v>
      </c>
      <c r="C325">
        <v>77</v>
      </c>
      <c r="D325" t="s">
        <v>1024</v>
      </c>
      <c r="E325" s="1">
        <v>45214</v>
      </c>
      <c r="F325">
        <v>78</v>
      </c>
      <c r="G325">
        <v>3.9</v>
      </c>
      <c r="H325">
        <v>2024</v>
      </c>
      <c r="I325" t="s">
        <v>1018</v>
      </c>
      <c r="J325" t="s">
        <v>1019</v>
      </c>
      <c r="K325">
        <v>4</v>
      </c>
      <c r="T325" t="s">
        <v>2078</v>
      </c>
      <c r="U325">
        <v>10</v>
      </c>
    </row>
    <row r="326" spans="1:21" x14ac:dyDescent="0.3">
      <c r="A326" t="s">
        <v>1884</v>
      </c>
      <c r="B326" t="s">
        <v>1036</v>
      </c>
      <c r="C326">
        <v>77</v>
      </c>
      <c r="D326" t="s">
        <v>1024</v>
      </c>
      <c r="E326" s="1">
        <v>45215</v>
      </c>
      <c r="F326">
        <v>176</v>
      </c>
      <c r="G326">
        <v>1.5</v>
      </c>
      <c r="H326">
        <v>2024</v>
      </c>
      <c r="I326" t="s">
        <v>1030</v>
      </c>
      <c r="J326" t="s">
        <v>1019</v>
      </c>
      <c r="K326">
        <v>2</v>
      </c>
      <c r="T326" t="s">
        <v>2078</v>
      </c>
      <c r="U326">
        <v>10</v>
      </c>
    </row>
    <row r="327" spans="1:21" x14ac:dyDescent="0.3">
      <c r="A327" t="s">
        <v>1885</v>
      </c>
      <c r="B327" t="s">
        <v>1065</v>
      </c>
      <c r="C327">
        <v>103</v>
      </c>
      <c r="D327" t="s">
        <v>1042</v>
      </c>
      <c r="E327" s="1">
        <v>45215</v>
      </c>
      <c r="F327">
        <v>78</v>
      </c>
      <c r="G327">
        <v>3</v>
      </c>
      <c r="H327">
        <v>2024</v>
      </c>
      <c r="I327" t="s">
        <v>1030</v>
      </c>
      <c r="J327" t="s">
        <v>1019</v>
      </c>
      <c r="K327">
        <v>3</v>
      </c>
      <c r="T327" t="s">
        <v>2078</v>
      </c>
      <c r="U327">
        <v>10</v>
      </c>
    </row>
    <row r="328" spans="1:21" x14ac:dyDescent="0.3">
      <c r="A328" t="s">
        <v>1886</v>
      </c>
      <c r="B328" t="s">
        <v>1098</v>
      </c>
      <c r="C328">
        <v>32</v>
      </c>
      <c r="D328" t="s">
        <v>1024</v>
      </c>
      <c r="E328" s="1">
        <v>45215</v>
      </c>
      <c r="F328">
        <v>42</v>
      </c>
      <c r="G328">
        <v>4.2</v>
      </c>
      <c r="H328">
        <v>2024</v>
      </c>
      <c r="I328" t="s">
        <v>1030</v>
      </c>
      <c r="J328" t="s">
        <v>1034</v>
      </c>
      <c r="K328">
        <v>4</v>
      </c>
      <c r="T328" t="s">
        <v>2078</v>
      </c>
      <c r="U328">
        <v>10</v>
      </c>
    </row>
    <row r="329" spans="1:21" x14ac:dyDescent="0.3">
      <c r="A329" t="s">
        <v>1889</v>
      </c>
      <c r="B329" t="s">
        <v>1036</v>
      </c>
      <c r="C329">
        <v>137</v>
      </c>
      <c r="D329" t="s">
        <v>1017</v>
      </c>
      <c r="E329" s="1">
        <v>45216</v>
      </c>
      <c r="F329">
        <v>45</v>
      </c>
      <c r="G329">
        <v>4.4000000000000004</v>
      </c>
      <c r="H329">
        <v>2024</v>
      </c>
      <c r="I329" t="s">
        <v>1033</v>
      </c>
      <c r="J329" t="s">
        <v>1031</v>
      </c>
      <c r="K329">
        <v>4</v>
      </c>
      <c r="T329" t="s">
        <v>2078</v>
      </c>
      <c r="U329">
        <v>10</v>
      </c>
    </row>
    <row r="330" spans="1:21" x14ac:dyDescent="0.3">
      <c r="A330" t="s">
        <v>1890</v>
      </c>
      <c r="B330" t="s">
        <v>1045</v>
      </c>
      <c r="C330">
        <v>96</v>
      </c>
      <c r="D330" t="s">
        <v>1042</v>
      </c>
      <c r="E330" s="1">
        <v>45216</v>
      </c>
      <c r="F330">
        <v>215</v>
      </c>
      <c r="G330">
        <v>4</v>
      </c>
      <c r="H330">
        <v>2024</v>
      </c>
      <c r="I330" t="s">
        <v>1033</v>
      </c>
      <c r="J330" t="s">
        <v>1019</v>
      </c>
      <c r="K330">
        <v>4</v>
      </c>
      <c r="T330" t="s">
        <v>2078</v>
      </c>
      <c r="U330">
        <v>10</v>
      </c>
    </row>
    <row r="331" spans="1:21" x14ac:dyDescent="0.3">
      <c r="A331" t="s">
        <v>1891</v>
      </c>
      <c r="B331" t="s">
        <v>1041</v>
      </c>
      <c r="C331">
        <v>155</v>
      </c>
      <c r="D331" t="s">
        <v>1042</v>
      </c>
      <c r="E331" s="1">
        <v>45217</v>
      </c>
      <c r="F331">
        <v>72</v>
      </c>
      <c r="G331">
        <v>4.7</v>
      </c>
      <c r="H331">
        <v>2024</v>
      </c>
      <c r="I331" t="s">
        <v>1048</v>
      </c>
      <c r="J331" t="s">
        <v>1031</v>
      </c>
      <c r="K331">
        <v>5</v>
      </c>
      <c r="T331" t="s">
        <v>2078</v>
      </c>
      <c r="U331">
        <v>10</v>
      </c>
    </row>
    <row r="332" spans="1:21" x14ac:dyDescent="0.3">
      <c r="A332" t="s">
        <v>1893</v>
      </c>
      <c r="B332" t="s">
        <v>1041</v>
      </c>
      <c r="C332">
        <v>127</v>
      </c>
      <c r="D332" t="s">
        <v>1042</v>
      </c>
      <c r="E332" s="1">
        <v>45217</v>
      </c>
      <c r="F332">
        <v>165</v>
      </c>
      <c r="G332">
        <v>2.5</v>
      </c>
      <c r="H332">
        <v>2024</v>
      </c>
      <c r="I332" t="s">
        <v>1048</v>
      </c>
      <c r="J332" t="s">
        <v>1031</v>
      </c>
      <c r="K332">
        <v>3</v>
      </c>
      <c r="T332" t="s">
        <v>2078</v>
      </c>
      <c r="U332">
        <v>10</v>
      </c>
    </row>
    <row r="333" spans="1:21" x14ac:dyDescent="0.3">
      <c r="A333" t="s">
        <v>1896</v>
      </c>
      <c r="B333" t="s">
        <v>1047</v>
      </c>
      <c r="C333">
        <v>166</v>
      </c>
      <c r="D333" t="s">
        <v>1038</v>
      </c>
      <c r="E333" s="1">
        <v>45218</v>
      </c>
      <c r="F333">
        <v>29</v>
      </c>
      <c r="G333">
        <v>4.3</v>
      </c>
      <c r="H333">
        <v>2024</v>
      </c>
      <c r="I333" t="s">
        <v>1052</v>
      </c>
      <c r="J333" t="s">
        <v>1031</v>
      </c>
      <c r="K333">
        <v>4</v>
      </c>
      <c r="T333" t="s">
        <v>2078</v>
      </c>
      <c r="U333">
        <v>10</v>
      </c>
    </row>
    <row r="334" spans="1:21" x14ac:dyDescent="0.3">
      <c r="A334" t="s">
        <v>1898</v>
      </c>
      <c r="B334" t="s">
        <v>1065</v>
      </c>
      <c r="C334">
        <v>43</v>
      </c>
      <c r="D334" t="s">
        <v>1024</v>
      </c>
      <c r="E334" s="1">
        <v>45218</v>
      </c>
      <c r="F334">
        <v>84</v>
      </c>
      <c r="G334">
        <v>3.6</v>
      </c>
      <c r="H334">
        <v>2024</v>
      </c>
      <c r="I334" t="s">
        <v>1052</v>
      </c>
      <c r="J334" t="s">
        <v>1034</v>
      </c>
      <c r="K334">
        <v>4</v>
      </c>
      <c r="T334" t="s">
        <v>2078</v>
      </c>
      <c r="U334">
        <v>10</v>
      </c>
    </row>
    <row r="335" spans="1:21" x14ac:dyDescent="0.3">
      <c r="A335" t="s">
        <v>1899</v>
      </c>
      <c r="B335" t="s">
        <v>1045</v>
      </c>
      <c r="C335">
        <v>124</v>
      </c>
      <c r="D335" t="s">
        <v>1042</v>
      </c>
      <c r="E335" s="1">
        <v>45218</v>
      </c>
      <c r="F335">
        <v>42</v>
      </c>
      <c r="G335">
        <v>3.7</v>
      </c>
      <c r="H335">
        <v>2024</v>
      </c>
      <c r="I335" t="s">
        <v>1052</v>
      </c>
      <c r="J335" t="s">
        <v>1031</v>
      </c>
      <c r="K335">
        <v>4</v>
      </c>
      <c r="T335" t="s">
        <v>2078</v>
      </c>
      <c r="U335">
        <v>10</v>
      </c>
    </row>
    <row r="336" spans="1:21" x14ac:dyDescent="0.3">
      <c r="A336" t="s">
        <v>1901</v>
      </c>
      <c r="B336" t="s">
        <v>1065</v>
      </c>
      <c r="C336">
        <v>126</v>
      </c>
      <c r="D336" t="s">
        <v>1038</v>
      </c>
      <c r="E336" s="1">
        <v>45219</v>
      </c>
      <c r="F336">
        <v>80</v>
      </c>
      <c r="G336">
        <v>4.7</v>
      </c>
      <c r="H336">
        <v>2024</v>
      </c>
      <c r="I336" t="s">
        <v>411</v>
      </c>
      <c r="J336" t="s">
        <v>1031</v>
      </c>
      <c r="K336">
        <v>5</v>
      </c>
      <c r="T336" t="s">
        <v>2078</v>
      </c>
      <c r="U336">
        <v>10</v>
      </c>
    </row>
    <row r="337" spans="1:21" x14ac:dyDescent="0.3">
      <c r="A337" t="s">
        <v>1902</v>
      </c>
      <c r="B337" t="s">
        <v>1047</v>
      </c>
      <c r="C337">
        <v>105</v>
      </c>
      <c r="D337" t="s">
        <v>1029</v>
      </c>
      <c r="E337" s="1">
        <v>45219</v>
      </c>
      <c r="F337">
        <v>185</v>
      </c>
      <c r="G337">
        <v>3.5</v>
      </c>
      <c r="H337">
        <v>2024</v>
      </c>
      <c r="I337" t="s">
        <v>411</v>
      </c>
      <c r="J337" t="s">
        <v>1019</v>
      </c>
      <c r="K337">
        <v>4</v>
      </c>
      <c r="T337" t="s">
        <v>2078</v>
      </c>
      <c r="U337">
        <v>10</v>
      </c>
    </row>
    <row r="338" spans="1:21" x14ac:dyDescent="0.3">
      <c r="A338" t="s">
        <v>1906</v>
      </c>
      <c r="B338" t="s">
        <v>1098</v>
      </c>
      <c r="C338">
        <v>54</v>
      </c>
      <c r="D338" t="s">
        <v>1038</v>
      </c>
      <c r="E338" s="1">
        <v>45221</v>
      </c>
      <c r="F338">
        <v>120</v>
      </c>
      <c r="G338">
        <v>4.7</v>
      </c>
      <c r="H338">
        <v>2024</v>
      </c>
      <c r="I338" t="s">
        <v>1018</v>
      </c>
      <c r="J338" t="s">
        <v>1034</v>
      </c>
      <c r="K338">
        <v>5</v>
      </c>
      <c r="T338" t="s">
        <v>2078</v>
      </c>
      <c r="U338">
        <v>10</v>
      </c>
    </row>
    <row r="339" spans="1:21" x14ac:dyDescent="0.3">
      <c r="A339" t="s">
        <v>1908</v>
      </c>
      <c r="B339" t="s">
        <v>1098</v>
      </c>
      <c r="C339">
        <v>76</v>
      </c>
      <c r="D339" t="s">
        <v>1042</v>
      </c>
      <c r="E339" s="1">
        <v>45221</v>
      </c>
      <c r="F339">
        <v>80</v>
      </c>
      <c r="G339">
        <v>4.5</v>
      </c>
      <c r="H339">
        <v>2024</v>
      </c>
      <c r="I339" t="s">
        <v>1018</v>
      </c>
      <c r="J339" t="s">
        <v>1019</v>
      </c>
      <c r="K339">
        <v>5</v>
      </c>
      <c r="T339" t="s">
        <v>2078</v>
      </c>
      <c r="U339">
        <v>10</v>
      </c>
    </row>
    <row r="340" spans="1:21" x14ac:dyDescent="0.3">
      <c r="A340" t="s">
        <v>1909</v>
      </c>
      <c r="B340" t="s">
        <v>1098</v>
      </c>
      <c r="C340">
        <v>37</v>
      </c>
      <c r="D340" t="s">
        <v>1017</v>
      </c>
      <c r="E340" s="1">
        <v>45222</v>
      </c>
      <c r="F340">
        <v>117</v>
      </c>
      <c r="G340">
        <v>4</v>
      </c>
      <c r="H340">
        <v>2024</v>
      </c>
      <c r="I340" t="s">
        <v>1030</v>
      </c>
      <c r="J340" t="s">
        <v>1034</v>
      </c>
      <c r="K340">
        <v>4</v>
      </c>
      <c r="T340" t="s">
        <v>2078</v>
      </c>
      <c r="U340">
        <v>10</v>
      </c>
    </row>
    <row r="341" spans="1:21" x14ac:dyDescent="0.3">
      <c r="A341" t="s">
        <v>1910</v>
      </c>
      <c r="B341" t="s">
        <v>1047</v>
      </c>
      <c r="C341">
        <v>96</v>
      </c>
      <c r="D341" t="s">
        <v>1038</v>
      </c>
      <c r="E341" s="1">
        <v>45222</v>
      </c>
      <c r="F341">
        <v>60</v>
      </c>
      <c r="G341">
        <v>4.5</v>
      </c>
      <c r="H341">
        <v>2024</v>
      </c>
      <c r="I341" t="s">
        <v>1030</v>
      </c>
      <c r="J341" t="s">
        <v>1019</v>
      </c>
      <c r="K341">
        <v>5</v>
      </c>
      <c r="T341" t="s">
        <v>2078</v>
      </c>
      <c r="U341">
        <v>10</v>
      </c>
    </row>
    <row r="342" spans="1:21" x14ac:dyDescent="0.3">
      <c r="A342" t="s">
        <v>1919</v>
      </c>
      <c r="B342" t="s">
        <v>1045</v>
      </c>
      <c r="C342">
        <v>171</v>
      </c>
      <c r="D342" t="s">
        <v>1017</v>
      </c>
      <c r="E342" s="1">
        <v>45225</v>
      </c>
      <c r="F342">
        <v>84</v>
      </c>
      <c r="G342">
        <v>4.4000000000000004</v>
      </c>
      <c r="H342">
        <v>2024</v>
      </c>
      <c r="I342" t="s">
        <v>1052</v>
      </c>
      <c r="J342" t="s">
        <v>1031</v>
      </c>
      <c r="K342">
        <v>4</v>
      </c>
      <c r="T342" t="s">
        <v>2078</v>
      </c>
      <c r="U342">
        <v>10</v>
      </c>
    </row>
    <row r="343" spans="1:21" x14ac:dyDescent="0.3">
      <c r="A343" t="s">
        <v>1923</v>
      </c>
      <c r="B343" t="s">
        <v>1047</v>
      </c>
      <c r="C343">
        <v>72</v>
      </c>
      <c r="D343" t="s">
        <v>1029</v>
      </c>
      <c r="E343" s="1">
        <v>45226</v>
      </c>
      <c r="F343">
        <v>108</v>
      </c>
      <c r="G343">
        <v>4.8</v>
      </c>
      <c r="H343">
        <v>2024</v>
      </c>
      <c r="I343" t="s">
        <v>411</v>
      </c>
      <c r="J343" t="s">
        <v>1019</v>
      </c>
      <c r="K343">
        <v>5</v>
      </c>
      <c r="T343" t="s">
        <v>2078</v>
      </c>
      <c r="U343">
        <v>10</v>
      </c>
    </row>
    <row r="344" spans="1:21" x14ac:dyDescent="0.3">
      <c r="A344" t="s">
        <v>1924</v>
      </c>
      <c r="B344" t="s">
        <v>1045</v>
      </c>
      <c r="C344">
        <v>143</v>
      </c>
      <c r="D344" t="s">
        <v>1038</v>
      </c>
      <c r="E344" s="1">
        <v>45227</v>
      </c>
      <c r="F344">
        <v>58</v>
      </c>
      <c r="G344">
        <v>4.3</v>
      </c>
      <c r="H344">
        <v>2024</v>
      </c>
      <c r="I344" t="s">
        <v>1062</v>
      </c>
      <c r="J344" t="s">
        <v>1031</v>
      </c>
      <c r="K344">
        <v>4</v>
      </c>
      <c r="T344" t="s">
        <v>2078</v>
      </c>
      <c r="U344">
        <v>10</v>
      </c>
    </row>
    <row r="345" spans="1:21" x14ac:dyDescent="0.3">
      <c r="A345" t="s">
        <v>1925</v>
      </c>
      <c r="B345" t="s">
        <v>1045</v>
      </c>
      <c r="C345">
        <v>64</v>
      </c>
      <c r="D345" t="s">
        <v>1029</v>
      </c>
      <c r="E345" s="1">
        <v>45227</v>
      </c>
      <c r="F345">
        <v>185</v>
      </c>
      <c r="G345">
        <v>2.2000000000000002</v>
      </c>
      <c r="H345">
        <v>2024</v>
      </c>
      <c r="I345" t="s">
        <v>1062</v>
      </c>
      <c r="J345" t="s">
        <v>1019</v>
      </c>
      <c r="K345">
        <v>2</v>
      </c>
      <c r="T345" t="s">
        <v>2078</v>
      </c>
      <c r="U345">
        <v>10</v>
      </c>
    </row>
    <row r="346" spans="1:21" x14ac:dyDescent="0.3">
      <c r="A346" t="s">
        <v>1926</v>
      </c>
      <c r="B346" t="s">
        <v>1045</v>
      </c>
      <c r="C346">
        <v>69</v>
      </c>
      <c r="D346" t="s">
        <v>1029</v>
      </c>
      <c r="E346" s="1">
        <v>45227</v>
      </c>
      <c r="F346">
        <v>40</v>
      </c>
      <c r="G346">
        <v>4.8</v>
      </c>
      <c r="H346">
        <v>2024</v>
      </c>
      <c r="I346" t="s">
        <v>1062</v>
      </c>
      <c r="J346" t="s">
        <v>1019</v>
      </c>
      <c r="K346">
        <v>5</v>
      </c>
      <c r="T346" t="s">
        <v>2078</v>
      </c>
      <c r="U346">
        <v>10</v>
      </c>
    </row>
    <row r="347" spans="1:21" x14ac:dyDescent="0.3">
      <c r="A347" t="s">
        <v>1927</v>
      </c>
      <c r="B347" t="s">
        <v>1045</v>
      </c>
      <c r="C347">
        <v>18</v>
      </c>
      <c r="D347" t="s">
        <v>1042</v>
      </c>
      <c r="E347" s="1">
        <v>45227</v>
      </c>
      <c r="F347">
        <v>225</v>
      </c>
      <c r="G347">
        <v>2.6</v>
      </c>
      <c r="H347">
        <v>2024</v>
      </c>
      <c r="I347" t="s">
        <v>1062</v>
      </c>
      <c r="J347" t="s">
        <v>1056</v>
      </c>
      <c r="K347">
        <v>3</v>
      </c>
      <c r="T347" t="s">
        <v>2078</v>
      </c>
      <c r="U347">
        <v>10</v>
      </c>
    </row>
    <row r="348" spans="1:21" x14ac:dyDescent="0.3">
      <c r="A348" t="s">
        <v>1929</v>
      </c>
      <c r="B348" t="s">
        <v>1041</v>
      </c>
      <c r="C348">
        <v>110</v>
      </c>
      <c r="D348" t="s">
        <v>1024</v>
      </c>
      <c r="E348" s="1">
        <v>45228</v>
      </c>
      <c r="F348">
        <v>88</v>
      </c>
      <c r="G348">
        <v>3.4</v>
      </c>
      <c r="H348">
        <v>2024</v>
      </c>
      <c r="I348" t="s">
        <v>1018</v>
      </c>
      <c r="J348" t="s">
        <v>1019</v>
      </c>
      <c r="K348">
        <v>3</v>
      </c>
      <c r="T348" t="s">
        <v>2078</v>
      </c>
      <c r="U348">
        <v>10</v>
      </c>
    </row>
    <row r="349" spans="1:21" x14ac:dyDescent="0.3">
      <c r="A349" t="s">
        <v>1931</v>
      </c>
      <c r="B349" t="s">
        <v>1041</v>
      </c>
      <c r="C349">
        <v>147</v>
      </c>
      <c r="D349" t="s">
        <v>1024</v>
      </c>
      <c r="E349" s="1">
        <v>45228</v>
      </c>
      <c r="F349">
        <v>68</v>
      </c>
      <c r="G349">
        <v>2.1</v>
      </c>
      <c r="H349">
        <v>2024</v>
      </c>
      <c r="I349" t="s">
        <v>1018</v>
      </c>
      <c r="J349" t="s">
        <v>1031</v>
      </c>
      <c r="K349">
        <v>2</v>
      </c>
      <c r="T349" t="s">
        <v>2078</v>
      </c>
      <c r="U349">
        <v>10</v>
      </c>
    </row>
    <row r="350" spans="1:21" x14ac:dyDescent="0.3">
      <c r="A350" t="s">
        <v>1937</v>
      </c>
      <c r="B350" t="s">
        <v>1098</v>
      </c>
      <c r="C350">
        <v>62</v>
      </c>
      <c r="D350" t="s">
        <v>1024</v>
      </c>
      <c r="E350" s="1">
        <v>45231</v>
      </c>
      <c r="F350">
        <v>78</v>
      </c>
      <c r="G350">
        <v>3.5</v>
      </c>
      <c r="H350">
        <v>2024</v>
      </c>
      <c r="I350" t="s">
        <v>1048</v>
      </c>
      <c r="J350" t="s">
        <v>1019</v>
      </c>
      <c r="K350">
        <v>4</v>
      </c>
      <c r="T350" t="s">
        <v>2079</v>
      </c>
      <c r="U350">
        <v>11</v>
      </c>
    </row>
    <row r="351" spans="1:21" x14ac:dyDescent="0.3">
      <c r="A351" t="s">
        <v>1942</v>
      </c>
      <c r="B351" t="s">
        <v>1036</v>
      </c>
      <c r="C351">
        <v>52</v>
      </c>
      <c r="D351" t="s">
        <v>1024</v>
      </c>
      <c r="E351" s="1">
        <v>45236</v>
      </c>
      <c r="F351">
        <v>220</v>
      </c>
      <c r="G351">
        <v>5</v>
      </c>
      <c r="H351">
        <v>2024</v>
      </c>
      <c r="I351" t="s">
        <v>1030</v>
      </c>
      <c r="J351" t="s">
        <v>1034</v>
      </c>
      <c r="K351">
        <v>5</v>
      </c>
      <c r="T351" t="s">
        <v>2079</v>
      </c>
      <c r="U351">
        <v>11</v>
      </c>
    </row>
    <row r="352" spans="1:21" x14ac:dyDescent="0.3">
      <c r="A352" t="s">
        <v>1945</v>
      </c>
      <c r="B352" t="s">
        <v>1065</v>
      </c>
      <c r="C352">
        <v>74</v>
      </c>
      <c r="D352" t="s">
        <v>1017</v>
      </c>
      <c r="E352" s="1">
        <v>45238</v>
      </c>
      <c r="F352">
        <v>160</v>
      </c>
      <c r="G352">
        <v>2.7</v>
      </c>
      <c r="H352">
        <v>2024</v>
      </c>
      <c r="I352" t="s">
        <v>1048</v>
      </c>
      <c r="J352" t="s">
        <v>1019</v>
      </c>
      <c r="K352">
        <v>3</v>
      </c>
      <c r="T352" t="s">
        <v>2079</v>
      </c>
      <c r="U352">
        <v>11</v>
      </c>
    </row>
    <row r="353" spans="1:21" x14ac:dyDescent="0.3">
      <c r="A353" t="s">
        <v>1946</v>
      </c>
      <c r="B353" t="s">
        <v>1065</v>
      </c>
      <c r="C353">
        <v>30</v>
      </c>
      <c r="D353" t="s">
        <v>1042</v>
      </c>
      <c r="E353" s="1">
        <v>45238</v>
      </c>
      <c r="F353">
        <v>84</v>
      </c>
      <c r="G353">
        <v>4</v>
      </c>
      <c r="H353">
        <v>2024</v>
      </c>
      <c r="I353" t="s">
        <v>1048</v>
      </c>
      <c r="J353" t="s">
        <v>1056</v>
      </c>
      <c r="K353">
        <v>4</v>
      </c>
      <c r="T353" t="s">
        <v>2079</v>
      </c>
      <c r="U353">
        <v>11</v>
      </c>
    </row>
    <row r="354" spans="1:21" x14ac:dyDescent="0.3">
      <c r="A354" t="s">
        <v>1948</v>
      </c>
      <c r="B354" t="s">
        <v>1065</v>
      </c>
      <c r="C354">
        <v>151</v>
      </c>
      <c r="D354" t="s">
        <v>1029</v>
      </c>
      <c r="E354" s="1">
        <v>45238</v>
      </c>
      <c r="F354">
        <v>84</v>
      </c>
      <c r="G354">
        <v>4.5999999999999996</v>
      </c>
      <c r="H354">
        <v>2024</v>
      </c>
      <c r="I354" t="s">
        <v>1048</v>
      </c>
      <c r="J354" t="s">
        <v>1031</v>
      </c>
      <c r="K354">
        <v>5</v>
      </c>
      <c r="T354" t="s">
        <v>2079</v>
      </c>
      <c r="U354">
        <v>11</v>
      </c>
    </row>
    <row r="355" spans="1:21" x14ac:dyDescent="0.3">
      <c r="A355" t="s">
        <v>1952</v>
      </c>
      <c r="B355" t="s">
        <v>1041</v>
      </c>
      <c r="C355">
        <v>89</v>
      </c>
      <c r="D355" t="s">
        <v>1038</v>
      </c>
      <c r="E355" s="1">
        <v>45240</v>
      </c>
      <c r="F355">
        <v>88</v>
      </c>
      <c r="G355">
        <v>4.9000000000000004</v>
      </c>
      <c r="H355">
        <v>2024</v>
      </c>
      <c r="I355" t="s">
        <v>411</v>
      </c>
      <c r="J355" t="s">
        <v>1019</v>
      </c>
      <c r="K355">
        <v>5</v>
      </c>
      <c r="T355" t="s">
        <v>2079</v>
      </c>
      <c r="U355">
        <v>11</v>
      </c>
    </row>
    <row r="356" spans="1:21" x14ac:dyDescent="0.3">
      <c r="A356" t="s">
        <v>1954</v>
      </c>
      <c r="B356" t="s">
        <v>1065</v>
      </c>
      <c r="C356">
        <v>84</v>
      </c>
      <c r="D356" t="s">
        <v>1038</v>
      </c>
      <c r="E356" s="1">
        <v>45241</v>
      </c>
      <c r="F356">
        <v>66</v>
      </c>
      <c r="G356">
        <v>4.7</v>
      </c>
      <c r="H356">
        <v>2024</v>
      </c>
      <c r="I356" t="s">
        <v>1062</v>
      </c>
      <c r="J356" t="s">
        <v>1019</v>
      </c>
      <c r="K356">
        <v>5</v>
      </c>
      <c r="T356" t="s">
        <v>2079</v>
      </c>
      <c r="U356">
        <v>11</v>
      </c>
    </row>
    <row r="357" spans="1:21" x14ac:dyDescent="0.3">
      <c r="A357" t="s">
        <v>1955</v>
      </c>
      <c r="B357" t="s">
        <v>1047</v>
      </c>
      <c r="C357">
        <v>89</v>
      </c>
      <c r="D357" t="s">
        <v>1017</v>
      </c>
      <c r="E357" s="1">
        <v>45241</v>
      </c>
      <c r="F357">
        <v>23</v>
      </c>
      <c r="G357">
        <v>4.5</v>
      </c>
      <c r="H357">
        <v>2024</v>
      </c>
      <c r="I357" t="s">
        <v>1062</v>
      </c>
      <c r="J357" t="s">
        <v>1019</v>
      </c>
      <c r="K357">
        <v>5</v>
      </c>
      <c r="T357" t="s">
        <v>2079</v>
      </c>
      <c r="U357">
        <v>11</v>
      </c>
    </row>
    <row r="358" spans="1:21" x14ac:dyDescent="0.3">
      <c r="A358" t="s">
        <v>1956</v>
      </c>
      <c r="B358" t="s">
        <v>1041</v>
      </c>
      <c r="C358">
        <v>146</v>
      </c>
      <c r="D358" t="s">
        <v>1017</v>
      </c>
      <c r="E358" s="1">
        <v>45242</v>
      </c>
      <c r="F358">
        <v>220</v>
      </c>
      <c r="G358">
        <v>4.5</v>
      </c>
      <c r="H358">
        <v>2024</v>
      </c>
      <c r="I358" t="s">
        <v>1018</v>
      </c>
      <c r="J358" t="s">
        <v>1031</v>
      </c>
      <c r="K358">
        <v>5</v>
      </c>
      <c r="T358" t="s">
        <v>2079</v>
      </c>
      <c r="U358">
        <v>11</v>
      </c>
    </row>
    <row r="359" spans="1:21" x14ac:dyDescent="0.3">
      <c r="A359" t="s">
        <v>1957</v>
      </c>
      <c r="B359" t="s">
        <v>1045</v>
      </c>
      <c r="C359">
        <v>62</v>
      </c>
      <c r="D359" t="s">
        <v>1042</v>
      </c>
      <c r="E359" s="1">
        <v>45243</v>
      </c>
      <c r="F359">
        <v>175</v>
      </c>
      <c r="G359">
        <v>4.4000000000000004</v>
      </c>
      <c r="H359">
        <v>2024</v>
      </c>
      <c r="I359" t="s">
        <v>1030</v>
      </c>
      <c r="J359" t="s">
        <v>1019</v>
      </c>
      <c r="K359">
        <v>4</v>
      </c>
      <c r="T359" t="s">
        <v>2079</v>
      </c>
      <c r="U359">
        <v>11</v>
      </c>
    </row>
    <row r="360" spans="1:21" x14ac:dyDescent="0.3">
      <c r="A360" t="s">
        <v>1960</v>
      </c>
      <c r="B360" t="s">
        <v>1047</v>
      </c>
      <c r="C360">
        <v>39</v>
      </c>
      <c r="D360" t="s">
        <v>1017</v>
      </c>
      <c r="E360" s="1">
        <v>45244</v>
      </c>
      <c r="F360">
        <v>43</v>
      </c>
      <c r="G360">
        <v>4.2</v>
      </c>
      <c r="H360">
        <v>2024</v>
      </c>
      <c r="I360" t="s">
        <v>1033</v>
      </c>
      <c r="J360" t="s">
        <v>1034</v>
      </c>
      <c r="K360">
        <v>4</v>
      </c>
      <c r="T360" t="s">
        <v>2079</v>
      </c>
      <c r="U360">
        <v>11</v>
      </c>
    </row>
    <row r="361" spans="1:21" x14ac:dyDescent="0.3">
      <c r="A361" t="s">
        <v>1961</v>
      </c>
      <c r="B361" t="s">
        <v>1041</v>
      </c>
      <c r="C361">
        <v>149</v>
      </c>
      <c r="D361" t="s">
        <v>1024</v>
      </c>
      <c r="E361" s="1">
        <v>45244</v>
      </c>
      <c r="F361">
        <v>44</v>
      </c>
      <c r="G361">
        <v>2.2000000000000002</v>
      </c>
      <c r="H361">
        <v>2024</v>
      </c>
      <c r="I361" t="s">
        <v>1033</v>
      </c>
      <c r="J361" t="s">
        <v>1031</v>
      </c>
      <c r="K361">
        <v>2</v>
      </c>
      <c r="T361" t="s">
        <v>2079</v>
      </c>
      <c r="U361">
        <v>11</v>
      </c>
    </row>
    <row r="362" spans="1:21" x14ac:dyDescent="0.3">
      <c r="A362" t="s">
        <v>1963</v>
      </c>
      <c r="B362" t="s">
        <v>1045</v>
      </c>
      <c r="C362">
        <v>113</v>
      </c>
      <c r="D362" t="s">
        <v>1024</v>
      </c>
      <c r="E362" s="1">
        <v>45245</v>
      </c>
      <c r="F362">
        <v>34</v>
      </c>
      <c r="G362">
        <v>3.9</v>
      </c>
      <c r="H362">
        <v>2024</v>
      </c>
      <c r="I362" t="s">
        <v>1048</v>
      </c>
      <c r="J362" t="s">
        <v>1019</v>
      </c>
      <c r="K362">
        <v>4</v>
      </c>
      <c r="T362" t="s">
        <v>2079</v>
      </c>
      <c r="U362">
        <v>11</v>
      </c>
    </row>
    <row r="363" spans="1:21" x14ac:dyDescent="0.3">
      <c r="A363" t="s">
        <v>1968</v>
      </c>
      <c r="B363" t="s">
        <v>1036</v>
      </c>
      <c r="C363">
        <v>54</v>
      </c>
      <c r="D363" t="s">
        <v>1024</v>
      </c>
      <c r="E363" s="1">
        <v>45247</v>
      </c>
      <c r="F363">
        <v>35</v>
      </c>
      <c r="G363">
        <v>2.8</v>
      </c>
      <c r="H363">
        <v>2024</v>
      </c>
      <c r="I363" t="s">
        <v>411</v>
      </c>
      <c r="J363" t="s">
        <v>1034</v>
      </c>
      <c r="K363">
        <v>3</v>
      </c>
      <c r="T363" t="s">
        <v>2079</v>
      </c>
      <c r="U363">
        <v>11</v>
      </c>
    </row>
    <row r="364" spans="1:21" x14ac:dyDescent="0.3">
      <c r="A364" t="s">
        <v>1970</v>
      </c>
      <c r="B364" t="s">
        <v>1041</v>
      </c>
      <c r="C364">
        <v>71</v>
      </c>
      <c r="D364" t="s">
        <v>1042</v>
      </c>
      <c r="E364" s="1">
        <v>45247</v>
      </c>
      <c r="F364">
        <v>64</v>
      </c>
      <c r="G364">
        <v>3.9</v>
      </c>
      <c r="H364">
        <v>2024</v>
      </c>
      <c r="I364" t="s">
        <v>411</v>
      </c>
      <c r="J364" t="s">
        <v>1019</v>
      </c>
      <c r="K364">
        <v>4</v>
      </c>
      <c r="T364" t="s">
        <v>2079</v>
      </c>
      <c r="U364">
        <v>11</v>
      </c>
    </row>
    <row r="365" spans="1:21" x14ac:dyDescent="0.3">
      <c r="A365" t="s">
        <v>1973</v>
      </c>
      <c r="B365" t="s">
        <v>1047</v>
      </c>
      <c r="C365">
        <v>31</v>
      </c>
      <c r="D365" t="s">
        <v>1029</v>
      </c>
      <c r="E365" s="1">
        <v>45248</v>
      </c>
      <c r="F365">
        <v>88</v>
      </c>
      <c r="G365">
        <v>3.4</v>
      </c>
      <c r="H365">
        <v>2024</v>
      </c>
      <c r="I365" t="s">
        <v>1062</v>
      </c>
      <c r="J365" t="s">
        <v>1034</v>
      </c>
      <c r="K365">
        <v>3</v>
      </c>
      <c r="T365" t="s">
        <v>2079</v>
      </c>
      <c r="U365">
        <v>11</v>
      </c>
    </row>
    <row r="366" spans="1:21" x14ac:dyDescent="0.3">
      <c r="A366" t="s">
        <v>1979</v>
      </c>
      <c r="B366" t="s">
        <v>1036</v>
      </c>
      <c r="C366">
        <v>99</v>
      </c>
      <c r="D366" t="s">
        <v>1042</v>
      </c>
      <c r="E366" s="1">
        <v>45253</v>
      </c>
      <c r="F366">
        <v>116</v>
      </c>
      <c r="G366">
        <v>3.9</v>
      </c>
      <c r="H366">
        <v>2024</v>
      </c>
      <c r="I366" t="s">
        <v>1052</v>
      </c>
      <c r="J366" t="s">
        <v>1019</v>
      </c>
      <c r="K366">
        <v>4</v>
      </c>
      <c r="T366" t="s">
        <v>2079</v>
      </c>
      <c r="U366">
        <v>11</v>
      </c>
    </row>
    <row r="367" spans="1:21" x14ac:dyDescent="0.3">
      <c r="A367" t="s">
        <v>1982</v>
      </c>
      <c r="B367" t="s">
        <v>1036</v>
      </c>
      <c r="C367">
        <v>158</v>
      </c>
      <c r="D367" t="s">
        <v>1038</v>
      </c>
      <c r="E367" s="1">
        <v>45254</v>
      </c>
      <c r="F367">
        <v>148</v>
      </c>
      <c r="G367">
        <v>4</v>
      </c>
      <c r="H367">
        <v>2024</v>
      </c>
      <c r="I367" t="s">
        <v>411</v>
      </c>
      <c r="J367" t="s">
        <v>1031</v>
      </c>
      <c r="K367">
        <v>4</v>
      </c>
      <c r="T367" t="s">
        <v>2079</v>
      </c>
      <c r="U367">
        <v>11</v>
      </c>
    </row>
    <row r="368" spans="1:21" x14ac:dyDescent="0.3">
      <c r="A368" t="s">
        <v>1983</v>
      </c>
      <c r="B368" t="s">
        <v>1047</v>
      </c>
      <c r="C368">
        <v>56</v>
      </c>
      <c r="D368" t="s">
        <v>1042</v>
      </c>
      <c r="E368" s="1">
        <v>45254</v>
      </c>
      <c r="F368">
        <v>205</v>
      </c>
      <c r="G368">
        <v>4.3</v>
      </c>
      <c r="H368">
        <v>2024</v>
      </c>
      <c r="I368" t="s">
        <v>411</v>
      </c>
      <c r="J368" t="s">
        <v>1034</v>
      </c>
      <c r="K368">
        <v>4</v>
      </c>
      <c r="T368" t="s">
        <v>2079</v>
      </c>
      <c r="U368">
        <v>11</v>
      </c>
    </row>
    <row r="369" spans="1:21" x14ac:dyDescent="0.3">
      <c r="A369" t="s">
        <v>1986</v>
      </c>
      <c r="B369" t="s">
        <v>1065</v>
      </c>
      <c r="C369">
        <v>96</v>
      </c>
      <c r="D369" t="s">
        <v>1029</v>
      </c>
      <c r="E369" s="1">
        <v>45256</v>
      </c>
      <c r="F369">
        <v>136</v>
      </c>
      <c r="G369">
        <v>5</v>
      </c>
      <c r="H369">
        <v>2024</v>
      </c>
      <c r="I369" t="s">
        <v>1018</v>
      </c>
      <c r="J369" t="s">
        <v>1019</v>
      </c>
      <c r="K369">
        <v>5</v>
      </c>
      <c r="T369" t="s">
        <v>2079</v>
      </c>
      <c r="U369">
        <v>11</v>
      </c>
    </row>
    <row r="370" spans="1:21" x14ac:dyDescent="0.3">
      <c r="A370" t="s">
        <v>1990</v>
      </c>
      <c r="B370" t="s">
        <v>1041</v>
      </c>
      <c r="C370">
        <v>34</v>
      </c>
      <c r="D370" t="s">
        <v>1029</v>
      </c>
      <c r="E370" s="1">
        <v>45258</v>
      </c>
      <c r="F370">
        <v>25</v>
      </c>
      <c r="G370">
        <v>4.0999999999999996</v>
      </c>
      <c r="H370">
        <v>2024</v>
      </c>
      <c r="I370" t="s">
        <v>1033</v>
      </c>
      <c r="J370" t="s">
        <v>1034</v>
      </c>
      <c r="K370">
        <v>4</v>
      </c>
      <c r="T370" t="s">
        <v>2079</v>
      </c>
      <c r="U370">
        <v>11</v>
      </c>
    </row>
    <row r="371" spans="1:21" x14ac:dyDescent="0.3">
      <c r="A371" t="s">
        <v>1991</v>
      </c>
      <c r="B371" t="s">
        <v>1045</v>
      </c>
      <c r="C371">
        <v>2</v>
      </c>
      <c r="D371" t="s">
        <v>1042</v>
      </c>
      <c r="E371" s="1">
        <v>45259</v>
      </c>
      <c r="F371">
        <v>62</v>
      </c>
      <c r="G371">
        <v>2.8</v>
      </c>
      <c r="H371">
        <v>2024</v>
      </c>
      <c r="I371" t="s">
        <v>1048</v>
      </c>
      <c r="J371" t="s">
        <v>1186</v>
      </c>
      <c r="K371">
        <v>3</v>
      </c>
      <c r="T371" t="s">
        <v>2079</v>
      </c>
      <c r="U371">
        <v>11</v>
      </c>
    </row>
    <row r="372" spans="1:21" x14ac:dyDescent="0.3">
      <c r="A372" t="s">
        <v>1996</v>
      </c>
      <c r="B372" t="s">
        <v>1041</v>
      </c>
      <c r="C372">
        <v>97</v>
      </c>
      <c r="D372" t="s">
        <v>1017</v>
      </c>
      <c r="E372" s="1">
        <v>45261</v>
      </c>
      <c r="F372">
        <v>114</v>
      </c>
      <c r="G372">
        <v>4.8</v>
      </c>
      <c r="H372">
        <v>2024</v>
      </c>
      <c r="I372" t="s">
        <v>411</v>
      </c>
      <c r="J372" t="s">
        <v>1019</v>
      </c>
      <c r="K372">
        <v>5</v>
      </c>
      <c r="T372" t="s">
        <v>2080</v>
      </c>
      <c r="U372">
        <v>12</v>
      </c>
    </row>
    <row r="373" spans="1:21" x14ac:dyDescent="0.3">
      <c r="A373" t="s">
        <v>2000</v>
      </c>
      <c r="B373" t="s">
        <v>1045</v>
      </c>
      <c r="C373">
        <v>133</v>
      </c>
      <c r="D373" t="s">
        <v>1017</v>
      </c>
      <c r="E373" s="1">
        <v>45263</v>
      </c>
      <c r="F373">
        <v>96</v>
      </c>
      <c r="G373">
        <v>4.3</v>
      </c>
      <c r="H373">
        <v>2024</v>
      </c>
      <c r="I373" t="s">
        <v>1018</v>
      </c>
      <c r="J373" t="s">
        <v>1031</v>
      </c>
      <c r="K373">
        <v>4</v>
      </c>
      <c r="T373" t="s">
        <v>2080</v>
      </c>
      <c r="U373">
        <v>12</v>
      </c>
    </row>
    <row r="374" spans="1:21" x14ac:dyDescent="0.3">
      <c r="A374" t="s">
        <v>2003</v>
      </c>
      <c r="B374" t="s">
        <v>1041</v>
      </c>
      <c r="C374">
        <v>38</v>
      </c>
      <c r="D374" t="s">
        <v>1038</v>
      </c>
      <c r="E374" s="1">
        <v>45265</v>
      </c>
      <c r="F374">
        <v>27</v>
      </c>
      <c r="G374">
        <v>3.1</v>
      </c>
      <c r="H374">
        <v>2024</v>
      </c>
      <c r="I374" t="s">
        <v>1033</v>
      </c>
      <c r="J374" t="s">
        <v>1034</v>
      </c>
      <c r="K374">
        <v>3</v>
      </c>
      <c r="T374" t="s">
        <v>2080</v>
      </c>
      <c r="U374">
        <v>12</v>
      </c>
    </row>
    <row r="375" spans="1:21" x14ac:dyDescent="0.3">
      <c r="A375" t="s">
        <v>2004</v>
      </c>
      <c r="B375" t="s">
        <v>1045</v>
      </c>
      <c r="C375">
        <v>78</v>
      </c>
      <c r="D375" t="s">
        <v>1038</v>
      </c>
      <c r="E375" s="1">
        <v>45267</v>
      </c>
      <c r="F375">
        <v>200</v>
      </c>
      <c r="G375">
        <v>2.4</v>
      </c>
      <c r="H375">
        <v>2024</v>
      </c>
      <c r="I375" t="s">
        <v>1052</v>
      </c>
      <c r="J375" t="s">
        <v>1019</v>
      </c>
      <c r="K375">
        <v>2</v>
      </c>
      <c r="T375" t="s">
        <v>2080</v>
      </c>
      <c r="U375">
        <v>12</v>
      </c>
    </row>
    <row r="376" spans="1:21" x14ac:dyDescent="0.3">
      <c r="A376" t="s">
        <v>2005</v>
      </c>
      <c r="B376" t="s">
        <v>1041</v>
      </c>
      <c r="C376">
        <v>25</v>
      </c>
      <c r="D376" t="s">
        <v>1024</v>
      </c>
      <c r="E376" s="1">
        <v>45268</v>
      </c>
      <c r="F376">
        <v>93</v>
      </c>
      <c r="G376">
        <v>3.5</v>
      </c>
      <c r="H376">
        <v>2024</v>
      </c>
      <c r="I376" t="s">
        <v>411</v>
      </c>
      <c r="J376" t="s">
        <v>1056</v>
      </c>
      <c r="K376">
        <v>4</v>
      </c>
      <c r="T376" t="s">
        <v>2080</v>
      </c>
      <c r="U376">
        <v>12</v>
      </c>
    </row>
    <row r="377" spans="1:21" x14ac:dyDescent="0.3">
      <c r="A377" t="s">
        <v>2007</v>
      </c>
      <c r="B377" t="s">
        <v>1041</v>
      </c>
      <c r="C377">
        <v>103</v>
      </c>
      <c r="D377" t="s">
        <v>1024</v>
      </c>
      <c r="E377" s="1">
        <v>45269</v>
      </c>
      <c r="F377">
        <v>72</v>
      </c>
      <c r="G377">
        <v>3.4</v>
      </c>
      <c r="H377">
        <v>2024</v>
      </c>
      <c r="I377" t="s">
        <v>1062</v>
      </c>
      <c r="J377" t="s">
        <v>1019</v>
      </c>
      <c r="K377">
        <v>3</v>
      </c>
      <c r="T377" t="s">
        <v>2080</v>
      </c>
      <c r="U377">
        <v>12</v>
      </c>
    </row>
    <row r="378" spans="1:21" x14ac:dyDescent="0.3">
      <c r="A378" t="s">
        <v>2012</v>
      </c>
      <c r="B378" t="s">
        <v>1098</v>
      </c>
      <c r="C378">
        <v>127</v>
      </c>
      <c r="D378" t="s">
        <v>1042</v>
      </c>
      <c r="E378" s="1">
        <v>45275</v>
      </c>
      <c r="F378">
        <v>145</v>
      </c>
      <c r="G378">
        <v>2.6</v>
      </c>
      <c r="H378">
        <v>2024</v>
      </c>
      <c r="I378" t="s">
        <v>411</v>
      </c>
      <c r="J378" t="s">
        <v>1031</v>
      </c>
      <c r="K378">
        <v>3</v>
      </c>
      <c r="T378" t="s">
        <v>2080</v>
      </c>
      <c r="U378">
        <v>12</v>
      </c>
    </row>
    <row r="379" spans="1:21" x14ac:dyDescent="0.3">
      <c r="A379" t="s">
        <v>2013</v>
      </c>
      <c r="B379" t="s">
        <v>1036</v>
      </c>
      <c r="C379">
        <v>96</v>
      </c>
      <c r="D379" t="s">
        <v>1038</v>
      </c>
      <c r="E379" s="1">
        <v>45275</v>
      </c>
      <c r="F379">
        <v>115</v>
      </c>
      <c r="G379">
        <v>4.9000000000000004</v>
      </c>
      <c r="H379">
        <v>2024</v>
      </c>
      <c r="I379" t="s">
        <v>411</v>
      </c>
      <c r="J379" t="s">
        <v>1019</v>
      </c>
      <c r="K379">
        <v>5</v>
      </c>
      <c r="T379" t="s">
        <v>2080</v>
      </c>
      <c r="U379">
        <v>12</v>
      </c>
    </row>
    <row r="380" spans="1:21" x14ac:dyDescent="0.3">
      <c r="A380" t="s">
        <v>2015</v>
      </c>
      <c r="B380" t="s">
        <v>1098</v>
      </c>
      <c r="C380">
        <v>158</v>
      </c>
      <c r="D380" t="s">
        <v>1017</v>
      </c>
      <c r="E380" s="1">
        <v>45276</v>
      </c>
      <c r="F380">
        <v>36</v>
      </c>
      <c r="G380">
        <v>4.7</v>
      </c>
      <c r="H380">
        <v>2024</v>
      </c>
      <c r="I380" t="s">
        <v>1062</v>
      </c>
      <c r="J380" t="s">
        <v>1031</v>
      </c>
      <c r="K380">
        <v>5</v>
      </c>
      <c r="T380" t="s">
        <v>2080</v>
      </c>
      <c r="U380">
        <v>12</v>
      </c>
    </row>
    <row r="381" spans="1:21" x14ac:dyDescent="0.3">
      <c r="A381" t="s">
        <v>2017</v>
      </c>
      <c r="B381" t="s">
        <v>1047</v>
      </c>
      <c r="C381">
        <v>141</v>
      </c>
      <c r="D381" t="s">
        <v>1017</v>
      </c>
      <c r="E381" s="1">
        <v>45276</v>
      </c>
      <c r="F381">
        <v>66</v>
      </c>
      <c r="G381">
        <v>3.2</v>
      </c>
      <c r="H381">
        <v>2024</v>
      </c>
      <c r="I381" t="s">
        <v>1062</v>
      </c>
      <c r="J381" t="s">
        <v>1031</v>
      </c>
      <c r="K381">
        <v>3</v>
      </c>
      <c r="T381" t="s">
        <v>2080</v>
      </c>
      <c r="U381">
        <v>12</v>
      </c>
    </row>
    <row r="382" spans="1:21" x14ac:dyDescent="0.3">
      <c r="A382" t="s">
        <v>2018</v>
      </c>
      <c r="B382" t="s">
        <v>1041</v>
      </c>
      <c r="C382">
        <v>147</v>
      </c>
      <c r="D382" t="s">
        <v>1038</v>
      </c>
      <c r="E382" s="1">
        <v>45276</v>
      </c>
      <c r="F382">
        <v>76</v>
      </c>
      <c r="G382">
        <v>4.7</v>
      </c>
      <c r="H382">
        <v>2024</v>
      </c>
      <c r="I382" t="s">
        <v>1062</v>
      </c>
      <c r="J382" t="s">
        <v>1031</v>
      </c>
      <c r="K382">
        <v>5</v>
      </c>
      <c r="T382" t="s">
        <v>2080</v>
      </c>
      <c r="U382">
        <v>12</v>
      </c>
    </row>
    <row r="383" spans="1:21" x14ac:dyDescent="0.3">
      <c r="A383" t="s">
        <v>2019</v>
      </c>
      <c r="B383" t="s">
        <v>1065</v>
      </c>
      <c r="C383">
        <v>126</v>
      </c>
      <c r="D383" t="s">
        <v>1038</v>
      </c>
      <c r="E383" s="1">
        <v>45276</v>
      </c>
      <c r="F383">
        <v>185</v>
      </c>
      <c r="G383">
        <v>4.8</v>
      </c>
      <c r="H383">
        <v>2024</v>
      </c>
      <c r="I383" t="s">
        <v>1062</v>
      </c>
      <c r="J383" t="s">
        <v>1031</v>
      </c>
      <c r="K383">
        <v>5</v>
      </c>
      <c r="T383" t="s">
        <v>2080</v>
      </c>
      <c r="U383">
        <v>12</v>
      </c>
    </row>
    <row r="384" spans="1:21" x14ac:dyDescent="0.3">
      <c r="A384" t="s">
        <v>2021</v>
      </c>
      <c r="B384" t="s">
        <v>1045</v>
      </c>
      <c r="C384">
        <v>32</v>
      </c>
      <c r="D384" t="s">
        <v>1038</v>
      </c>
      <c r="E384" s="1">
        <v>45277</v>
      </c>
      <c r="F384">
        <v>148</v>
      </c>
      <c r="G384">
        <v>4</v>
      </c>
      <c r="H384">
        <v>2024</v>
      </c>
      <c r="I384" t="s">
        <v>1018</v>
      </c>
      <c r="J384" t="s">
        <v>1034</v>
      </c>
      <c r="K384">
        <v>4</v>
      </c>
      <c r="T384" t="s">
        <v>2080</v>
      </c>
      <c r="U384">
        <v>12</v>
      </c>
    </row>
    <row r="385" spans="1:21" x14ac:dyDescent="0.3">
      <c r="A385" t="s">
        <v>2025</v>
      </c>
      <c r="B385" t="s">
        <v>1036</v>
      </c>
      <c r="C385">
        <v>76</v>
      </c>
      <c r="D385" t="s">
        <v>1024</v>
      </c>
      <c r="E385" s="1">
        <v>45281</v>
      </c>
      <c r="F385">
        <v>82</v>
      </c>
      <c r="G385">
        <v>2.1</v>
      </c>
      <c r="H385">
        <v>2024</v>
      </c>
      <c r="I385" t="s">
        <v>1052</v>
      </c>
      <c r="J385" t="s">
        <v>1019</v>
      </c>
      <c r="K385">
        <v>2</v>
      </c>
      <c r="T385" t="s">
        <v>2080</v>
      </c>
      <c r="U385">
        <v>12</v>
      </c>
    </row>
    <row r="386" spans="1:21" x14ac:dyDescent="0.3">
      <c r="A386" t="s">
        <v>2026</v>
      </c>
      <c r="B386" t="s">
        <v>1098</v>
      </c>
      <c r="C386">
        <v>89</v>
      </c>
      <c r="D386" t="s">
        <v>1038</v>
      </c>
      <c r="E386" s="1">
        <v>45284</v>
      </c>
      <c r="F386">
        <v>88</v>
      </c>
      <c r="G386">
        <v>2.8</v>
      </c>
      <c r="H386">
        <v>2024</v>
      </c>
      <c r="I386" t="s">
        <v>1018</v>
      </c>
      <c r="J386" t="s">
        <v>1019</v>
      </c>
      <c r="K386">
        <v>3</v>
      </c>
      <c r="T386" t="s">
        <v>2080</v>
      </c>
      <c r="U386">
        <v>12</v>
      </c>
    </row>
    <row r="387" spans="1:21" x14ac:dyDescent="0.3">
      <c r="A387" t="s">
        <v>2029</v>
      </c>
      <c r="B387" t="s">
        <v>1045</v>
      </c>
      <c r="C387">
        <v>140</v>
      </c>
      <c r="D387" t="s">
        <v>1017</v>
      </c>
      <c r="E387" s="1">
        <v>45285</v>
      </c>
      <c r="F387">
        <v>105</v>
      </c>
      <c r="G387">
        <v>1.7</v>
      </c>
      <c r="H387">
        <v>2024</v>
      </c>
      <c r="I387" t="s">
        <v>1030</v>
      </c>
      <c r="J387" t="s">
        <v>1031</v>
      </c>
      <c r="K387">
        <v>2</v>
      </c>
      <c r="T387" t="s">
        <v>2080</v>
      </c>
      <c r="U387">
        <v>12</v>
      </c>
    </row>
    <row r="388" spans="1:21" x14ac:dyDescent="0.3">
      <c r="A388" t="s">
        <v>2035</v>
      </c>
      <c r="B388" t="s">
        <v>1047</v>
      </c>
      <c r="C388">
        <v>86</v>
      </c>
      <c r="D388" t="s">
        <v>1042</v>
      </c>
      <c r="E388" s="1">
        <v>45288</v>
      </c>
      <c r="F388">
        <v>205</v>
      </c>
      <c r="G388">
        <v>4.5</v>
      </c>
      <c r="H388">
        <v>2024</v>
      </c>
      <c r="I388" t="s">
        <v>1052</v>
      </c>
      <c r="J388" t="s">
        <v>1019</v>
      </c>
      <c r="K388">
        <v>5</v>
      </c>
      <c r="T388" t="s">
        <v>2080</v>
      </c>
      <c r="U388">
        <v>12</v>
      </c>
    </row>
    <row r="389" spans="1:21" x14ac:dyDescent="0.3">
      <c r="A389" t="s">
        <v>2041</v>
      </c>
      <c r="B389" t="s">
        <v>1047</v>
      </c>
      <c r="C389">
        <v>81</v>
      </c>
      <c r="D389" t="s">
        <v>1017</v>
      </c>
      <c r="E389" s="1">
        <v>45290</v>
      </c>
      <c r="F389">
        <v>28</v>
      </c>
      <c r="G389">
        <v>3.9</v>
      </c>
      <c r="H389">
        <v>2024</v>
      </c>
      <c r="I389" t="s">
        <v>1062</v>
      </c>
      <c r="J389" t="s">
        <v>1019</v>
      </c>
      <c r="K389">
        <v>4</v>
      </c>
      <c r="T389" t="s">
        <v>2080</v>
      </c>
      <c r="U389">
        <v>12</v>
      </c>
    </row>
    <row r="390" spans="1:21" x14ac:dyDescent="0.3">
      <c r="A390" t="s">
        <v>2042</v>
      </c>
      <c r="B390" t="s">
        <v>1036</v>
      </c>
      <c r="C390">
        <v>127</v>
      </c>
      <c r="D390" t="s">
        <v>1038</v>
      </c>
      <c r="E390" s="1">
        <v>45290</v>
      </c>
      <c r="F390">
        <v>215</v>
      </c>
      <c r="G390">
        <v>3.8</v>
      </c>
      <c r="H390">
        <v>2024</v>
      </c>
      <c r="I390" t="s">
        <v>1062</v>
      </c>
      <c r="J390" t="s">
        <v>1031</v>
      </c>
      <c r="K390">
        <v>4</v>
      </c>
      <c r="T390" t="s">
        <v>2080</v>
      </c>
      <c r="U390">
        <v>12</v>
      </c>
    </row>
    <row r="391" spans="1:21" x14ac:dyDescent="0.3">
      <c r="A391" t="s">
        <v>2043</v>
      </c>
      <c r="B391" t="s">
        <v>1045</v>
      </c>
      <c r="C391">
        <v>146</v>
      </c>
      <c r="D391" t="s">
        <v>1017</v>
      </c>
      <c r="E391" s="1">
        <v>45291</v>
      </c>
      <c r="F391">
        <v>115</v>
      </c>
      <c r="G391">
        <v>2.2999999999999998</v>
      </c>
      <c r="H391">
        <v>2024</v>
      </c>
      <c r="I391" t="s">
        <v>1018</v>
      </c>
      <c r="J391" t="s">
        <v>1031</v>
      </c>
      <c r="K391">
        <v>2</v>
      </c>
      <c r="T391" t="s">
        <v>2080</v>
      </c>
      <c r="U391">
        <v>12</v>
      </c>
    </row>
    <row r="392" spans="1:21" x14ac:dyDescent="0.3">
      <c r="A392" t="s">
        <v>2044</v>
      </c>
      <c r="B392" t="s">
        <v>1041</v>
      </c>
      <c r="C392">
        <v>123</v>
      </c>
      <c r="D392" t="s">
        <v>1017</v>
      </c>
      <c r="E392" s="1">
        <v>45291</v>
      </c>
      <c r="F392">
        <v>64</v>
      </c>
      <c r="G392">
        <v>3.7</v>
      </c>
      <c r="H392">
        <v>2024</v>
      </c>
      <c r="I392" t="s">
        <v>1018</v>
      </c>
      <c r="J392" t="s">
        <v>1031</v>
      </c>
      <c r="K392">
        <v>4</v>
      </c>
      <c r="T392" t="s">
        <v>2080</v>
      </c>
      <c r="U392">
        <v>12</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1CA1F-D941-4DC0-A60C-E053E918D72D}">
  <dimension ref="A1:U135"/>
  <sheetViews>
    <sheetView workbookViewId="0"/>
  </sheetViews>
  <sheetFormatPr defaultRowHeight="14.4" x14ac:dyDescent="0.3"/>
  <cols>
    <col min="1" max="1" width="21.109375" bestFit="1" customWidth="1"/>
    <col min="2" max="2" width="21.21875" bestFit="1" customWidth="1"/>
    <col min="3" max="3" width="18" bestFit="1" customWidth="1"/>
    <col min="4" max="4" width="23.6640625" bestFit="1" customWidth="1"/>
    <col min="5" max="5" width="20.44140625" bestFit="1" customWidth="1"/>
    <col min="6" max="6" width="25.5546875" bestFit="1" customWidth="1"/>
    <col min="7" max="7" width="26.6640625" bestFit="1" customWidth="1"/>
    <col min="8" max="8" width="12.77734375" bestFit="1" customWidth="1"/>
    <col min="9" max="9" width="20.6640625" bestFit="1" customWidth="1"/>
    <col min="10" max="10" width="24.33203125" bestFit="1" customWidth="1"/>
    <col min="11" max="11" width="23.5546875" bestFit="1" customWidth="1"/>
    <col min="12" max="12" width="22.33203125" bestFit="1" customWidth="1"/>
    <col min="13" max="15" width="18.33203125" bestFit="1" customWidth="1"/>
    <col min="16" max="16" width="22.21875" bestFit="1" customWidth="1"/>
    <col min="17" max="17" width="17" bestFit="1" customWidth="1"/>
    <col min="18" max="18" width="13.77734375" bestFit="1" customWidth="1"/>
    <col min="19" max="19" width="14.109375" bestFit="1" customWidth="1"/>
    <col min="20" max="20" width="27.33203125" bestFit="1" customWidth="1"/>
    <col min="21" max="21" width="32.44140625" bestFit="1" customWidth="1"/>
  </cols>
  <sheetData>
    <row r="1" spans="1:21" x14ac:dyDescent="0.3">
      <c r="A1" s="15" t="s">
        <v>2131</v>
      </c>
    </row>
    <row r="3" spans="1:21" x14ac:dyDescent="0.3">
      <c r="A3" t="s">
        <v>2086</v>
      </c>
      <c r="B3" t="s">
        <v>2087</v>
      </c>
      <c r="C3" t="s">
        <v>2088</v>
      </c>
      <c r="D3" t="s">
        <v>2089</v>
      </c>
      <c r="E3" t="s">
        <v>2090</v>
      </c>
      <c r="F3" t="s">
        <v>2091</v>
      </c>
      <c r="G3" t="s">
        <v>2092</v>
      </c>
      <c r="H3" t="s">
        <v>2093</v>
      </c>
      <c r="I3" t="s">
        <v>2094</v>
      </c>
      <c r="J3" t="s">
        <v>2095</v>
      </c>
      <c r="K3" t="s">
        <v>2096</v>
      </c>
      <c r="L3" t="s">
        <v>2097</v>
      </c>
      <c r="M3" t="s">
        <v>2098</v>
      </c>
      <c r="N3" t="s">
        <v>2099</v>
      </c>
      <c r="O3" t="s">
        <v>2100</v>
      </c>
      <c r="P3" t="s">
        <v>2101</v>
      </c>
      <c r="Q3" t="s">
        <v>2102</v>
      </c>
      <c r="R3" t="s">
        <v>2103</v>
      </c>
      <c r="S3" t="s">
        <v>2104</v>
      </c>
      <c r="T3" t="s">
        <v>2107</v>
      </c>
      <c r="U3" t="s">
        <v>2108</v>
      </c>
    </row>
    <row r="4" spans="1:21" x14ac:dyDescent="0.3">
      <c r="A4" t="s">
        <v>1015</v>
      </c>
      <c r="B4" t="s">
        <v>1016</v>
      </c>
      <c r="C4">
        <v>116</v>
      </c>
      <c r="D4" t="s">
        <v>1017</v>
      </c>
      <c r="E4" s="1">
        <v>44927</v>
      </c>
      <c r="F4">
        <v>128</v>
      </c>
      <c r="G4">
        <v>4.9000000000000004</v>
      </c>
      <c r="H4">
        <v>2023</v>
      </c>
      <c r="I4" t="s">
        <v>1018</v>
      </c>
      <c r="J4" t="s">
        <v>1019</v>
      </c>
      <c r="K4">
        <v>5</v>
      </c>
      <c r="P4" t="s">
        <v>1078</v>
      </c>
      <c r="Q4" t="s">
        <v>24</v>
      </c>
      <c r="R4">
        <v>41</v>
      </c>
      <c r="S4" t="s">
        <v>2056</v>
      </c>
      <c r="T4" t="s">
        <v>2069</v>
      </c>
      <c r="U4">
        <v>1</v>
      </c>
    </row>
    <row r="5" spans="1:21" x14ac:dyDescent="0.3">
      <c r="A5" t="s">
        <v>1020</v>
      </c>
      <c r="B5" t="s">
        <v>1021</v>
      </c>
      <c r="C5">
        <v>119</v>
      </c>
      <c r="D5" t="s">
        <v>1017</v>
      </c>
      <c r="E5" s="1">
        <v>44927</v>
      </c>
      <c r="F5">
        <v>135</v>
      </c>
      <c r="G5">
        <v>2.9</v>
      </c>
      <c r="H5">
        <v>2023</v>
      </c>
      <c r="I5" t="s">
        <v>1018</v>
      </c>
      <c r="J5" t="s">
        <v>1019</v>
      </c>
      <c r="K5">
        <v>3</v>
      </c>
      <c r="P5" t="s">
        <v>1047</v>
      </c>
      <c r="Q5" t="s">
        <v>24</v>
      </c>
      <c r="R5">
        <v>31</v>
      </c>
      <c r="S5" t="s">
        <v>2057</v>
      </c>
      <c r="T5" t="s">
        <v>2069</v>
      </c>
      <c r="U5">
        <v>1</v>
      </c>
    </row>
    <row r="6" spans="1:21" x14ac:dyDescent="0.3">
      <c r="A6" t="s">
        <v>1037</v>
      </c>
      <c r="B6" t="s">
        <v>1016</v>
      </c>
      <c r="C6">
        <v>103</v>
      </c>
      <c r="D6" t="s">
        <v>1038</v>
      </c>
      <c r="E6" s="1">
        <v>44929</v>
      </c>
      <c r="F6">
        <v>148</v>
      </c>
      <c r="G6">
        <v>4.4000000000000004</v>
      </c>
      <c r="H6">
        <v>2023</v>
      </c>
      <c r="I6" t="s">
        <v>1033</v>
      </c>
      <c r="J6" t="s">
        <v>1019</v>
      </c>
      <c r="K6">
        <v>4</v>
      </c>
      <c r="P6" t="s">
        <v>1098</v>
      </c>
      <c r="Q6" t="s">
        <v>11</v>
      </c>
      <c r="R6">
        <v>42</v>
      </c>
      <c r="S6" t="s">
        <v>2057</v>
      </c>
      <c r="T6" t="s">
        <v>2069</v>
      </c>
      <c r="U6">
        <v>1</v>
      </c>
    </row>
    <row r="7" spans="1:21" x14ac:dyDescent="0.3">
      <c r="A7" t="s">
        <v>1060</v>
      </c>
      <c r="B7" t="s">
        <v>1021</v>
      </c>
      <c r="C7">
        <v>128</v>
      </c>
      <c r="D7" t="s">
        <v>1017</v>
      </c>
      <c r="E7" s="1">
        <v>44932</v>
      </c>
      <c r="F7">
        <v>72</v>
      </c>
      <c r="G7">
        <v>5</v>
      </c>
      <c r="H7">
        <v>2023</v>
      </c>
      <c r="I7" t="s">
        <v>411</v>
      </c>
      <c r="J7" t="s">
        <v>1031</v>
      </c>
      <c r="K7">
        <v>5</v>
      </c>
      <c r="T7" t="s">
        <v>2069</v>
      </c>
      <c r="U7">
        <v>1</v>
      </c>
    </row>
    <row r="8" spans="1:21" x14ac:dyDescent="0.3">
      <c r="A8" t="s">
        <v>1061</v>
      </c>
      <c r="B8" t="s">
        <v>1021</v>
      </c>
      <c r="C8">
        <v>38</v>
      </c>
      <c r="D8" t="s">
        <v>1038</v>
      </c>
      <c r="E8" s="1">
        <v>44933</v>
      </c>
      <c r="F8">
        <v>92</v>
      </c>
      <c r="G8">
        <v>4.9000000000000004</v>
      </c>
      <c r="H8">
        <v>2023</v>
      </c>
      <c r="I8" t="s">
        <v>1062</v>
      </c>
      <c r="J8" t="s">
        <v>1034</v>
      </c>
      <c r="K8">
        <v>5</v>
      </c>
      <c r="T8" t="s">
        <v>2069</v>
      </c>
      <c r="U8">
        <v>1</v>
      </c>
    </row>
    <row r="9" spans="1:21" x14ac:dyDescent="0.3">
      <c r="A9" t="s">
        <v>1063</v>
      </c>
      <c r="B9" t="s">
        <v>1016</v>
      </c>
      <c r="C9">
        <v>67</v>
      </c>
      <c r="D9" t="s">
        <v>1038</v>
      </c>
      <c r="E9" s="1">
        <v>44934</v>
      </c>
      <c r="F9">
        <v>165</v>
      </c>
      <c r="G9">
        <v>4.5</v>
      </c>
      <c r="H9">
        <v>2023</v>
      </c>
      <c r="I9" t="s">
        <v>1018</v>
      </c>
      <c r="J9" t="s">
        <v>1019</v>
      </c>
      <c r="K9">
        <v>5</v>
      </c>
      <c r="T9" t="s">
        <v>2069</v>
      </c>
      <c r="U9">
        <v>1</v>
      </c>
    </row>
    <row r="10" spans="1:21" x14ac:dyDescent="0.3">
      <c r="A10" t="s">
        <v>1081</v>
      </c>
      <c r="B10" t="s">
        <v>1021</v>
      </c>
      <c r="C10">
        <v>90</v>
      </c>
      <c r="D10" t="s">
        <v>1024</v>
      </c>
      <c r="E10" s="1">
        <v>44942</v>
      </c>
      <c r="F10">
        <v>132</v>
      </c>
      <c r="G10">
        <v>3.2</v>
      </c>
      <c r="H10">
        <v>2023</v>
      </c>
      <c r="I10" t="s">
        <v>1030</v>
      </c>
      <c r="J10" t="s">
        <v>1019</v>
      </c>
      <c r="K10">
        <v>3</v>
      </c>
      <c r="T10" t="s">
        <v>2069</v>
      </c>
      <c r="U10">
        <v>1</v>
      </c>
    </row>
    <row r="11" spans="1:21" x14ac:dyDescent="0.3">
      <c r="A11" t="s">
        <v>1084</v>
      </c>
      <c r="B11" t="s">
        <v>1021</v>
      </c>
      <c r="C11">
        <v>74</v>
      </c>
      <c r="D11" t="s">
        <v>1038</v>
      </c>
      <c r="E11" s="1">
        <v>44943</v>
      </c>
      <c r="F11">
        <v>96</v>
      </c>
      <c r="G11">
        <v>4.7</v>
      </c>
      <c r="H11">
        <v>2023</v>
      </c>
      <c r="I11" t="s">
        <v>1033</v>
      </c>
      <c r="J11" t="s">
        <v>1019</v>
      </c>
      <c r="K11">
        <v>5</v>
      </c>
      <c r="T11" t="s">
        <v>2069</v>
      </c>
      <c r="U11">
        <v>1</v>
      </c>
    </row>
    <row r="12" spans="1:21" x14ac:dyDescent="0.3">
      <c r="A12" t="s">
        <v>1091</v>
      </c>
      <c r="B12" t="s">
        <v>1021</v>
      </c>
      <c r="C12">
        <v>104</v>
      </c>
      <c r="D12" t="s">
        <v>1017</v>
      </c>
      <c r="E12" s="1">
        <v>44945</v>
      </c>
      <c r="F12">
        <v>86</v>
      </c>
      <c r="G12">
        <v>4</v>
      </c>
      <c r="H12">
        <v>2023</v>
      </c>
      <c r="I12" t="s">
        <v>1052</v>
      </c>
      <c r="J12" t="s">
        <v>1019</v>
      </c>
      <c r="K12">
        <v>4</v>
      </c>
      <c r="T12" t="s">
        <v>2069</v>
      </c>
      <c r="U12">
        <v>1</v>
      </c>
    </row>
    <row r="13" spans="1:21" x14ac:dyDescent="0.3">
      <c r="A13" t="s">
        <v>1092</v>
      </c>
      <c r="B13" t="s">
        <v>1016</v>
      </c>
      <c r="C13">
        <v>90</v>
      </c>
      <c r="D13" t="s">
        <v>1024</v>
      </c>
      <c r="E13" s="1">
        <v>44946</v>
      </c>
      <c r="F13">
        <v>64</v>
      </c>
      <c r="G13">
        <v>3.8</v>
      </c>
      <c r="H13">
        <v>2023</v>
      </c>
      <c r="I13" t="s">
        <v>411</v>
      </c>
      <c r="J13" t="s">
        <v>1019</v>
      </c>
      <c r="K13">
        <v>4</v>
      </c>
      <c r="T13" t="s">
        <v>2069</v>
      </c>
      <c r="U13">
        <v>1</v>
      </c>
    </row>
    <row r="14" spans="1:21" x14ac:dyDescent="0.3">
      <c r="A14" t="s">
        <v>1110</v>
      </c>
      <c r="B14" t="s">
        <v>1021</v>
      </c>
      <c r="C14">
        <v>69</v>
      </c>
      <c r="D14" t="s">
        <v>1024</v>
      </c>
      <c r="E14" s="1">
        <v>44952</v>
      </c>
      <c r="F14">
        <v>40</v>
      </c>
      <c r="G14">
        <v>3.8</v>
      </c>
      <c r="H14">
        <v>2023</v>
      </c>
      <c r="I14" t="s">
        <v>1052</v>
      </c>
      <c r="J14" t="s">
        <v>1019</v>
      </c>
      <c r="K14">
        <v>4</v>
      </c>
      <c r="T14" t="s">
        <v>2069</v>
      </c>
      <c r="U14">
        <v>1</v>
      </c>
    </row>
    <row r="15" spans="1:21" x14ac:dyDescent="0.3">
      <c r="A15" t="s">
        <v>1122</v>
      </c>
      <c r="B15" t="s">
        <v>1021</v>
      </c>
      <c r="C15">
        <v>43</v>
      </c>
      <c r="D15" t="s">
        <v>1042</v>
      </c>
      <c r="E15" s="1">
        <v>44956</v>
      </c>
      <c r="F15">
        <v>23</v>
      </c>
      <c r="G15">
        <v>4.9000000000000004</v>
      </c>
      <c r="H15">
        <v>2023</v>
      </c>
      <c r="I15" t="s">
        <v>1030</v>
      </c>
      <c r="J15" t="s">
        <v>1034</v>
      </c>
      <c r="K15">
        <v>5</v>
      </c>
      <c r="T15" t="s">
        <v>2069</v>
      </c>
      <c r="U15">
        <v>1</v>
      </c>
    </row>
    <row r="16" spans="1:21" x14ac:dyDescent="0.3">
      <c r="A16" t="s">
        <v>1128</v>
      </c>
      <c r="B16" t="s">
        <v>1021</v>
      </c>
      <c r="C16">
        <v>78</v>
      </c>
      <c r="D16" t="s">
        <v>1017</v>
      </c>
      <c r="E16" s="1">
        <v>44958</v>
      </c>
      <c r="F16">
        <v>62</v>
      </c>
      <c r="G16">
        <v>3.1</v>
      </c>
      <c r="H16">
        <v>2023</v>
      </c>
      <c r="I16" t="s">
        <v>1048</v>
      </c>
      <c r="J16" t="s">
        <v>1019</v>
      </c>
      <c r="K16">
        <v>3</v>
      </c>
      <c r="T16" t="s">
        <v>2070</v>
      </c>
      <c r="U16">
        <v>2</v>
      </c>
    </row>
    <row r="17" spans="1:21" x14ac:dyDescent="0.3">
      <c r="A17" t="s">
        <v>1132</v>
      </c>
      <c r="B17" t="s">
        <v>1021</v>
      </c>
      <c r="C17">
        <v>47</v>
      </c>
      <c r="D17" t="s">
        <v>1024</v>
      </c>
      <c r="E17" s="1">
        <v>44959</v>
      </c>
      <c r="F17">
        <v>34</v>
      </c>
      <c r="G17">
        <v>2.1</v>
      </c>
      <c r="H17">
        <v>2023</v>
      </c>
      <c r="I17" t="s">
        <v>1052</v>
      </c>
      <c r="J17" t="s">
        <v>1034</v>
      </c>
      <c r="K17">
        <v>2</v>
      </c>
      <c r="T17" t="s">
        <v>2070</v>
      </c>
      <c r="U17">
        <v>2</v>
      </c>
    </row>
    <row r="18" spans="1:21" x14ac:dyDescent="0.3">
      <c r="A18" t="s">
        <v>1142</v>
      </c>
      <c r="B18" t="s">
        <v>1016</v>
      </c>
      <c r="C18">
        <v>96</v>
      </c>
      <c r="D18" t="s">
        <v>1042</v>
      </c>
      <c r="E18" s="1">
        <v>44965</v>
      </c>
      <c r="F18">
        <v>120</v>
      </c>
      <c r="G18">
        <v>4</v>
      </c>
      <c r="H18">
        <v>2023</v>
      </c>
      <c r="I18" t="s">
        <v>1048</v>
      </c>
      <c r="J18" t="s">
        <v>1019</v>
      </c>
      <c r="K18">
        <v>4</v>
      </c>
      <c r="T18" t="s">
        <v>2070</v>
      </c>
      <c r="U18">
        <v>2</v>
      </c>
    </row>
    <row r="19" spans="1:21" x14ac:dyDescent="0.3">
      <c r="A19" t="s">
        <v>1144</v>
      </c>
      <c r="B19" t="s">
        <v>1016</v>
      </c>
      <c r="C19">
        <v>132</v>
      </c>
      <c r="D19" t="s">
        <v>1042</v>
      </c>
      <c r="E19" s="1">
        <v>44967</v>
      </c>
      <c r="F19">
        <v>112</v>
      </c>
      <c r="G19">
        <v>4.5</v>
      </c>
      <c r="H19">
        <v>2023</v>
      </c>
      <c r="I19" t="s">
        <v>411</v>
      </c>
      <c r="J19" t="s">
        <v>1031</v>
      </c>
      <c r="K19">
        <v>5</v>
      </c>
      <c r="T19" t="s">
        <v>2070</v>
      </c>
      <c r="U19">
        <v>2</v>
      </c>
    </row>
    <row r="20" spans="1:21" x14ac:dyDescent="0.3">
      <c r="A20" t="s">
        <v>1151</v>
      </c>
      <c r="B20" t="s">
        <v>1021</v>
      </c>
      <c r="C20">
        <v>127</v>
      </c>
      <c r="D20" t="s">
        <v>1038</v>
      </c>
      <c r="E20" s="1">
        <v>44970</v>
      </c>
      <c r="F20">
        <v>165</v>
      </c>
      <c r="G20">
        <v>4.7</v>
      </c>
      <c r="H20">
        <v>2023</v>
      </c>
      <c r="I20" t="s">
        <v>1030</v>
      </c>
      <c r="J20" t="s">
        <v>1031</v>
      </c>
      <c r="K20">
        <v>5</v>
      </c>
      <c r="T20" t="s">
        <v>2070</v>
      </c>
      <c r="U20">
        <v>2</v>
      </c>
    </row>
    <row r="21" spans="1:21" x14ac:dyDescent="0.3">
      <c r="A21" t="s">
        <v>1153</v>
      </c>
      <c r="B21" t="s">
        <v>1021</v>
      </c>
      <c r="C21">
        <v>76</v>
      </c>
      <c r="D21" t="s">
        <v>1042</v>
      </c>
      <c r="E21" s="1">
        <v>44970</v>
      </c>
      <c r="F21">
        <v>64</v>
      </c>
      <c r="G21">
        <v>3.4</v>
      </c>
      <c r="H21">
        <v>2023</v>
      </c>
      <c r="I21" t="s">
        <v>1030</v>
      </c>
      <c r="J21" t="s">
        <v>1019</v>
      </c>
      <c r="K21">
        <v>3</v>
      </c>
      <c r="T21" t="s">
        <v>2070</v>
      </c>
      <c r="U21">
        <v>2</v>
      </c>
    </row>
    <row r="22" spans="1:21" x14ac:dyDescent="0.3">
      <c r="A22" t="s">
        <v>1155</v>
      </c>
      <c r="B22" t="s">
        <v>1021</v>
      </c>
      <c r="C22">
        <v>95</v>
      </c>
      <c r="D22" t="s">
        <v>1024</v>
      </c>
      <c r="E22" s="1">
        <v>44972</v>
      </c>
      <c r="F22">
        <v>120</v>
      </c>
      <c r="G22">
        <v>4.8</v>
      </c>
      <c r="H22">
        <v>2023</v>
      </c>
      <c r="I22" t="s">
        <v>1048</v>
      </c>
      <c r="J22" t="s">
        <v>1019</v>
      </c>
      <c r="K22">
        <v>5</v>
      </c>
      <c r="T22" t="s">
        <v>2070</v>
      </c>
      <c r="U22">
        <v>2</v>
      </c>
    </row>
    <row r="23" spans="1:21" x14ac:dyDescent="0.3">
      <c r="A23" t="s">
        <v>1163</v>
      </c>
      <c r="B23" t="s">
        <v>1016</v>
      </c>
      <c r="C23">
        <v>99</v>
      </c>
      <c r="D23" t="s">
        <v>1024</v>
      </c>
      <c r="E23" s="1">
        <v>44973</v>
      </c>
      <c r="F23">
        <v>78</v>
      </c>
      <c r="G23">
        <v>4.0999999999999996</v>
      </c>
      <c r="H23">
        <v>2023</v>
      </c>
      <c r="I23" t="s">
        <v>1052</v>
      </c>
      <c r="J23" t="s">
        <v>1019</v>
      </c>
      <c r="K23">
        <v>4</v>
      </c>
      <c r="T23" t="s">
        <v>2070</v>
      </c>
      <c r="U23">
        <v>2</v>
      </c>
    </row>
    <row r="24" spans="1:21" x14ac:dyDescent="0.3">
      <c r="A24" t="s">
        <v>1164</v>
      </c>
      <c r="B24" t="s">
        <v>1021</v>
      </c>
      <c r="C24">
        <v>75</v>
      </c>
      <c r="D24" t="s">
        <v>1042</v>
      </c>
      <c r="E24" s="1">
        <v>44974</v>
      </c>
      <c r="F24">
        <v>21</v>
      </c>
      <c r="G24">
        <v>4.2</v>
      </c>
      <c r="H24">
        <v>2023</v>
      </c>
      <c r="I24" t="s">
        <v>411</v>
      </c>
      <c r="J24" t="s">
        <v>1019</v>
      </c>
      <c r="K24">
        <v>4</v>
      </c>
      <c r="T24" t="s">
        <v>2070</v>
      </c>
      <c r="U24">
        <v>2</v>
      </c>
    </row>
    <row r="25" spans="1:21" x14ac:dyDescent="0.3">
      <c r="A25" t="s">
        <v>1167</v>
      </c>
      <c r="B25" t="s">
        <v>1016</v>
      </c>
      <c r="C25">
        <v>68</v>
      </c>
      <c r="D25" t="s">
        <v>1024</v>
      </c>
      <c r="E25" s="1">
        <v>44975</v>
      </c>
      <c r="F25">
        <v>22</v>
      </c>
      <c r="G25">
        <v>3.3</v>
      </c>
      <c r="H25">
        <v>2023</v>
      </c>
      <c r="I25" t="s">
        <v>1062</v>
      </c>
      <c r="J25" t="s">
        <v>1019</v>
      </c>
      <c r="K25">
        <v>3</v>
      </c>
      <c r="T25" t="s">
        <v>2070</v>
      </c>
      <c r="U25">
        <v>2</v>
      </c>
    </row>
    <row r="26" spans="1:21" x14ac:dyDescent="0.3">
      <c r="A26" t="s">
        <v>1171</v>
      </c>
      <c r="B26" t="s">
        <v>1021</v>
      </c>
      <c r="C26">
        <v>155</v>
      </c>
      <c r="D26" t="s">
        <v>1029</v>
      </c>
      <c r="E26" s="1">
        <v>44977</v>
      </c>
      <c r="F26">
        <v>80</v>
      </c>
      <c r="G26">
        <v>3.9</v>
      </c>
      <c r="H26">
        <v>2023</v>
      </c>
      <c r="I26" t="s">
        <v>1030</v>
      </c>
      <c r="J26" t="s">
        <v>1031</v>
      </c>
      <c r="K26">
        <v>4</v>
      </c>
      <c r="T26" t="s">
        <v>2070</v>
      </c>
      <c r="U26">
        <v>2</v>
      </c>
    </row>
    <row r="27" spans="1:21" x14ac:dyDescent="0.3">
      <c r="A27" t="s">
        <v>1174</v>
      </c>
      <c r="B27" t="s">
        <v>1021</v>
      </c>
      <c r="C27">
        <v>89</v>
      </c>
      <c r="D27" t="s">
        <v>1017</v>
      </c>
      <c r="E27" s="1">
        <v>44978</v>
      </c>
      <c r="F27">
        <v>90</v>
      </c>
      <c r="G27">
        <v>4.3</v>
      </c>
      <c r="H27">
        <v>2023</v>
      </c>
      <c r="I27" t="s">
        <v>1033</v>
      </c>
      <c r="J27" t="s">
        <v>1019</v>
      </c>
      <c r="K27">
        <v>4</v>
      </c>
      <c r="T27" t="s">
        <v>2070</v>
      </c>
      <c r="U27">
        <v>2</v>
      </c>
    </row>
    <row r="28" spans="1:21" x14ac:dyDescent="0.3">
      <c r="A28" t="s">
        <v>1185</v>
      </c>
      <c r="B28" t="s">
        <v>1021</v>
      </c>
      <c r="C28">
        <v>6</v>
      </c>
      <c r="D28" t="s">
        <v>1029</v>
      </c>
      <c r="E28" s="1">
        <v>44984</v>
      </c>
      <c r="F28">
        <v>102</v>
      </c>
      <c r="G28">
        <v>4.4000000000000004</v>
      </c>
      <c r="H28">
        <v>2023</v>
      </c>
      <c r="I28" t="s">
        <v>1030</v>
      </c>
      <c r="J28" t="s">
        <v>1186</v>
      </c>
      <c r="K28">
        <v>4</v>
      </c>
      <c r="T28" t="s">
        <v>2070</v>
      </c>
      <c r="U28">
        <v>2</v>
      </c>
    </row>
    <row r="29" spans="1:21" x14ac:dyDescent="0.3">
      <c r="A29" t="s">
        <v>1202</v>
      </c>
      <c r="B29" t="s">
        <v>1021</v>
      </c>
      <c r="C29">
        <v>96</v>
      </c>
      <c r="D29" t="s">
        <v>1024</v>
      </c>
      <c r="E29" s="1">
        <v>44987</v>
      </c>
      <c r="F29">
        <v>108</v>
      </c>
      <c r="G29">
        <v>5</v>
      </c>
      <c r="H29">
        <v>2023</v>
      </c>
      <c r="I29" t="s">
        <v>1052</v>
      </c>
      <c r="J29" t="s">
        <v>1019</v>
      </c>
      <c r="K29">
        <v>5</v>
      </c>
      <c r="T29" t="s">
        <v>2071</v>
      </c>
      <c r="U29">
        <v>3</v>
      </c>
    </row>
    <row r="30" spans="1:21" x14ac:dyDescent="0.3">
      <c r="A30" t="s">
        <v>1206</v>
      </c>
      <c r="B30" t="s">
        <v>1021</v>
      </c>
      <c r="C30">
        <v>113</v>
      </c>
      <c r="D30" t="s">
        <v>1029</v>
      </c>
      <c r="E30" s="1">
        <v>44988</v>
      </c>
      <c r="F30">
        <v>123</v>
      </c>
      <c r="G30">
        <v>4.4000000000000004</v>
      </c>
      <c r="H30">
        <v>2023</v>
      </c>
      <c r="I30" t="s">
        <v>411</v>
      </c>
      <c r="J30" t="s">
        <v>1019</v>
      </c>
      <c r="K30">
        <v>4</v>
      </c>
      <c r="T30" t="s">
        <v>2071</v>
      </c>
      <c r="U30">
        <v>3</v>
      </c>
    </row>
    <row r="31" spans="1:21" x14ac:dyDescent="0.3">
      <c r="A31" t="s">
        <v>1207</v>
      </c>
      <c r="B31" t="s">
        <v>1021</v>
      </c>
      <c r="C31">
        <v>21</v>
      </c>
      <c r="D31" t="s">
        <v>1024</v>
      </c>
      <c r="E31" s="1">
        <v>44988</v>
      </c>
      <c r="F31">
        <v>93</v>
      </c>
      <c r="G31">
        <v>3.4</v>
      </c>
      <c r="H31">
        <v>2023</v>
      </c>
      <c r="I31" t="s">
        <v>411</v>
      </c>
      <c r="J31" t="s">
        <v>1056</v>
      </c>
      <c r="K31">
        <v>3</v>
      </c>
      <c r="T31" t="s">
        <v>2071</v>
      </c>
      <c r="U31">
        <v>3</v>
      </c>
    </row>
    <row r="32" spans="1:21" x14ac:dyDescent="0.3">
      <c r="A32" t="s">
        <v>1210</v>
      </c>
      <c r="B32" t="s">
        <v>1016</v>
      </c>
      <c r="C32">
        <v>11</v>
      </c>
      <c r="D32" t="s">
        <v>1042</v>
      </c>
      <c r="E32" s="1">
        <v>44988</v>
      </c>
      <c r="F32">
        <v>25</v>
      </c>
      <c r="G32">
        <v>2.1</v>
      </c>
      <c r="H32">
        <v>2023</v>
      </c>
      <c r="I32" t="s">
        <v>411</v>
      </c>
      <c r="J32" t="s">
        <v>1056</v>
      </c>
      <c r="K32">
        <v>2</v>
      </c>
      <c r="T32" t="s">
        <v>2071</v>
      </c>
      <c r="U32">
        <v>3</v>
      </c>
    </row>
    <row r="33" spans="1:21" x14ac:dyDescent="0.3">
      <c r="A33" t="s">
        <v>1215</v>
      </c>
      <c r="B33" t="s">
        <v>1021</v>
      </c>
      <c r="C33">
        <v>101</v>
      </c>
      <c r="D33" t="s">
        <v>1042</v>
      </c>
      <c r="E33" s="1">
        <v>44989</v>
      </c>
      <c r="F33">
        <v>128</v>
      </c>
      <c r="G33">
        <v>5</v>
      </c>
      <c r="H33">
        <v>2023</v>
      </c>
      <c r="I33" t="s">
        <v>1062</v>
      </c>
      <c r="J33" t="s">
        <v>1019</v>
      </c>
      <c r="K33">
        <v>5</v>
      </c>
      <c r="T33" t="s">
        <v>2071</v>
      </c>
      <c r="U33">
        <v>3</v>
      </c>
    </row>
    <row r="34" spans="1:21" x14ac:dyDescent="0.3">
      <c r="A34" t="s">
        <v>1240</v>
      </c>
      <c r="B34" t="s">
        <v>1021</v>
      </c>
      <c r="C34">
        <v>155</v>
      </c>
      <c r="D34" t="s">
        <v>1017</v>
      </c>
      <c r="E34" s="1">
        <v>44995</v>
      </c>
      <c r="F34">
        <v>164</v>
      </c>
      <c r="G34">
        <v>3.4</v>
      </c>
      <c r="H34">
        <v>2023</v>
      </c>
      <c r="I34" t="s">
        <v>411</v>
      </c>
      <c r="J34" t="s">
        <v>1031</v>
      </c>
      <c r="K34">
        <v>3</v>
      </c>
      <c r="T34" t="s">
        <v>2071</v>
      </c>
      <c r="U34">
        <v>3</v>
      </c>
    </row>
    <row r="35" spans="1:21" x14ac:dyDescent="0.3">
      <c r="A35" t="s">
        <v>1244</v>
      </c>
      <c r="B35" t="s">
        <v>1021</v>
      </c>
      <c r="C35">
        <v>100</v>
      </c>
      <c r="D35" t="s">
        <v>1038</v>
      </c>
      <c r="E35" s="1">
        <v>44996</v>
      </c>
      <c r="F35">
        <v>44</v>
      </c>
      <c r="G35">
        <v>3.6</v>
      </c>
      <c r="H35">
        <v>2023</v>
      </c>
      <c r="I35" t="s">
        <v>1062</v>
      </c>
      <c r="J35" t="s">
        <v>1019</v>
      </c>
      <c r="K35">
        <v>4</v>
      </c>
      <c r="T35" t="s">
        <v>2071</v>
      </c>
      <c r="U35">
        <v>3</v>
      </c>
    </row>
    <row r="36" spans="1:21" x14ac:dyDescent="0.3">
      <c r="A36" t="s">
        <v>1245</v>
      </c>
      <c r="B36" t="s">
        <v>1016</v>
      </c>
      <c r="C36">
        <v>93</v>
      </c>
      <c r="D36" t="s">
        <v>1029</v>
      </c>
      <c r="E36" s="1">
        <v>44996</v>
      </c>
      <c r="F36">
        <v>132</v>
      </c>
      <c r="G36">
        <v>3.7</v>
      </c>
      <c r="H36">
        <v>2023</v>
      </c>
      <c r="I36" t="s">
        <v>1062</v>
      </c>
      <c r="J36" t="s">
        <v>1019</v>
      </c>
      <c r="K36">
        <v>4</v>
      </c>
      <c r="T36" t="s">
        <v>2071</v>
      </c>
      <c r="U36">
        <v>3</v>
      </c>
    </row>
    <row r="37" spans="1:21" x14ac:dyDescent="0.3">
      <c r="A37" t="s">
        <v>1260</v>
      </c>
      <c r="B37" t="s">
        <v>1016</v>
      </c>
      <c r="C37">
        <v>142</v>
      </c>
      <c r="D37" t="s">
        <v>1038</v>
      </c>
      <c r="E37" s="1">
        <v>44999</v>
      </c>
      <c r="F37">
        <v>44</v>
      </c>
      <c r="G37">
        <v>3.5</v>
      </c>
      <c r="H37">
        <v>2023</v>
      </c>
      <c r="I37" t="s">
        <v>1033</v>
      </c>
      <c r="J37" t="s">
        <v>1031</v>
      </c>
      <c r="K37">
        <v>4</v>
      </c>
      <c r="T37" t="s">
        <v>2071</v>
      </c>
      <c r="U37">
        <v>3</v>
      </c>
    </row>
    <row r="38" spans="1:21" x14ac:dyDescent="0.3">
      <c r="A38" t="s">
        <v>1267</v>
      </c>
      <c r="B38" t="s">
        <v>1021</v>
      </c>
      <c r="C38">
        <v>139</v>
      </c>
      <c r="D38" t="s">
        <v>1038</v>
      </c>
      <c r="E38" s="1">
        <v>45000</v>
      </c>
      <c r="F38">
        <v>48</v>
      </c>
      <c r="G38">
        <v>4.7</v>
      </c>
      <c r="H38">
        <v>2023</v>
      </c>
      <c r="I38" t="s">
        <v>1048</v>
      </c>
      <c r="J38" t="s">
        <v>1031</v>
      </c>
      <c r="K38">
        <v>5</v>
      </c>
      <c r="T38" t="s">
        <v>2071</v>
      </c>
      <c r="U38">
        <v>3</v>
      </c>
    </row>
    <row r="39" spans="1:21" x14ac:dyDescent="0.3">
      <c r="A39" t="s">
        <v>1270</v>
      </c>
      <c r="B39" t="s">
        <v>1021</v>
      </c>
      <c r="C39">
        <v>47</v>
      </c>
      <c r="D39" t="s">
        <v>1024</v>
      </c>
      <c r="E39" s="1">
        <v>45000</v>
      </c>
      <c r="F39">
        <v>120</v>
      </c>
      <c r="G39">
        <v>3.1</v>
      </c>
      <c r="H39">
        <v>2023</v>
      </c>
      <c r="I39" t="s">
        <v>1048</v>
      </c>
      <c r="J39" t="s">
        <v>1034</v>
      </c>
      <c r="K39">
        <v>3</v>
      </c>
      <c r="T39" t="s">
        <v>2071</v>
      </c>
      <c r="U39">
        <v>3</v>
      </c>
    </row>
    <row r="40" spans="1:21" x14ac:dyDescent="0.3">
      <c r="A40" t="s">
        <v>1277</v>
      </c>
      <c r="B40" t="s">
        <v>1021</v>
      </c>
      <c r="C40">
        <v>94</v>
      </c>
      <c r="D40" t="s">
        <v>1017</v>
      </c>
      <c r="E40" s="1">
        <v>45001</v>
      </c>
      <c r="F40">
        <v>99</v>
      </c>
      <c r="G40">
        <v>4.9000000000000004</v>
      </c>
      <c r="H40">
        <v>2023</v>
      </c>
      <c r="I40" t="s">
        <v>1052</v>
      </c>
      <c r="J40" t="s">
        <v>1019</v>
      </c>
      <c r="K40">
        <v>5</v>
      </c>
      <c r="T40" t="s">
        <v>2071</v>
      </c>
      <c r="U40">
        <v>3</v>
      </c>
    </row>
    <row r="41" spans="1:21" x14ac:dyDescent="0.3">
      <c r="A41" t="s">
        <v>1282</v>
      </c>
      <c r="B41" t="s">
        <v>1016</v>
      </c>
      <c r="C41">
        <v>92</v>
      </c>
      <c r="D41" t="s">
        <v>1029</v>
      </c>
      <c r="E41" s="1">
        <v>45002</v>
      </c>
      <c r="F41">
        <v>125</v>
      </c>
      <c r="G41">
        <v>4.9000000000000004</v>
      </c>
      <c r="H41">
        <v>2023</v>
      </c>
      <c r="I41" t="s">
        <v>411</v>
      </c>
      <c r="J41" t="s">
        <v>1019</v>
      </c>
      <c r="K41">
        <v>5</v>
      </c>
      <c r="T41" t="s">
        <v>2071</v>
      </c>
      <c r="U41">
        <v>3</v>
      </c>
    </row>
    <row r="42" spans="1:21" x14ac:dyDescent="0.3">
      <c r="A42" t="s">
        <v>1292</v>
      </c>
      <c r="B42" t="s">
        <v>1021</v>
      </c>
      <c r="C42">
        <v>126</v>
      </c>
      <c r="D42" t="s">
        <v>1029</v>
      </c>
      <c r="E42" s="1">
        <v>45005</v>
      </c>
      <c r="F42">
        <v>96</v>
      </c>
      <c r="G42">
        <v>3.8</v>
      </c>
      <c r="H42">
        <v>2023</v>
      </c>
      <c r="I42" t="s">
        <v>1030</v>
      </c>
      <c r="J42" t="s">
        <v>1031</v>
      </c>
      <c r="K42">
        <v>4</v>
      </c>
      <c r="T42" t="s">
        <v>2071</v>
      </c>
      <c r="U42">
        <v>3</v>
      </c>
    </row>
    <row r="43" spans="1:21" x14ac:dyDescent="0.3">
      <c r="A43" t="s">
        <v>1293</v>
      </c>
      <c r="B43" t="s">
        <v>1021</v>
      </c>
      <c r="C43">
        <v>89</v>
      </c>
      <c r="D43" t="s">
        <v>1024</v>
      </c>
      <c r="E43" s="1">
        <v>45005</v>
      </c>
      <c r="F43">
        <v>96</v>
      </c>
      <c r="G43">
        <v>3.3</v>
      </c>
      <c r="H43">
        <v>2023</v>
      </c>
      <c r="I43" t="s">
        <v>1030</v>
      </c>
      <c r="J43" t="s">
        <v>1019</v>
      </c>
      <c r="K43">
        <v>3</v>
      </c>
      <c r="T43" t="s">
        <v>2071</v>
      </c>
      <c r="U43">
        <v>3</v>
      </c>
    </row>
    <row r="44" spans="1:21" x14ac:dyDescent="0.3">
      <c r="A44" t="s">
        <v>1296</v>
      </c>
      <c r="B44" t="s">
        <v>1021</v>
      </c>
      <c r="C44">
        <v>55</v>
      </c>
      <c r="D44" t="s">
        <v>1017</v>
      </c>
      <c r="E44" s="1">
        <v>45005</v>
      </c>
      <c r="F44">
        <v>99</v>
      </c>
      <c r="G44">
        <v>2.7</v>
      </c>
      <c r="H44">
        <v>2023</v>
      </c>
      <c r="I44" t="s">
        <v>1030</v>
      </c>
      <c r="J44" t="s">
        <v>1034</v>
      </c>
      <c r="K44">
        <v>3</v>
      </c>
      <c r="T44" t="s">
        <v>2071</v>
      </c>
      <c r="U44">
        <v>3</v>
      </c>
    </row>
    <row r="45" spans="1:21" x14ac:dyDescent="0.3">
      <c r="A45" t="s">
        <v>1300</v>
      </c>
      <c r="B45" t="s">
        <v>1021</v>
      </c>
      <c r="C45">
        <v>63</v>
      </c>
      <c r="D45" t="s">
        <v>1042</v>
      </c>
      <c r="E45" s="1">
        <v>45006</v>
      </c>
      <c r="F45">
        <v>148</v>
      </c>
      <c r="G45">
        <v>5</v>
      </c>
      <c r="H45">
        <v>2023</v>
      </c>
      <c r="I45" t="s">
        <v>1033</v>
      </c>
      <c r="J45" t="s">
        <v>1019</v>
      </c>
      <c r="K45">
        <v>5</v>
      </c>
      <c r="T45" t="s">
        <v>2071</v>
      </c>
      <c r="U45">
        <v>3</v>
      </c>
    </row>
    <row r="46" spans="1:21" x14ac:dyDescent="0.3">
      <c r="A46" t="s">
        <v>1320</v>
      </c>
      <c r="B46" t="s">
        <v>1021</v>
      </c>
      <c r="C46">
        <v>113</v>
      </c>
      <c r="D46" t="s">
        <v>1024</v>
      </c>
      <c r="E46" s="1">
        <v>45010</v>
      </c>
      <c r="F46">
        <v>81</v>
      </c>
      <c r="G46">
        <v>3.5</v>
      </c>
      <c r="H46">
        <v>2023</v>
      </c>
      <c r="I46" t="s">
        <v>1062</v>
      </c>
      <c r="J46" t="s">
        <v>1019</v>
      </c>
      <c r="K46">
        <v>4</v>
      </c>
      <c r="T46" t="s">
        <v>2071</v>
      </c>
      <c r="U46">
        <v>3</v>
      </c>
    </row>
    <row r="47" spans="1:21" x14ac:dyDescent="0.3">
      <c r="A47" t="s">
        <v>1321</v>
      </c>
      <c r="B47" t="s">
        <v>1016</v>
      </c>
      <c r="C47">
        <v>160</v>
      </c>
      <c r="D47" t="s">
        <v>1017</v>
      </c>
      <c r="E47" s="1">
        <v>45010</v>
      </c>
      <c r="F47">
        <v>116</v>
      </c>
      <c r="G47">
        <v>3.4</v>
      </c>
      <c r="H47">
        <v>2023</v>
      </c>
      <c r="I47" t="s">
        <v>1062</v>
      </c>
      <c r="J47" t="s">
        <v>1031</v>
      </c>
      <c r="K47">
        <v>3</v>
      </c>
      <c r="T47" t="s">
        <v>2071</v>
      </c>
      <c r="U47">
        <v>3</v>
      </c>
    </row>
    <row r="48" spans="1:21" x14ac:dyDescent="0.3">
      <c r="A48" t="s">
        <v>1326</v>
      </c>
      <c r="B48" t="s">
        <v>1021</v>
      </c>
      <c r="C48">
        <v>103</v>
      </c>
      <c r="D48" t="s">
        <v>1017</v>
      </c>
      <c r="E48" s="1">
        <v>45011</v>
      </c>
      <c r="F48">
        <v>42</v>
      </c>
      <c r="G48">
        <v>2.8</v>
      </c>
      <c r="H48">
        <v>2023</v>
      </c>
      <c r="I48" t="s">
        <v>1018</v>
      </c>
      <c r="J48" t="s">
        <v>1019</v>
      </c>
      <c r="K48">
        <v>3</v>
      </c>
      <c r="T48" t="s">
        <v>2071</v>
      </c>
      <c r="U48">
        <v>3</v>
      </c>
    </row>
    <row r="49" spans="1:21" x14ac:dyDescent="0.3">
      <c r="A49" t="s">
        <v>1333</v>
      </c>
      <c r="B49" t="s">
        <v>1021</v>
      </c>
      <c r="C49">
        <v>127</v>
      </c>
      <c r="D49" t="s">
        <v>1024</v>
      </c>
      <c r="E49" s="1">
        <v>45013</v>
      </c>
      <c r="F49">
        <v>99</v>
      </c>
      <c r="G49">
        <v>3.9</v>
      </c>
      <c r="H49">
        <v>2023</v>
      </c>
      <c r="I49" t="s">
        <v>1033</v>
      </c>
      <c r="J49" t="s">
        <v>1031</v>
      </c>
      <c r="K49">
        <v>4</v>
      </c>
      <c r="T49" t="s">
        <v>2071</v>
      </c>
      <c r="U49">
        <v>3</v>
      </c>
    </row>
    <row r="50" spans="1:21" x14ac:dyDescent="0.3">
      <c r="A50" t="s">
        <v>1346</v>
      </c>
      <c r="B50" t="s">
        <v>1016</v>
      </c>
      <c r="C50">
        <v>60</v>
      </c>
      <c r="D50" t="s">
        <v>1024</v>
      </c>
      <c r="E50" s="1">
        <v>45017</v>
      </c>
      <c r="F50">
        <v>215</v>
      </c>
      <c r="G50">
        <v>3.2</v>
      </c>
      <c r="H50">
        <v>2023</v>
      </c>
      <c r="I50" t="s">
        <v>1062</v>
      </c>
      <c r="J50" t="s">
        <v>1034</v>
      </c>
      <c r="K50">
        <v>3</v>
      </c>
      <c r="T50" t="s">
        <v>2072</v>
      </c>
      <c r="U50">
        <v>4</v>
      </c>
    </row>
    <row r="51" spans="1:21" x14ac:dyDescent="0.3">
      <c r="A51" t="s">
        <v>1352</v>
      </c>
      <c r="B51" t="s">
        <v>1021</v>
      </c>
      <c r="C51">
        <v>95</v>
      </c>
      <c r="D51" t="s">
        <v>1042</v>
      </c>
      <c r="E51" s="1">
        <v>45018</v>
      </c>
      <c r="F51">
        <v>52</v>
      </c>
      <c r="G51">
        <v>1.2</v>
      </c>
      <c r="H51">
        <v>2023</v>
      </c>
      <c r="I51" t="s">
        <v>1018</v>
      </c>
      <c r="J51" t="s">
        <v>1019</v>
      </c>
      <c r="K51">
        <v>1</v>
      </c>
      <c r="T51" t="s">
        <v>2072</v>
      </c>
      <c r="U51">
        <v>4</v>
      </c>
    </row>
    <row r="52" spans="1:21" x14ac:dyDescent="0.3">
      <c r="A52" t="s">
        <v>1371</v>
      </c>
      <c r="B52" t="s">
        <v>1021</v>
      </c>
      <c r="C52">
        <v>75</v>
      </c>
      <c r="D52" t="s">
        <v>1024</v>
      </c>
      <c r="E52" s="1">
        <v>45023</v>
      </c>
      <c r="F52">
        <v>84</v>
      </c>
      <c r="G52">
        <v>2.8</v>
      </c>
      <c r="H52">
        <v>2023</v>
      </c>
      <c r="I52" t="s">
        <v>411</v>
      </c>
      <c r="J52" t="s">
        <v>1019</v>
      </c>
      <c r="K52">
        <v>3</v>
      </c>
      <c r="T52" t="s">
        <v>2072</v>
      </c>
      <c r="U52">
        <v>4</v>
      </c>
    </row>
    <row r="53" spans="1:21" x14ac:dyDescent="0.3">
      <c r="A53" t="s">
        <v>1383</v>
      </c>
      <c r="B53" t="s">
        <v>1021</v>
      </c>
      <c r="C53">
        <v>69</v>
      </c>
      <c r="D53" t="s">
        <v>1024</v>
      </c>
      <c r="E53" s="1">
        <v>45025</v>
      </c>
      <c r="F53">
        <v>132</v>
      </c>
      <c r="G53">
        <v>5</v>
      </c>
      <c r="H53">
        <v>2023</v>
      </c>
      <c r="I53" t="s">
        <v>1018</v>
      </c>
      <c r="J53" t="s">
        <v>1019</v>
      </c>
      <c r="K53">
        <v>5</v>
      </c>
      <c r="T53" t="s">
        <v>2072</v>
      </c>
      <c r="U53">
        <v>4</v>
      </c>
    </row>
    <row r="54" spans="1:21" x14ac:dyDescent="0.3">
      <c r="A54" t="s">
        <v>1413</v>
      </c>
      <c r="B54" t="s">
        <v>1021</v>
      </c>
      <c r="C54">
        <v>21</v>
      </c>
      <c r="D54" t="s">
        <v>1038</v>
      </c>
      <c r="E54" s="1">
        <v>45032</v>
      </c>
      <c r="F54">
        <v>74</v>
      </c>
      <c r="G54">
        <v>4.5999999999999996</v>
      </c>
      <c r="H54">
        <v>2023</v>
      </c>
      <c r="I54" t="s">
        <v>1018</v>
      </c>
      <c r="J54" t="s">
        <v>1056</v>
      </c>
      <c r="K54">
        <v>5</v>
      </c>
      <c r="T54" t="s">
        <v>2072</v>
      </c>
      <c r="U54">
        <v>4</v>
      </c>
    </row>
    <row r="55" spans="1:21" x14ac:dyDescent="0.3">
      <c r="A55" t="s">
        <v>1415</v>
      </c>
      <c r="B55" t="s">
        <v>1016</v>
      </c>
      <c r="C55">
        <v>135</v>
      </c>
      <c r="D55" t="s">
        <v>1024</v>
      </c>
      <c r="E55" s="1">
        <v>45032</v>
      </c>
      <c r="F55">
        <v>185</v>
      </c>
      <c r="G55">
        <v>4.5</v>
      </c>
      <c r="H55">
        <v>2023</v>
      </c>
      <c r="I55" t="s">
        <v>1018</v>
      </c>
      <c r="J55" t="s">
        <v>1031</v>
      </c>
      <c r="K55">
        <v>5</v>
      </c>
      <c r="T55" t="s">
        <v>2072</v>
      </c>
      <c r="U55">
        <v>4</v>
      </c>
    </row>
    <row r="56" spans="1:21" x14ac:dyDescent="0.3">
      <c r="A56" t="s">
        <v>1426</v>
      </c>
      <c r="B56" t="s">
        <v>1021</v>
      </c>
      <c r="C56">
        <v>90</v>
      </c>
      <c r="D56" t="s">
        <v>1024</v>
      </c>
      <c r="E56" s="1">
        <v>45035</v>
      </c>
      <c r="F56">
        <v>99</v>
      </c>
      <c r="G56">
        <v>4.9000000000000004</v>
      </c>
      <c r="H56">
        <v>2023</v>
      </c>
      <c r="I56" t="s">
        <v>1048</v>
      </c>
      <c r="J56" t="s">
        <v>1019</v>
      </c>
      <c r="K56">
        <v>5</v>
      </c>
      <c r="T56" t="s">
        <v>2072</v>
      </c>
      <c r="U56">
        <v>4</v>
      </c>
    </row>
    <row r="57" spans="1:21" x14ac:dyDescent="0.3">
      <c r="A57" t="s">
        <v>1427</v>
      </c>
      <c r="B57" t="s">
        <v>1016</v>
      </c>
      <c r="C57">
        <v>120</v>
      </c>
      <c r="D57" t="s">
        <v>1042</v>
      </c>
      <c r="E57" s="1">
        <v>45035</v>
      </c>
      <c r="F57">
        <v>26</v>
      </c>
      <c r="G57">
        <v>4</v>
      </c>
      <c r="H57">
        <v>2023</v>
      </c>
      <c r="I57" t="s">
        <v>1048</v>
      </c>
      <c r="J57" t="s">
        <v>1019</v>
      </c>
      <c r="K57">
        <v>4</v>
      </c>
      <c r="T57" t="s">
        <v>2072</v>
      </c>
      <c r="U57">
        <v>4</v>
      </c>
    </row>
    <row r="58" spans="1:21" x14ac:dyDescent="0.3">
      <c r="A58" t="s">
        <v>1434</v>
      </c>
      <c r="B58" t="s">
        <v>1021</v>
      </c>
      <c r="C58">
        <v>82</v>
      </c>
      <c r="D58" t="s">
        <v>1017</v>
      </c>
      <c r="E58" s="1">
        <v>45037</v>
      </c>
      <c r="F58">
        <v>144</v>
      </c>
      <c r="G58">
        <v>3.3</v>
      </c>
      <c r="H58">
        <v>2023</v>
      </c>
      <c r="I58" t="s">
        <v>411</v>
      </c>
      <c r="J58" t="s">
        <v>1019</v>
      </c>
      <c r="K58">
        <v>3</v>
      </c>
      <c r="T58" t="s">
        <v>2072</v>
      </c>
      <c r="U58">
        <v>4</v>
      </c>
    </row>
    <row r="59" spans="1:21" x14ac:dyDescent="0.3">
      <c r="A59" t="s">
        <v>1439</v>
      </c>
      <c r="B59" t="s">
        <v>1021</v>
      </c>
      <c r="C59">
        <v>123</v>
      </c>
      <c r="D59" t="s">
        <v>1029</v>
      </c>
      <c r="E59" s="1">
        <v>45037</v>
      </c>
      <c r="F59">
        <v>120</v>
      </c>
      <c r="G59">
        <v>4.2</v>
      </c>
      <c r="H59">
        <v>2023</v>
      </c>
      <c r="I59" t="s">
        <v>411</v>
      </c>
      <c r="J59" t="s">
        <v>1031</v>
      </c>
      <c r="K59">
        <v>4</v>
      </c>
      <c r="T59" t="s">
        <v>2072</v>
      </c>
      <c r="U59">
        <v>4</v>
      </c>
    </row>
    <row r="60" spans="1:21" x14ac:dyDescent="0.3">
      <c r="A60" t="s">
        <v>1441</v>
      </c>
      <c r="B60" t="s">
        <v>1021</v>
      </c>
      <c r="C60">
        <v>43</v>
      </c>
      <c r="D60" t="s">
        <v>1029</v>
      </c>
      <c r="E60" s="1">
        <v>45038</v>
      </c>
      <c r="F60">
        <v>128</v>
      </c>
      <c r="G60">
        <v>4.7</v>
      </c>
      <c r="H60">
        <v>2023</v>
      </c>
      <c r="I60" t="s">
        <v>1062</v>
      </c>
      <c r="J60" t="s">
        <v>1034</v>
      </c>
      <c r="K60">
        <v>5</v>
      </c>
      <c r="T60" t="s">
        <v>2072</v>
      </c>
      <c r="U60">
        <v>4</v>
      </c>
    </row>
    <row r="61" spans="1:21" x14ac:dyDescent="0.3">
      <c r="A61" t="s">
        <v>1444</v>
      </c>
      <c r="B61" t="s">
        <v>1021</v>
      </c>
      <c r="C61">
        <v>113</v>
      </c>
      <c r="D61" t="s">
        <v>1029</v>
      </c>
      <c r="E61" s="1">
        <v>45038</v>
      </c>
      <c r="F61">
        <v>145</v>
      </c>
      <c r="G61">
        <v>4</v>
      </c>
      <c r="H61">
        <v>2023</v>
      </c>
      <c r="I61" t="s">
        <v>1062</v>
      </c>
      <c r="J61" t="s">
        <v>1019</v>
      </c>
      <c r="K61">
        <v>4</v>
      </c>
      <c r="T61" t="s">
        <v>2072</v>
      </c>
      <c r="U61">
        <v>4</v>
      </c>
    </row>
    <row r="62" spans="1:21" x14ac:dyDescent="0.3">
      <c r="A62" t="s">
        <v>1450</v>
      </c>
      <c r="B62" t="s">
        <v>1021</v>
      </c>
      <c r="C62">
        <v>50</v>
      </c>
      <c r="D62" t="s">
        <v>1029</v>
      </c>
      <c r="E62" s="1">
        <v>45039</v>
      </c>
      <c r="F62">
        <v>56</v>
      </c>
      <c r="G62">
        <v>4.7</v>
      </c>
      <c r="H62">
        <v>2023</v>
      </c>
      <c r="I62" t="s">
        <v>1018</v>
      </c>
      <c r="J62" t="s">
        <v>1034</v>
      </c>
      <c r="K62">
        <v>5</v>
      </c>
      <c r="T62" t="s">
        <v>2072</v>
      </c>
      <c r="U62">
        <v>4</v>
      </c>
    </row>
    <row r="63" spans="1:21" x14ac:dyDescent="0.3">
      <c r="A63" t="s">
        <v>1452</v>
      </c>
      <c r="B63" t="s">
        <v>1021</v>
      </c>
      <c r="C63">
        <v>139</v>
      </c>
      <c r="D63" t="s">
        <v>1024</v>
      </c>
      <c r="E63" s="1">
        <v>45040</v>
      </c>
      <c r="F63">
        <v>81</v>
      </c>
      <c r="G63">
        <v>4.8</v>
      </c>
      <c r="H63">
        <v>2023</v>
      </c>
      <c r="I63" t="s">
        <v>1030</v>
      </c>
      <c r="J63" t="s">
        <v>1031</v>
      </c>
      <c r="K63">
        <v>5</v>
      </c>
      <c r="T63" t="s">
        <v>2072</v>
      </c>
      <c r="U63">
        <v>4</v>
      </c>
    </row>
    <row r="64" spans="1:21" x14ac:dyDescent="0.3">
      <c r="A64" t="s">
        <v>1460</v>
      </c>
      <c r="B64" t="s">
        <v>1016</v>
      </c>
      <c r="C64">
        <v>129</v>
      </c>
      <c r="D64" t="s">
        <v>1042</v>
      </c>
      <c r="E64" s="1">
        <v>45041</v>
      </c>
      <c r="F64">
        <v>144</v>
      </c>
      <c r="G64">
        <v>4.0999999999999996</v>
      </c>
      <c r="H64">
        <v>2023</v>
      </c>
      <c r="I64" t="s">
        <v>1033</v>
      </c>
      <c r="J64" t="s">
        <v>1031</v>
      </c>
      <c r="K64">
        <v>4</v>
      </c>
      <c r="T64" t="s">
        <v>2072</v>
      </c>
      <c r="U64">
        <v>4</v>
      </c>
    </row>
    <row r="65" spans="1:21" x14ac:dyDescent="0.3">
      <c r="A65" t="s">
        <v>1470</v>
      </c>
      <c r="B65" t="s">
        <v>1016</v>
      </c>
      <c r="C65">
        <v>113</v>
      </c>
      <c r="D65" t="s">
        <v>1038</v>
      </c>
      <c r="E65" s="1">
        <v>45043</v>
      </c>
      <c r="F65">
        <v>42</v>
      </c>
      <c r="G65">
        <v>4.5999999999999996</v>
      </c>
      <c r="H65">
        <v>2023</v>
      </c>
      <c r="I65" t="s">
        <v>1052</v>
      </c>
      <c r="J65" t="s">
        <v>1019</v>
      </c>
      <c r="K65">
        <v>5</v>
      </c>
      <c r="T65" t="s">
        <v>2072</v>
      </c>
      <c r="U65">
        <v>4</v>
      </c>
    </row>
    <row r="66" spans="1:21" x14ac:dyDescent="0.3">
      <c r="A66" t="s">
        <v>1484</v>
      </c>
      <c r="B66" t="s">
        <v>1021</v>
      </c>
      <c r="C66">
        <v>112</v>
      </c>
      <c r="D66" t="s">
        <v>1042</v>
      </c>
      <c r="E66" s="1">
        <v>45047</v>
      </c>
      <c r="F66">
        <v>84</v>
      </c>
      <c r="G66">
        <v>2.6</v>
      </c>
      <c r="H66">
        <v>2023</v>
      </c>
      <c r="I66" t="s">
        <v>1030</v>
      </c>
      <c r="J66" t="s">
        <v>1019</v>
      </c>
      <c r="K66">
        <v>3</v>
      </c>
      <c r="T66" t="s">
        <v>2073</v>
      </c>
      <c r="U66">
        <v>5</v>
      </c>
    </row>
    <row r="67" spans="1:21" x14ac:dyDescent="0.3">
      <c r="A67" t="s">
        <v>1488</v>
      </c>
      <c r="B67" t="s">
        <v>1016</v>
      </c>
      <c r="C67">
        <v>135</v>
      </c>
      <c r="D67" t="s">
        <v>1038</v>
      </c>
      <c r="E67" s="1">
        <v>45048</v>
      </c>
      <c r="F67">
        <v>104</v>
      </c>
      <c r="G67">
        <v>4.0999999999999996</v>
      </c>
      <c r="H67">
        <v>2023</v>
      </c>
      <c r="I67" t="s">
        <v>1033</v>
      </c>
      <c r="J67" t="s">
        <v>1031</v>
      </c>
      <c r="K67">
        <v>4</v>
      </c>
      <c r="T67" t="s">
        <v>2073</v>
      </c>
      <c r="U67">
        <v>5</v>
      </c>
    </row>
    <row r="68" spans="1:21" x14ac:dyDescent="0.3">
      <c r="A68" t="s">
        <v>1491</v>
      </c>
      <c r="B68" t="s">
        <v>1016</v>
      </c>
      <c r="C68">
        <v>96</v>
      </c>
      <c r="D68" t="s">
        <v>1024</v>
      </c>
      <c r="E68" s="1">
        <v>45049</v>
      </c>
      <c r="F68">
        <v>46</v>
      </c>
      <c r="G68">
        <v>0.7</v>
      </c>
      <c r="H68">
        <v>2023</v>
      </c>
      <c r="I68" t="s">
        <v>1048</v>
      </c>
      <c r="J68" t="s">
        <v>1019</v>
      </c>
      <c r="K68">
        <v>1</v>
      </c>
      <c r="T68" t="s">
        <v>2073</v>
      </c>
      <c r="U68">
        <v>5</v>
      </c>
    </row>
    <row r="69" spans="1:21" x14ac:dyDescent="0.3">
      <c r="A69" t="s">
        <v>1493</v>
      </c>
      <c r="B69" t="s">
        <v>1016</v>
      </c>
      <c r="C69">
        <v>91</v>
      </c>
      <c r="D69" t="s">
        <v>1042</v>
      </c>
      <c r="E69" s="1">
        <v>45049</v>
      </c>
      <c r="F69">
        <v>124</v>
      </c>
      <c r="G69">
        <v>3.9</v>
      </c>
      <c r="H69">
        <v>2023</v>
      </c>
      <c r="I69" t="s">
        <v>1048</v>
      </c>
      <c r="J69" t="s">
        <v>1019</v>
      </c>
      <c r="K69">
        <v>4</v>
      </c>
      <c r="T69" t="s">
        <v>2073</v>
      </c>
      <c r="U69">
        <v>5</v>
      </c>
    </row>
    <row r="70" spans="1:21" x14ac:dyDescent="0.3">
      <c r="A70" t="s">
        <v>1501</v>
      </c>
      <c r="B70" t="s">
        <v>1016</v>
      </c>
      <c r="C70">
        <v>52</v>
      </c>
      <c r="D70" t="s">
        <v>1024</v>
      </c>
      <c r="E70" s="1">
        <v>45054</v>
      </c>
      <c r="F70">
        <v>37</v>
      </c>
      <c r="G70">
        <v>4.9000000000000004</v>
      </c>
      <c r="H70">
        <v>2023</v>
      </c>
      <c r="I70" t="s">
        <v>1030</v>
      </c>
      <c r="J70" t="s">
        <v>1034</v>
      </c>
      <c r="K70">
        <v>5</v>
      </c>
      <c r="T70" t="s">
        <v>2073</v>
      </c>
      <c r="U70">
        <v>5</v>
      </c>
    </row>
    <row r="71" spans="1:21" x14ac:dyDescent="0.3">
      <c r="A71" t="s">
        <v>1502</v>
      </c>
      <c r="B71" t="s">
        <v>1021</v>
      </c>
      <c r="C71">
        <v>31</v>
      </c>
      <c r="D71" t="s">
        <v>1029</v>
      </c>
      <c r="E71" s="1">
        <v>45054</v>
      </c>
      <c r="F71">
        <v>180</v>
      </c>
      <c r="G71">
        <v>4.5</v>
      </c>
      <c r="H71">
        <v>2023</v>
      </c>
      <c r="I71" t="s">
        <v>1030</v>
      </c>
      <c r="J71" t="s">
        <v>1034</v>
      </c>
      <c r="K71">
        <v>5</v>
      </c>
      <c r="T71" t="s">
        <v>2073</v>
      </c>
      <c r="U71">
        <v>5</v>
      </c>
    </row>
    <row r="72" spans="1:21" x14ac:dyDescent="0.3">
      <c r="A72" t="s">
        <v>1503</v>
      </c>
      <c r="B72" t="s">
        <v>1016</v>
      </c>
      <c r="C72">
        <v>114</v>
      </c>
      <c r="D72" t="s">
        <v>1042</v>
      </c>
      <c r="E72" s="1">
        <v>45054</v>
      </c>
      <c r="F72">
        <v>105</v>
      </c>
      <c r="G72">
        <v>4.9000000000000004</v>
      </c>
      <c r="H72">
        <v>2023</v>
      </c>
      <c r="I72" t="s">
        <v>1030</v>
      </c>
      <c r="J72" t="s">
        <v>1019</v>
      </c>
      <c r="K72">
        <v>5</v>
      </c>
      <c r="T72" t="s">
        <v>2073</v>
      </c>
      <c r="U72">
        <v>5</v>
      </c>
    </row>
    <row r="73" spans="1:21" x14ac:dyDescent="0.3">
      <c r="A73" t="s">
        <v>1517</v>
      </c>
      <c r="B73" t="s">
        <v>1021</v>
      </c>
      <c r="C73">
        <v>154</v>
      </c>
      <c r="D73" t="s">
        <v>1029</v>
      </c>
      <c r="E73" s="1">
        <v>45061</v>
      </c>
      <c r="F73">
        <v>84</v>
      </c>
      <c r="G73">
        <v>4.3</v>
      </c>
      <c r="H73">
        <v>2023</v>
      </c>
      <c r="I73" t="s">
        <v>1030</v>
      </c>
      <c r="J73" t="s">
        <v>1031</v>
      </c>
      <c r="K73">
        <v>4</v>
      </c>
      <c r="T73" t="s">
        <v>2073</v>
      </c>
      <c r="U73">
        <v>5</v>
      </c>
    </row>
    <row r="74" spans="1:21" x14ac:dyDescent="0.3">
      <c r="A74" t="s">
        <v>1526</v>
      </c>
      <c r="B74" t="s">
        <v>1021</v>
      </c>
      <c r="C74">
        <v>67</v>
      </c>
      <c r="D74" t="s">
        <v>1029</v>
      </c>
      <c r="E74" s="1">
        <v>45067</v>
      </c>
      <c r="F74">
        <v>129</v>
      </c>
      <c r="G74">
        <v>4.7</v>
      </c>
      <c r="H74">
        <v>2023</v>
      </c>
      <c r="I74" t="s">
        <v>1018</v>
      </c>
      <c r="J74" t="s">
        <v>1019</v>
      </c>
      <c r="K74">
        <v>5</v>
      </c>
      <c r="T74" t="s">
        <v>2073</v>
      </c>
      <c r="U74">
        <v>5</v>
      </c>
    </row>
    <row r="75" spans="1:21" x14ac:dyDescent="0.3">
      <c r="A75" t="s">
        <v>1535</v>
      </c>
      <c r="B75" t="s">
        <v>1021</v>
      </c>
      <c r="C75">
        <v>117</v>
      </c>
      <c r="D75" t="s">
        <v>1038</v>
      </c>
      <c r="E75" s="1">
        <v>45069</v>
      </c>
      <c r="F75">
        <v>88</v>
      </c>
      <c r="G75">
        <v>4.7</v>
      </c>
      <c r="H75">
        <v>2023</v>
      </c>
      <c r="I75" t="s">
        <v>1033</v>
      </c>
      <c r="J75" t="s">
        <v>1019</v>
      </c>
      <c r="K75">
        <v>5</v>
      </c>
      <c r="T75" t="s">
        <v>2073</v>
      </c>
      <c r="U75">
        <v>5</v>
      </c>
    </row>
    <row r="76" spans="1:21" x14ac:dyDescent="0.3">
      <c r="A76" t="s">
        <v>1553</v>
      </c>
      <c r="B76" t="s">
        <v>1016</v>
      </c>
      <c r="C76">
        <v>55</v>
      </c>
      <c r="D76" t="s">
        <v>1029</v>
      </c>
      <c r="E76" s="1">
        <v>45074</v>
      </c>
      <c r="F76">
        <v>145</v>
      </c>
      <c r="G76">
        <v>4.5</v>
      </c>
      <c r="H76">
        <v>2023</v>
      </c>
      <c r="I76" t="s">
        <v>1018</v>
      </c>
      <c r="J76" t="s">
        <v>1034</v>
      </c>
      <c r="K76">
        <v>5</v>
      </c>
      <c r="T76" t="s">
        <v>2073</v>
      </c>
      <c r="U76">
        <v>5</v>
      </c>
    </row>
    <row r="77" spans="1:21" x14ac:dyDescent="0.3">
      <c r="A77" t="s">
        <v>1574</v>
      </c>
      <c r="B77" t="s">
        <v>1021</v>
      </c>
      <c r="C77">
        <v>138</v>
      </c>
      <c r="D77" t="s">
        <v>1024</v>
      </c>
      <c r="E77" s="1">
        <v>45082</v>
      </c>
      <c r="F77">
        <v>29</v>
      </c>
      <c r="G77">
        <v>4.4000000000000004</v>
      </c>
      <c r="H77">
        <v>2023</v>
      </c>
      <c r="I77" t="s">
        <v>1030</v>
      </c>
      <c r="J77" t="s">
        <v>1031</v>
      </c>
      <c r="K77">
        <v>4</v>
      </c>
      <c r="T77" t="s">
        <v>2074</v>
      </c>
      <c r="U77">
        <v>6</v>
      </c>
    </row>
    <row r="78" spans="1:21" x14ac:dyDescent="0.3">
      <c r="A78" t="s">
        <v>1577</v>
      </c>
      <c r="B78" t="s">
        <v>1021</v>
      </c>
      <c r="C78">
        <v>101</v>
      </c>
      <c r="D78" t="s">
        <v>1029</v>
      </c>
      <c r="E78" s="1">
        <v>45085</v>
      </c>
      <c r="F78">
        <v>132</v>
      </c>
      <c r="G78">
        <v>4.3</v>
      </c>
      <c r="H78">
        <v>2023</v>
      </c>
      <c r="I78" t="s">
        <v>1052</v>
      </c>
      <c r="J78" t="s">
        <v>1019</v>
      </c>
      <c r="K78">
        <v>4</v>
      </c>
      <c r="T78" t="s">
        <v>2074</v>
      </c>
      <c r="U78">
        <v>6</v>
      </c>
    </row>
    <row r="79" spans="1:21" x14ac:dyDescent="0.3">
      <c r="A79" t="s">
        <v>1585</v>
      </c>
      <c r="B79" t="s">
        <v>1016</v>
      </c>
      <c r="C79">
        <v>141</v>
      </c>
      <c r="D79" t="s">
        <v>1029</v>
      </c>
      <c r="E79" s="1">
        <v>45088</v>
      </c>
      <c r="F79">
        <v>100</v>
      </c>
      <c r="G79">
        <v>4.5999999999999996</v>
      </c>
      <c r="H79">
        <v>2023</v>
      </c>
      <c r="I79" t="s">
        <v>1018</v>
      </c>
      <c r="J79" t="s">
        <v>1031</v>
      </c>
      <c r="K79">
        <v>5</v>
      </c>
      <c r="T79" t="s">
        <v>2074</v>
      </c>
      <c r="U79">
        <v>6</v>
      </c>
    </row>
    <row r="80" spans="1:21" x14ac:dyDescent="0.3">
      <c r="A80" t="s">
        <v>1591</v>
      </c>
      <c r="B80" t="s">
        <v>1021</v>
      </c>
      <c r="C80">
        <v>70</v>
      </c>
      <c r="D80" t="s">
        <v>1042</v>
      </c>
      <c r="E80" s="1">
        <v>45092</v>
      </c>
      <c r="F80">
        <v>116</v>
      </c>
      <c r="G80">
        <v>3.2</v>
      </c>
      <c r="H80">
        <v>2023</v>
      </c>
      <c r="I80" t="s">
        <v>1052</v>
      </c>
      <c r="J80" t="s">
        <v>1019</v>
      </c>
      <c r="K80">
        <v>3</v>
      </c>
      <c r="T80" t="s">
        <v>2074</v>
      </c>
      <c r="U80">
        <v>6</v>
      </c>
    </row>
    <row r="81" spans="1:21" x14ac:dyDescent="0.3">
      <c r="A81" t="s">
        <v>1598</v>
      </c>
      <c r="B81" t="s">
        <v>1016</v>
      </c>
      <c r="C81">
        <v>106</v>
      </c>
      <c r="D81" t="s">
        <v>1038</v>
      </c>
      <c r="E81" s="1">
        <v>45094</v>
      </c>
      <c r="F81">
        <v>112</v>
      </c>
      <c r="G81">
        <v>3.7</v>
      </c>
      <c r="H81">
        <v>2023</v>
      </c>
      <c r="I81" t="s">
        <v>1062</v>
      </c>
      <c r="J81" t="s">
        <v>1019</v>
      </c>
      <c r="K81">
        <v>4</v>
      </c>
      <c r="T81" t="s">
        <v>2074</v>
      </c>
      <c r="U81">
        <v>6</v>
      </c>
    </row>
    <row r="82" spans="1:21" x14ac:dyDescent="0.3">
      <c r="A82" t="s">
        <v>1623</v>
      </c>
      <c r="B82" t="s">
        <v>1021</v>
      </c>
      <c r="C82">
        <v>132</v>
      </c>
      <c r="D82" t="s">
        <v>1038</v>
      </c>
      <c r="E82" s="1">
        <v>45104</v>
      </c>
      <c r="F82">
        <v>42</v>
      </c>
      <c r="G82">
        <v>5</v>
      </c>
      <c r="H82">
        <v>2023</v>
      </c>
      <c r="I82" t="s">
        <v>1033</v>
      </c>
      <c r="J82" t="s">
        <v>1031</v>
      </c>
      <c r="K82">
        <v>5</v>
      </c>
      <c r="T82" t="s">
        <v>2074</v>
      </c>
      <c r="U82">
        <v>6</v>
      </c>
    </row>
    <row r="83" spans="1:21" x14ac:dyDescent="0.3">
      <c r="A83" t="s">
        <v>1641</v>
      </c>
      <c r="B83" t="s">
        <v>1021</v>
      </c>
      <c r="C83">
        <v>57</v>
      </c>
      <c r="D83" t="s">
        <v>1017</v>
      </c>
      <c r="E83" s="1">
        <v>45112</v>
      </c>
      <c r="F83">
        <v>120</v>
      </c>
      <c r="G83">
        <v>3.5</v>
      </c>
      <c r="H83">
        <v>2024</v>
      </c>
      <c r="I83" t="s">
        <v>1048</v>
      </c>
      <c r="J83" t="s">
        <v>1034</v>
      </c>
      <c r="K83">
        <v>4</v>
      </c>
      <c r="T83" t="s">
        <v>2075</v>
      </c>
      <c r="U83">
        <v>7</v>
      </c>
    </row>
    <row r="84" spans="1:21" x14ac:dyDescent="0.3">
      <c r="A84" t="s">
        <v>1644</v>
      </c>
      <c r="B84" t="s">
        <v>1016</v>
      </c>
      <c r="C84">
        <v>102</v>
      </c>
      <c r="D84" t="s">
        <v>1017</v>
      </c>
      <c r="E84" s="1">
        <v>45113</v>
      </c>
      <c r="F84">
        <v>70</v>
      </c>
      <c r="G84">
        <v>2.8</v>
      </c>
      <c r="H84">
        <v>2024</v>
      </c>
      <c r="I84" t="s">
        <v>1052</v>
      </c>
      <c r="J84" t="s">
        <v>1019</v>
      </c>
      <c r="K84">
        <v>3</v>
      </c>
      <c r="T84" t="s">
        <v>2075</v>
      </c>
      <c r="U84">
        <v>7</v>
      </c>
    </row>
    <row r="85" spans="1:21" x14ac:dyDescent="0.3">
      <c r="A85" t="s">
        <v>1651</v>
      </c>
      <c r="B85" t="s">
        <v>1021</v>
      </c>
      <c r="C85">
        <v>50</v>
      </c>
      <c r="D85" t="s">
        <v>1017</v>
      </c>
      <c r="E85" s="1">
        <v>45115</v>
      </c>
      <c r="F85">
        <v>40</v>
      </c>
      <c r="G85">
        <v>5</v>
      </c>
      <c r="H85">
        <v>2024</v>
      </c>
      <c r="I85" t="s">
        <v>1062</v>
      </c>
      <c r="J85" t="s">
        <v>1034</v>
      </c>
      <c r="K85">
        <v>5</v>
      </c>
      <c r="T85" t="s">
        <v>2075</v>
      </c>
      <c r="U85">
        <v>7</v>
      </c>
    </row>
    <row r="86" spans="1:21" x14ac:dyDescent="0.3">
      <c r="A86" t="s">
        <v>1663</v>
      </c>
      <c r="B86" t="s">
        <v>1021</v>
      </c>
      <c r="C86">
        <v>31</v>
      </c>
      <c r="D86" t="s">
        <v>1017</v>
      </c>
      <c r="E86" s="1">
        <v>45121</v>
      </c>
      <c r="F86">
        <v>84</v>
      </c>
      <c r="G86">
        <v>4.8</v>
      </c>
      <c r="H86">
        <v>2024</v>
      </c>
      <c r="I86" t="s">
        <v>411</v>
      </c>
      <c r="J86" t="s">
        <v>1034</v>
      </c>
      <c r="K86">
        <v>5</v>
      </c>
      <c r="T86" t="s">
        <v>2075</v>
      </c>
      <c r="U86">
        <v>7</v>
      </c>
    </row>
    <row r="87" spans="1:21" x14ac:dyDescent="0.3">
      <c r="A87" t="s">
        <v>1666</v>
      </c>
      <c r="B87" t="s">
        <v>1021</v>
      </c>
      <c r="C87">
        <v>80</v>
      </c>
      <c r="D87" t="s">
        <v>1029</v>
      </c>
      <c r="E87" s="1">
        <v>45123</v>
      </c>
      <c r="F87">
        <v>88</v>
      </c>
      <c r="G87">
        <v>4.9000000000000004</v>
      </c>
      <c r="H87">
        <v>2024</v>
      </c>
      <c r="I87" t="s">
        <v>1018</v>
      </c>
      <c r="J87" t="s">
        <v>1019</v>
      </c>
      <c r="K87">
        <v>5</v>
      </c>
      <c r="T87" t="s">
        <v>2075</v>
      </c>
      <c r="U87">
        <v>7</v>
      </c>
    </row>
    <row r="88" spans="1:21" x14ac:dyDescent="0.3">
      <c r="A88" t="s">
        <v>1667</v>
      </c>
      <c r="B88" t="s">
        <v>1016</v>
      </c>
      <c r="C88">
        <v>37</v>
      </c>
      <c r="D88" t="s">
        <v>1029</v>
      </c>
      <c r="E88" s="1">
        <v>45123</v>
      </c>
      <c r="F88">
        <v>124</v>
      </c>
      <c r="G88">
        <v>4.5999999999999996</v>
      </c>
      <c r="H88">
        <v>2024</v>
      </c>
      <c r="I88" t="s">
        <v>1018</v>
      </c>
      <c r="J88" t="s">
        <v>1034</v>
      </c>
      <c r="K88">
        <v>5</v>
      </c>
      <c r="T88" t="s">
        <v>2075</v>
      </c>
      <c r="U88">
        <v>7</v>
      </c>
    </row>
    <row r="89" spans="1:21" x14ac:dyDescent="0.3">
      <c r="A89" t="s">
        <v>1671</v>
      </c>
      <c r="B89" t="s">
        <v>1016</v>
      </c>
      <c r="C89">
        <v>76</v>
      </c>
      <c r="D89" t="s">
        <v>1042</v>
      </c>
      <c r="E89" s="1">
        <v>45126</v>
      </c>
      <c r="F89">
        <v>84</v>
      </c>
      <c r="G89">
        <v>3.9</v>
      </c>
      <c r="H89">
        <v>2024</v>
      </c>
      <c r="I89" t="s">
        <v>1048</v>
      </c>
      <c r="J89" t="s">
        <v>1019</v>
      </c>
      <c r="K89">
        <v>4</v>
      </c>
      <c r="T89" t="s">
        <v>2075</v>
      </c>
      <c r="U89">
        <v>7</v>
      </c>
    </row>
    <row r="90" spans="1:21" x14ac:dyDescent="0.3">
      <c r="A90" t="s">
        <v>1672</v>
      </c>
      <c r="B90" t="s">
        <v>1021</v>
      </c>
      <c r="C90">
        <v>144</v>
      </c>
      <c r="D90" t="s">
        <v>1042</v>
      </c>
      <c r="E90" s="1">
        <v>45126</v>
      </c>
      <c r="F90">
        <v>164</v>
      </c>
      <c r="G90">
        <v>2.8</v>
      </c>
      <c r="H90">
        <v>2024</v>
      </c>
      <c r="I90" t="s">
        <v>1048</v>
      </c>
      <c r="J90" t="s">
        <v>1031</v>
      </c>
      <c r="K90">
        <v>3</v>
      </c>
      <c r="T90" t="s">
        <v>2075</v>
      </c>
      <c r="U90">
        <v>7</v>
      </c>
    </row>
    <row r="91" spans="1:21" x14ac:dyDescent="0.3">
      <c r="A91" t="s">
        <v>1675</v>
      </c>
      <c r="B91" t="s">
        <v>1021</v>
      </c>
      <c r="C91">
        <v>56</v>
      </c>
      <c r="D91" t="s">
        <v>1038</v>
      </c>
      <c r="E91" s="1">
        <v>45127</v>
      </c>
      <c r="F91">
        <v>27</v>
      </c>
      <c r="G91">
        <v>4.3</v>
      </c>
      <c r="H91">
        <v>2024</v>
      </c>
      <c r="I91" t="s">
        <v>1052</v>
      </c>
      <c r="J91" t="s">
        <v>1034</v>
      </c>
      <c r="K91">
        <v>4</v>
      </c>
      <c r="T91" t="s">
        <v>2075</v>
      </c>
      <c r="U91">
        <v>7</v>
      </c>
    </row>
    <row r="92" spans="1:21" x14ac:dyDescent="0.3">
      <c r="A92" t="s">
        <v>1676</v>
      </c>
      <c r="B92" t="s">
        <v>1021</v>
      </c>
      <c r="C92">
        <v>121</v>
      </c>
      <c r="D92" t="s">
        <v>1024</v>
      </c>
      <c r="E92" s="1">
        <v>45127</v>
      </c>
      <c r="F92">
        <v>20</v>
      </c>
      <c r="G92">
        <v>2.7</v>
      </c>
      <c r="H92">
        <v>2024</v>
      </c>
      <c r="I92" t="s">
        <v>1052</v>
      </c>
      <c r="J92" t="s">
        <v>1031</v>
      </c>
      <c r="K92">
        <v>3</v>
      </c>
      <c r="T92" t="s">
        <v>2075</v>
      </c>
      <c r="U92">
        <v>7</v>
      </c>
    </row>
    <row r="93" spans="1:21" x14ac:dyDescent="0.3">
      <c r="A93" t="s">
        <v>1684</v>
      </c>
      <c r="B93" t="s">
        <v>1021</v>
      </c>
      <c r="C93">
        <v>138</v>
      </c>
      <c r="D93" t="s">
        <v>1042</v>
      </c>
      <c r="E93" s="1">
        <v>45133</v>
      </c>
      <c r="F93">
        <v>195</v>
      </c>
      <c r="G93">
        <v>4.0999999999999996</v>
      </c>
      <c r="H93">
        <v>2024</v>
      </c>
      <c r="I93" t="s">
        <v>1048</v>
      </c>
      <c r="J93" t="s">
        <v>1031</v>
      </c>
      <c r="K93">
        <v>4</v>
      </c>
      <c r="T93" t="s">
        <v>2075</v>
      </c>
      <c r="U93">
        <v>7</v>
      </c>
    </row>
    <row r="94" spans="1:21" x14ac:dyDescent="0.3">
      <c r="A94" t="s">
        <v>1687</v>
      </c>
      <c r="B94" t="s">
        <v>1016</v>
      </c>
      <c r="C94">
        <v>65</v>
      </c>
      <c r="D94" t="s">
        <v>1017</v>
      </c>
      <c r="E94" s="1">
        <v>45135</v>
      </c>
      <c r="F94">
        <v>70</v>
      </c>
      <c r="G94">
        <v>4.4000000000000004</v>
      </c>
      <c r="H94">
        <v>2024</v>
      </c>
      <c r="I94" t="s">
        <v>411</v>
      </c>
      <c r="J94" t="s">
        <v>1019</v>
      </c>
      <c r="K94">
        <v>4</v>
      </c>
      <c r="T94" t="s">
        <v>2075</v>
      </c>
      <c r="U94">
        <v>7</v>
      </c>
    </row>
    <row r="95" spans="1:21" x14ac:dyDescent="0.3">
      <c r="A95" t="s">
        <v>1689</v>
      </c>
      <c r="B95" t="s">
        <v>1016</v>
      </c>
      <c r="C95">
        <v>107</v>
      </c>
      <c r="D95" t="s">
        <v>1038</v>
      </c>
      <c r="E95" s="1">
        <v>45136</v>
      </c>
      <c r="F95">
        <v>78</v>
      </c>
      <c r="G95">
        <v>3.4</v>
      </c>
      <c r="H95">
        <v>2024</v>
      </c>
      <c r="I95" t="s">
        <v>1062</v>
      </c>
      <c r="J95" t="s">
        <v>1019</v>
      </c>
      <c r="K95">
        <v>3</v>
      </c>
      <c r="T95" t="s">
        <v>2075</v>
      </c>
      <c r="U95">
        <v>7</v>
      </c>
    </row>
    <row r="96" spans="1:21" x14ac:dyDescent="0.3">
      <c r="A96" t="s">
        <v>1692</v>
      </c>
      <c r="B96" t="s">
        <v>1021</v>
      </c>
      <c r="C96">
        <v>58</v>
      </c>
      <c r="D96" t="s">
        <v>1042</v>
      </c>
      <c r="E96" s="1">
        <v>45138</v>
      </c>
      <c r="F96">
        <v>38</v>
      </c>
      <c r="G96">
        <v>4.5</v>
      </c>
      <c r="H96">
        <v>2024</v>
      </c>
      <c r="I96" t="s">
        <v>1030</v>
      </c>
      <c r="J96" t="s">
        <v>1034</v>
      </c>
      <c r="K96">
        <v>5</v>
      </c>
      <c r="T96" t="s">
        <v>2075</v>
      </c>
      <c r="U96">
        <v>7</v>
      </c>
    </row>
    <row r="97" spans="1:21" x14ac:dyDescent="0.3">
      <c r="A97" t="s">
        <v>1708</v>
      </c>
      <c r="B97" t="s">
        <v>1021</v>
      </c>
      <c r="C97">
        <v>130</v>
      </c>
      <c r="D97" t="s">
        <v>1024</v>
      </c>
      <c r="E97" s="1">
        <v>45146</v>
      </c>
      <c r="F97">
        <v>60</v>
      </c>
      <c r="G97">
        <v>2.5</v>
      </c>
      <c r="H97">
        <v>2024</v>
      </c>
      <c r="I97" t="s">
        <v>1033</v>
      </c>
      <c r="J97" t="s">
        <v>1031</v>
      </c>
      <c r="K97">
        <v>3</v>
      </c>
      <c r="T97" t="s">
        <v>2076</v>
      </c>
      <c r="U97">
        <v>8</v>
      </c>
    </row>
    <row r="98" spans="1:21" x14ac:dyDescent="0.3">
      <c r="A98" t="s">
        <v>1711</v>
      </c>
      <c r="B98" t="s">
        <v>1016</v>
      </c>
      <c r="C98">
        <v>63</v>
      </c>
      <c r="D98" t="s">
        <v>1042</v>
      </c>
      <c r="E98" s="1">
        <v>45148</v>
      </c>
      <c r="F98">
        <v>27</v>
      </c>
      <c r="G98">
        <v>3.6</v>
      </c>
      <c r="H98">
        <v>2024</v>
      </c>
      <c r="I98" t="s">
        <v>1052</v>
      </c>
      <c r="J98" t="s">
        <v>1019</v>
      </c>
      <c r="K98">
        <v>4</v>
      </c>
      <c r="T98" t="s">
        <v>2076</v>
      </c>
      <c r="U98">
        <v>8</v>
      </c>
    </row>
    <row r="99" spans="1:21" x14ac:dyDescent="0.3">
      <c r="A99" t="s">
        <v>1716</v>
      </c>
      <c r="B99" t="s">
        <v>1016</v>
      </c>
      <c r="C99">
        <v>128</v>
      </c>
      <c r="D99" t="s">
        <v>1024</v>
      </c>
      <c r="E99" s="1">
        <v>45155</v>
      </c>
      <c r="F99">
        <v>22</v>
      </c>
      <c r="G99">
        <v>1.9</v>
      </c>
      <c r="H99">
        <v>2024</v>
      </c>
      <c r="I99" t="s">
        <v>1052</v>
      </c>
      <c r="J99" t="s">
        <v>1031</v>
      </c>
      <c r="K99">
        <v>2</v>
      </c>
      <c r="T99" t="s">
        <v>2076</v>
      </c>
      <c r="U99">
        <v>8</v>
      </c>
    </row>
    <row r="100" spans="1:21" x14ac:dyDescent="0.3">
      <c r="A100" t="s">
        <v>1744</v>
      </c>
      <c r="B100" t="s">
        <v>1021</v>
      </c>
      <c r="C100">
        <v>51</v>
      </c>
      <c r="D100" t="s">
        <v>1017</v>
      </c>
      <c r="E100" s="1">
        <v>45168</v>
      </c>
      <c r="F100">
        <v>111</v>
      </c>
      <c r="G100">
        <v>4.3</v>
      </c>
      <c r="H100">
        <v>2024</v>
      </c>
      <c r="I100" t="s">
        <v>1048</v>
      </c>
      <c r="J100" t="s">
        <v>1034</v>
      </c>
      <c r="K100">
        <v>4</v>
      </c>
      <c r="T100" t="s">
        <v>2076</v>
      </c>
      <c r="U100">
        <v>8</v>
      </c>
    </row>
    <row r="101" spans="1:21" x14ac:dyDescent="0.3">
      <c r="A101" t="s">
        <v>1745</v>
      </c>
      <c r="B101" t="s">
        <v>1021</v>
      </c>
      <c r="C101">
        <v>100</v>
      </c>
      <c r="D101" t="s">
        <v>1024</v>
      </c>
      <c r="E101" s="1">
        <v>45169</v>
      </c>
      <c r="F101">
        <v>45</v>
      </c>
      <c r="G101">
        <v>4.9000000000000004</v>
      </c>
      <c r="H101">
        <v>2024</v>
      </c>
      <c r="I101" t="s">
        <v>1052</v>
      </c>
      <c r="J101" t="s">
        <v>1019</v>
      </c>
      <c r="K101">
        <v>5</v>
      </c>
      <c r="T101" t="s">
        <v>2076</v>
      </c>
      <c r="U101">
        <v>8</v>
      </c>
    </row>
    <row r="102" spans="1:21" x14ac:dyDescent="0.3">
      <c r="A102" t="s">
        <v>1747</v>
      </c>
      <c r="B102" t="s">
        <v>1016</v>
      </c>
      <c r="C102">
        <v>143</v>
      </c>
      <c r="D102" t="s">
        <v>1042</v>
      </c>
      <c r="E102" s="1">
        <v>45170</v>
      </c>
      <c r="F102">
        <v>20</v>
      </c>
      <c r="G102">
        <v>4.7</v>
      </c>
      <c r="H102">
        <v>2024</v>
      </c>
      <c r="I102" t="s">
        <v>411</v>
      </c>
      <c r="J102" t="s">
        <v>1031</v>
      </c>
      <c r="K102">
        <v>5</v>
      </c>
      <c r="T102" t="s">
        <v>2077</v>
      </c>
      <c r="U102">
        <v>9</v>
      </c>
    </row>
    <row r="103" spans="1:21" x14ac:dyDescent="0.3">
      <c r="A103" t="s">
        <v>1752</v>
      </c>
      <c r="B103" t="s">
        <v>1016</v>
      </c>
      <c r="C103">
        <v>61</v>
      </c>
      <c r="D103" t="s">
        <v>1029</v>
      </c>
      <c r="E103" s="1">
        <v>45173</v>
      </c>
      <c r="F103">
        <v>132</v>
      </c>
      <c r="G103">
        <v>4.9000000000000004</v>
      </c>
      <c r="H103">
        <v>2024</v>
      </c>
      <c r="I103" t="s">
        <v>1030</v>
      </c>
      <c r="J103" t="s">
        <v>1019</v>
      </c>
      <c r="K103">
        <v>5</v>
      </c>
      <c r="T103" t="s">
        <v>2077</v>
      </c>
      <c r="U103">
        <v>9</v>
      </c>
    </row>
    <row r="104" spans="1:21" x14ac:dyDescent="0.3">
      <c r="A104" t="s">
        <v>1757</v>
      </c>
      <c r="B104" t="s">
        <v>1021</v>
      </c>
      <c r="C104">
        <v>100</v>
      </c>
      <c r="D104" t="s">
        <v>1017</v>
      </c>
      <c r="E104" s="1">
        <v>45175</v>
      </c>
      <c r="F104">
        <v>24</v>
      </c>
      <c r="G104">
        <v>4.7</v>
      </c>
      <c r="H104">
        <v>2024</v>
      </c>
      <c r="I104" t="s">
        <v>1048</v>
      </c>
      <c r="J104" t="s">
        <v>1019</v>
      </c>
      <c r="K104">
        <v>5</v>
      </c>
      <c r="T104" t="s">
        <v>2077</v>
      </c>
      <c r="U104">
        <v>9</v>
      </c>
    </row>
    <row r="105" spans="1:21" x14ac:dyDescent="0.3">
      <c r="A105" t="s">
        <v>1763</v>
      </c>
      <c r="B105" t="s">
        <v>1016</v>
      </c>
      <c r="C105">
        <v>106</v>
      </c>
      <c r="D105" t="s">
        <v>1017</v>
      </c>
      <c r="E105" s="1">
        <v>45177</v>
      </c>
      <c r="F105">
        <v>58</v>
      </c>
      <c r="G105">
        <v>4.7</v>
      </c>
      <c r="H105">
        <v>2024</v>
      </c>
      <c r="I105" t="s">
        <v>411</v>
      </c>
      <c r="J105" t="s">
        <v>1019</v>
      </c>
      <c r="K105">
        <v>5</v>
      </c>
      <c r="T105" t="s">
        <v>2077</v>
      </c>
      <c r="U105">
        <v>9</v>
      </c>
    </row>
    <row r="106" spans="1:21" x14ac:dyDescent="0.3">
      <c r="A106" t="s">
        <v>1767</v>
      </c>
      <c r="B106" t="s">
        <v>1016</v>
      </c>
      <c r="C106">
        <v>94</v>
      </c>
      <c r="D106" t="s">
        <v>1029</v>
      </c>
      <c r="E106" s="1">
        <v>45178</v>
      </c>
      <c r="F106">
        <v>69</v>
      </c>
      <c r="G106">
        <v>3.9</v>
      </c>
      <c r="H106">
        <v>2024</v>
      </c>
      <c r="I106" t="s">
        <v>1062</v>
      </c>
      <c r="J106" t="s">
        <v>1019</v>
      </c>
      <c r="K106">
        <v>4</v>
      </c>
      <c r="T106" t="s">
        <v>2077</v>
      </c>
      <c r="U106">
        <v>9</v>
      </c>
    </row>
    <row r="107" spans="1:21" x14ac:dyDescent="0.3">
      <c r="A107" t="s">
        <v>1771</v>
      </c>
      <c r="B107" t="s">
        <v>1016</v>
      </c>
      <c r="C107">
        <v>58</v>
      </c>
      <c r="D107" t="s">
        <v>1024</v>
      </c>
      <c r="E107" s="1">
        <v>45181</v>
      </c>
      <c r="F107">
        <v>90</v>
      </c>
      <c r="G107">
        <v>4.3</v>
      </c>
      <c r="H107">
        <v>2024</v>
      </c>
      <c r="I107" t="s">
        <v>1033</v>
      </c>
      <c r="J107" t="s">
        <v>1034</v>
      </c>
      <c r="K107">
        <v>4</v>
      </c>
      <c r="T107" t="s">
        <v>2077</v>
      </c>
      <c r="U107">
        <v>9</v>
      </c>
    </row>
    <row r="108" spans="1:21" x14ac:dyDescent="0.3">
      <c r="A108" t="s">
        <v>1776</v>
      </c>
      <c r="B108" t="s">
        <v>1016</v>
      </c>
      <c r="C108">
        <v>110</v>
      </c>
      <c r="D108" t="s">
        <v>1042</v>
      </c>
      <c r="E108" s="1">
        <v>45182</v>
      </c>
      <c r="F108">
        <v>180</v>
      </c>
      <c r="G108">
        <v>4.2</v>
      </c>
      <c r="H108">
        <v>2024</v>
      </c>
      <c r="I108" t="s">
        <v>1048</v>
      </c>
      <c r="J108" t="s">
        <v>1019</v>
      </c>
      <c r="K108">
        <v>4</v>
      </c>
      <c r="T108" t="s">
        <v>2077</v>
      </c>
      <c r="U108">
        <v>9</v>
      </c>
    </row>
    <row r="109" spans="1:21" x14ac:dyDescent="0.3">
      <c r="A109" t="s">
        <v>1783</v>
      </c>
      <c r="B109" t="s">
        <v>1016</v>
      </c>
      <c r="C109">
        <v>71</v>
      </c>
      <c r="D109" t="s">
        <v>1017</v>
      </c>
      <c r="E109" s="1">
        <v>45189</v>
      </c>
      <c r="F109">
        <v>50</v>
      </c>
      <c r="G109">
        <v>4.2</v>
      </c>
      <c r="H109">
        <v>2024</v>
      </c>
      <c r="I109" t="s">
        <v>1048</v>
      </c>
      <c r="J109" t="s">
        <v>1019</v>
      </c>
      <c r="K109">
        <v>4</v>
      </c>
      <c r="T109" t="s">
        <v>2077</v>
      </c>
      <c r="U109">
        <v>9</v>
      </c>
    </row>
    <row r="110" spans="1:21" x14ac:dyDescent="0.3">
      <c r="A110" t="s">
        <v>1788</v>
      </c>
      <c r="B110" t="s">
        <v>1021</v>
      </c>
      <c r="C110">
        <v>129</v>
      </c>
      <c r="D110" t="s">
        <v>1029</v>
      </c>
      <c r="E110" s="1">
        <v>45191</v>
      </c>
      <c r="F110">
        <v>93</v>
      </c>
      <c r="G110">
        <v>4.7</v>
      </c>
      <c r="H110">
        <v>2024</v>
      </c>
      <c r="I110" t="s">
        <v>411</v>
      </c>
      <c r="J110" t="s">
        <v>1031</v>
      </c>
      <c r="K110">
        <v>5</v>
      </c>
      <c r="T110" t="s">
        <v>2077</v>
      </c>
      <c r="U110">
        <v>9</v>
      </c>
    </row>
    <row r="111" spans="1:21" x14ac:dyDescent="0.3">
      <c r="A111" t="s">
        <v>1813</v>
      </c>
      <c r="B111" t="s">
        <v>1021</v>
      </c>
      <c r="C111">
        <v>70</v>
      </c>
      <c r="D111" t="s">
        <v>1024</v>
      </c>
      <c r="E111" s="1">
        <v>45198</v>
      </c>
      <c r="F111">
        <v>29</v>
      </c>
      <c r="G111">
        <v>2.1</v>
      </c>
      <c r="H111">
        <v>2024</v>
      </c>
      <c r="I111" t="s">
        <v>411</v>
      </c>
      <c r="J111" t="s">
        <v>1019</v>
      </c>
      <c r="K111">
        <v>2</v>
      </c>
      <c r="T111" t="s">
        <v>2077</v>
      </c>
      <c r="U111">
        <v>9</v>
      </c>
    </row>
    <row r="112" spans="1:21" x14ac:dyDescent="0.3">
      <c r="A112" t="s">
        <v>1815</v>
      </c>
      <c r="B112" t="s">
        <v>1021</v>
      </c>
      <c r="C112">
        <v>120</v>
      </c>
      <c r="D112" t="s">
        <v>1042</v>
      </c>
      <c r="E112" s="1">
        <v>45199</v>
      </c>
      <c r="F112">
        <v>68</v>
      </c>
      <c r="G112">
        <v>3.4</v>
      </c>
      <c r="H112">
        <v>2024</v>
      </c>
      <c r="I112" t="s">
        <v>1062</v>
      </c>
      <c r="J112" t="s">
        <v>1019</v>
      </c>
      <c r="K112">
        <v>3</v>
      </c>
      <c r="T112" t="s">
        <v>2077</v>
      </c>
      <c r="U112">
        <v>9</v>
      </c>
    </row>
    <row r="113" spans="1:21" x14ac:dyDescent="0.3">
      <c r="A113" t="s">
        <v>1849</v>
      </c>
      <c r="B113" t="s">
        <v>1021</v>
      </c>
      <c r="C113">
        <v>65</v>
      </c>
      <c r="D113" t="s">
        <v>1029</v>
      </c>
      <c r="E113" s="1">
        <v>45205</v>
      </c>
      <c r="F113">
        <v>150</v>
      </c>
      <c r="G113">
        <v>5</v>
      </c>
      <c r="H113">
        <v>2024</v>
      </c>
      <c r="I113" t="s">
        <v>411</v>
      </c>
      <c r="J113" t="s">
        <v>1019</v>
      </c>
      <c r="K113">
        <v>5</v>
      </c>
      <c r="T113" t="s">
        <v>2078</v>
      </c>
      <c r="U113">
        <v>10</v>
      </c>
    </row>
    <row r="114" spans="1:21" x14ac:dyDescent="0.3">
      <c r="A114" t="s">
        <v>1868</v>
      </c>
      <c r="B114" t="s">
        <v>1016</v>
      </c>
      <c r="C114">
        <v>120</v>
      </c>
      <c r="D114" t="s">
        <v>1024</v>
      </c>
      <c r="E114" s="1">
        <v>45211</v>
      </c>
      <c r="F114">
        <v>140</v>
      </c>
      <c r="G114">
        <v>4.5999999999999996</v>
      </c>
      <c r="H114">
        <v>2024</v>
      </c>
      <c r="I114" t="s">
        <v>1052</v>
      </c>
      <c r="J114" t="s">
        <v>1019</v>
      </c>
      <c r="K114">
        <v>5</v>
      </c>
      <c r="T114" t="s">
        <v>2078</v>
      </c>
      <c r="U114">
        <v>10</v>
      </c>
    </row>
    <row r="115" spans="1:21" x14ac:dyDescent="0.3">
      <c r="A115" t="s">
        <v>1873</v>
      </c>
      <c r="B115" t="s">
        <v>1016</v>
      </c>
      <c r="C115">
        <v>108</v>
      </c>
      <c r="D115" t="s">
        <v>1017</v>
      </c>
      <c r="E115" s="1">
        <v>45213</v>
      </c>
      <c r="F115">
        <v>44</v>
      </c>
      <c r="G115">
        <v>4.7</v>
      </c>
      <c r="H115">
        <v>2024</v>
      </c>
      <c r="I115" t="s">
        <v>1062</v>
      </c>
      <c r="J115" t="s">
        <v>1019</v>
      </c>
      <c r="K115">
        <v>5</v>
      </c>
      <c r="T115" t="s">
        <v>2078</v>
      </c>
      <c r="U115">
        <v>10</v>
      </c>
    </row>
    <row r="116" spans="1:21" x14ac:dyDescent="0.3">
      <c r="A116" t="s">
        <v>1874</v>
      </c>
      <c r="B116" t="s">
        <v>1021</v>
      </c>
      <c r="C116">
        <v>132</v>
      </c>
      <c r="D116" t="s">
        <v>1029</v>
      </c>
      <c r="E116" s="1">
        <v>45213</v>
      </c>
      <c r="F116">
        <v>140</v>
      </c>
      <c r="G116">
        <v>4.3</v>
      </c>
      <c r="H116">
        <v>2024</v>
      </c>
      <c r="I116" t="s">
        <v>1062</v>
      </c>
      <c r="J116" t="s">
        <v>1031</v>
      </c>
      <c r="K116">
        <v>4</v>
      </c>
      <c r="T116" t="s">
        <v>2078</v>
      </c>
      <c r="U116">
        <v>10</v>
      </c>
    </row>
    <row r="117" spans="1:21" x14ac:dyDescent="0.3">
      <c r="A117" t="s">
        <v>1877</v>
      </c>
      <c r="B117" t="s">
        <v>1016</v>
      </c>
      <c r="C117">
        <v>23</v>
      </c>
      <c r="D117" t="s">
        <v>1017</v>
      </c>
      <c r="E117" s="1">
        <v>45213</v>
      </c>
      <c r="F117">
        <v>24</v>
      </c>
      <c r="G117">
        <v>2.9</v>
      </c>
      <c r="H117">
        <v>2024</v>
      </c>
      <c r="I117" t="s">
        <v>1062</v>
      </c>
      <c r="J117" t="s">
        <v>1056</v>
      </c>
      <c r="K117">
        <v>3</v>
      </c>
      <c r="T117" t="s">
        <v>2078</v>
      </c>
      <c r="U117">
        <v>10</v>
      </c>
    </row>
    <row r="118" spans="1:21" x14ac:dyDescent="0.3">
      <c r="A118" t="s">
        <v>1879</v>
      </c>
      <c r="B118" t="s">
        <v>1021</v>
      </c>
      <c r="C118">
        <v>56</v>
      </c>
      <c r="D118" t="s">
        <v>1024</v>
      </c>
      <c r="E118" s="1">
        <v>45214</v>
      </c>
      <c r="F118">
        <v>225</v>
      </c>
      <c r="G118">
        <v>4.9000000000000004</v>
      </c>
      <c r="H118">
        <v>2024</v>
      </c>
      <c r="I118" t="s">
        <v>1018</v>
      </c>
      <c r="J118" t="s">
        <v>1034</v>
      </c>
      <c r="K118">
        <v>5</v>
      </c>
      <c r="T118" t="s">
        <v>2078</v>
      </c>
      <c r="U118">
        <v>10</v>
      </c>
    </row>
    <row r="119" spans="1:21" x14ac:dyDescent="0.3">
      <c r="A119" t="s">
        <v>1894</v>
      </c>
      <c r="B119" t="s">
        <v>1021</v>
      </c>
      <c r="C119">
        <v>117</v>
      </c>
      <c r="D119" t="s">
        <v>1029</v>
      </c>
      <c r="E119" s="1">
        <v>45217</v>
      </c>
      <c r="F119">
        <v>120</v>
      </c>
      <c r="G119">
        <v>3.4</v>
      </c>
      <c r="H119">
        <v>2024</v>
      </c>
      <c r="I119" t="s">
        <v>1048</v>
      </c>
      <c r="J119" t="s">
        <v>1019</v>
      </c>
      <c r="K119">
        <v>3</v>
      </c>
      <c r="T119" t="s">
        <v>2078</v>
      </c>
      <c r="U119">
        <v>10</v>
      </c>
    </row>
    <row r="120" spans="1:21" x14ac:dyDescent="0.3">
      <c r="A120" t="s">
        <v>1895</v>
      </c>
      <c r="B120" t="s">
        <v>1016</v>
      </c>
      <c r="C120">
        <v>133</v>
      </c>
      <c r="D120" t="s">
        <v>1024</v>
      </c>
      <c r="E120" s="1">
        <v>45217</v>
      </c>
      <c r="F120">
        <v>117</v>
      </c>
      <c r="G120">
        <v>4.8</v>
      </c>
      <c r="H120">
        <v>2024</v>
      </c>
      <c r="I120" t="s">
        <v>1048</v>
      </c>
      <c r="J120" t="s">
        <v>1031</v>
      </c>
      <c r="K120">
        <v>5</v>
      </c>
      <c r="T120" t="s">
        <v>2078</v>
      </c>
      <c r="U120">
        <v>10</v>
      </c>
    </row>
    <row r="121" spans="1:21" x14ac:dyDescent="0.3">
      <c r="A121" t="s">
        <v>1897</v>
      </c>
      <c r="B121" t="s">
        <v>1016</v>
      </c>
      <c r="C121">
        <v>50</v>
      </c>
      <c r="D121" t="s">
        <v>1029</v>
      </c>
      <c r="E121" s="1">
        <v>45218</v>
      </c>
      <c r="F121">
        <v>64</v>
      </c>
      <c r="G121">
        <v>4.5</v>
      </c>
      <c r="H121">
        <v>2024</v>
      </c>
      <c r="I121" t="s">
        <v>1052</v>
      </c>
      <c r="J121" t="s">
        <v>1034</v>
      </c>
      <c r="K121">
        <v>5</v>
      </c>
      <c r="T121" t="s">
        <v>2078</v>
      </c>
      <c r="U121">
        <v>10</v>
      </c>
    </row>
    <row r="122" spans="1:21" x14ac:dyDescent="0.3">
      <c r="A122" t="s">
        <v>1907</v>
      </c>
      <c r="B122" t="s">
        <v>1021</v>
      </c>
      <c r="C122">
        <v>81</v>
      </c>
      <c r="D122" t="s">
        <v>1024</v>
      </c>
      <c r="E122" s="1">
        <v>45221</v>
      </c>
      <c r="F122">
        <v>117</v>
      </c>
      <c r="G122">
        <v>3.6</v>
      </c>
      <c r="H122">
        <v>2024</v>
      </c>
      <c r="I122" t="s">
        <v>1018</v>
      </c>
      <c r="J122" t="s">
        <v>1019</v>
      </c>
      <c r="K122">
        <v>4</v>
      </c>
      <c r="T122" t="s">
        <v>2078</v>
      </c>
      <c r="U122">
        <v>10</v>
      </c>
    </row>
    <row r="123" spans="1:21" x14ac:dyDescent="0.3">
      <c r="A123" t="s">
        <v>1921</v>
      </c>
      <c r="B123" t="s">
        <v>1021</v>
      </c>
      <c r="C123">
        <v>94</v>
      </c>
      <c r="D123" t="s">
        <v>1017</v>
      </c>
      <c r="E123" s="1">
        <v>45226</v>
      </c>
      <c r="F123">
        <v>140</v>
      </c>
      <c r="G123">
        <v>3.6</v>
      </c>
      <c r="H123">
        <v>2024</v>
      </c>
      <c r="I123" t="s">
        <v>411</v>
      </c>
      <c r="J123" t="s">
        <v>1019</v>
      </c>
      <c r="K123">
        <v>4</v>
      </c>
      <c r="T123" t="s">
        <v>2078</v>
      </c>
      <c r="U123">
        <v>10</v>
      </c>
    </row>
    <row r="124" spans="1:21" x14ac:dyDescent="0.3">
      <c r="A124" t="s">
        <v>1932</v>
      </c>
      <c r="B124" t="s">
        <v>1021</v>
      </c>
      <c r="C124">
        <v>31</v>
      </c>
      <c r="D124" t="s">
        <v>1042</v>
      </c>
      <c r="E124" s="1">
        <v>45229</v>
      </c>
      <c r="F124">
        <v>105</v>
      </c>
      <c r="G124">
        <v>3.6</v>
      </c>
      <c r="H124">
        <v>2024</v>
      </c>
      <c r="I124" t="s">
        <v>1030</v>
      </c>
      <c r="J124" t="s">
        <v>1034</v>
      </c>
      <c r="K124">
        <v>4</v>
      </c>
      <c r="T124" t="s">
        <v>2078</v>
      </c>
      <c r="U124">
        <v>10</v>
      </c>
    </row>
    <row r="125" spans="1:21" x14ac:dyDescent="0.3">
      <c r="A125" t="s">
        <v>1935</v>
      </c>
      <c r="B125" t="s">
        <v>1016</v>
      </c>
      <c r="C125">
        <v>86</v>
      </c>
      <c r="D125" t="s">
        <v>1042</v>
      </c>
      <c r="E125" s="1">
        <v>45230</v>
      </c>
      <c r="F125">
        <v>90</v>
      </c>
      <c r="G125">
        <v>4.4000000000000004</v>
      </c>
      <c r="H125">
        <v>2024</v>
      </c>
      <c r="I125" t="s">
        <v>1033</v>
      </c>
      <c r="J125" t="s">
        <v>1019</v>
      </c>
      <c r="K125">
        <v>4</v>
      </c>
      <c r="T125" t="s">
        <v>2078</v>
      </c>
      <c r="U125">
        <v>10</v>
      </c>
    </row>
    <row r="126" spans="1:21" x14ac:dyDescent="0.3">
      <c r="A126" t="s">
        <v>1949</v>
      </c>
      <c r="B126" t="s">
        <v>1021</v>
      </c>
      <c r="C126">
        <v>108</v>
      </c>
      <c r="D126" t="s">
        <v>1038</v>
      </c>
      <c r="E126" s="1">
        <v>45239</v>
      </c>
      <c r="F126">
        <v>130</v>
      </c>
      <c r="G126">
        <v>2.7</v>
      </c>
      <c r="H126">
        <v>2024</v>
      </c>
      <c r="I126" t="s">
        <v>1052</v>
      </c>
      <c r="J126" t="s">
        <v>1019</v>
      </c>
      <c r="K126">
        <v>3</v>
      </c>
      <c r="T126" t="s">
        <v>2079</v>
      </c>
      <c r="U126">
        <v>11</v>
      </c>
    </row>
    <row r="127" spans="1:21" x14ac:dyDescent="0.3">
      <c r="A127" t="s">
        <v>1953</v>
      </c>
      <c r="B127" t="s">
        <v>1016</v>
      </c>
      <c r="C127">
        <v>95</v>
      </c>
      <c r="D127" t="s">
        <v>1024</v>
      </c>
      <c r="E127" s="1">
        <v>45240</v>
      </c>
      <c r="F127">
        <v>140</v>
      </c>
      <c r="G127">
        <v>3.9</v>
      </c>
      <c r="H127">
        <v>2024</v>
      </c>
      <c r="I127" t="s">
        <v>411</v>
      </c>
      <c r="J127" t="s">
        <v>1019</v>
      </c>
      <c r="K127">
        <v>4</v>
      </c>
      <c r="T127" t="s">
        <v>2079</v>
      </c>
      <c r="U127">
        <v>11</v>
      </c>
    </row>
    <row r="128" spans="1:21" x14ac:dyDescent="0.3">
      <c r="A128" t="s">
        <v>1965</v>
      </c>
      <c r="B128" t="s">
        <v>1016</v>
      </c>
      <c r="C128">
        <v>64</v>
      </c>
      <c r="D128" t="s">
        <v>1042</v>
      </c>
      <c r="E128" s="1">
        <v>45245</v>
      </c>
      <c r="F128">
        <v>225</v>
      </c>
      <c r="G128">
        <v>4.5999999999999996</v>
      </c>
      <c r="H128">
        <v>2024</v>
      </c>
      <c r="I128" t="s">
        <v>1048</v>
      </c>
      <c r="J128" t="s">
        <v>1019</v>
      </c>
      <c r="K128">
        <v>5</v>
      </c>
      <c r="T128" t="s">
        <v>2079</v>
      </c>
      <c r="U128">
        <v>11</v>
      </c>
    </row>
    <row r="129" spans="1:21" x14ac:dyDescent="0.3">
      <c r="A129" t="s">
        <v>1984</v>
      </c>
      <c r="B129" t="s">
        <v>1021</v>
      </c>
      <c r="C129">
        <v>17</v>
      </c>
      <c r="D129" t="s">
        <v>1017</v>
      </c>
      <c r="E129" s="1">
        <v>45254</v>
      </c>
      <c r="F129">
        <v>210</v>
      </c>
      <c r="G129">
        <v>4.8</v>
      </c>
      <c r="H129">
        <v>2024</v>
      </c>
      <c r="I129" t="s">
        <v>411</v>
      </c>
      <c r="J129" t="s">
        <v>1056</v>
      </c>
      <c r="K129">
        <v>5</v>
      </c>
      <c r="T129" t="s">
        <v>2079</v>
      </c>
      <c r="U129">
        <v>11</v>
      </c>
    </row>
    <row r="130" spans="1:21" x14ac:dyDescent="0.3">
      <c r="A130" t="s">
        <v>1993</v>
      </c>
      <c r="B130" t="s">
        <v>1021</v>
      </c>
      <c r="C130">
        <v>126</v>
      </c>
      <c r="D130" t="s">
        <v>1038</v>
      </c>
      <c r="E130" s="1">
        <v>45261</v>
      </c>
      <c r="F130">
        <v>33</v>
      </c>
      <c r="G130">
        <v>4.8</v>
      </c>
      <c r="H130">
        <v>2024</v>
      </c>
      <c r="I130" t="s">
        <v>411</v>
      </c>
      <c r="J130" t="s">
        <v>1031</v>
      </c>
      <c r="K130">
        <v>5</v>
      </c>
      <c r="T130" t="s">
        <v>2080</v>
      </c>
      <c r="U130">
        <v>12</v>
      </c>
    </row>
    <row r="131" spans="1:21" x14ac:dyDescent="0.3">
      <c r="A131" t="s">
        <v>1995</v>
      </c>
      <c r="B131" t="s">
        <v>1021</v>
      </c>
      <c r="C131">
        <v>133</v>
      </c>
      <c r="D131" t="s">
        <v>1038</v>
      </c>
      <c r="E131" s="1">
        <v>45261</v>
      </c>
      <c r="F131">
        <v>45</v>
      </c>
      <c r="G131">
        <v>2.6</v>
      </c>
      <c r="H131">
        <v>2024</v>
      </c>
      <c r="I131" t="s">
        <v>411</v>
      </c>
      <c r="J131" t="s">
        <v>1031</v>
      </c>
      <c r="K131">
        <v>3</v>
      </c>
      <c r="T131" t="s">
        <v>2080</v>
      </c>
      <c r="U131">
        <v>12</v>
      </c>
    </row>
    <row r="132" spans="1:21" x14ac:dyDescent="0.3">
      <c r="A132" t="s">
        <v>1999</v>
      </c>
      <c r="B132" t="s">
        <v>1021</v>
      </c>
      <c r="C132">
        <v>149</v>
      </c>
      <c r="D132" t="s">
        <v>1024</v>
      </c>
      <c r="E132" s="1">
        <v>45263</v>
      </c>
      <c r="F132">
        <v>42</v>
      </c>
      <c r="G132">
        <v>3.3</v>
      </c>
      <c r="H132">
        <v>2024</v>
      </c>
      <c r="I132" t="s">
        <v>1018</v>
      </c>
      <c r="J132" t="s">
        <v>1031</v>
      </c>
      <c r="K132">
        <v>3</v>
      </c>
      <c r="T132" t="s">
        <v>2080</v>
      </c>
      <c r="U132">
        <v>12</v>
      </c>
    </row>
    <row r="133" spans="1:21" x14ac:dyDescent="0.3">
      <c r="A133" t="s">
        <v>2030</v>
      </c>
      <c r="B133" t="s">
        <v>1021</v>
      </c>
      <c r="C133">
        <v>58</v>
      </c>
      <c r="D133" t="s">
        <v>1029</v>
      </c>
      <c r="E133" s="1">
        <v>45285</v>
      </c>
      <c r="F133">
        <v>25</v>
      </c>
      <c r="G133">
        <v>3.6</v>
      </c>
      <c r="H133">
        <v>2024</v>
      </c>
      <c r="I133" t="s">
        <v>1030</v>
      </c>
      <c r="J133" t="s">
        <v>1034</v>
      </c>
      <c r="K133">
        <v>4</v>
      </c>
      <c r="T133" t="s">
        <v>2080</v>
      </c>
      <c r="U133">
        <v>12</v>
      </c>
    </row>
    <row r="134" spans="1:21" x14ac:dyDescent="0.3">
      <c r="A134" t="s">
        <v>2031</v>
      </c>
      <c r="B134" t="s">
        <v>1016</v>
      </c>
      <c r="C134">
        <v>90</v>
      </c>
      <c r="D134" t="s">
        <v>1024</v>
      </c>
      <c r="E134" s="1">
        <v>45286</v>
      </c>
      <c r="F134">
        <v>176</v>
      </c>
      <c r="G134">
        <v>3.6</v>
      </c>
      <c r="H134">
        <v>2024</v>
      </c>
      <c r="I134" t="s">
        <v>1033</v>
      </c>
      <c r="J134" t="s">
        <v>1019</v>
      </c>
      <c r="K134">
        <v>4</v>
      </c>
      <c r="T134" t="s">
        <v>2080</v>
      </c>
      <c r="U134">
        <v>12</v>
      </c>
    </row>
    <row r="135" spans="1:21" x14ac:dyDescent="0.3">
      <c r="A135" t="s">
        <v>2032</v>
      </c>
      <c r="B135" t="s">
        <v>1016</v>
      </c>
      <c r="C135">
        <v>106</v>
      </c>
      <c r="D135" t="s">
        <v>1038</v>
      </c>
      <c r="E135" s="1">
        <v>45287</v>
      </c>
      <c r="F135">
        <v>46</v>
      </c>
      <c r="G135">
        <v>4.5999999999999996</v>
      </c>
      <c r="H135">
        <v>2024</v>
      </c>
      <c r="I135" t="s">
        <v>1048</v>
      </c>
      <c r="J135" t="s">
        <v>1019</v>
      </c>
      <c r="K135">
        <v>5</v>
      </c>
      <c r="T135" t="s">
        <v>2080</v>
      </c>
      <c r="U135">
        <v>12</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8613-CD6B-49ED-8BA3-6362C80AB80C}">
  <dimension ref="A3:O116"/>
  <sheetViews>
    <sheetView topLeftCell="A43" workbookViewId="0">
      <selection activeCell="A45" sqref="A45"/>
    </sheetView>
  </sheetViews>
  <sheetFormatPr defaultRowHeight="14.4" x14ac:dyDescent="0.3"/>
  <cols>
    <col min="1" max="2" width="12.44140625" bestFit="1" customWidth="1"/>
    <col min="3" max="3" width="15.5546875" bestFit="1" customWidth="1"/>
    <col min="4" max="4" width="10.5546875" bestFit="1" customWidth="1"/>
    <col min="5" max="5" width="7.21875" bestFit="1" customWidth="1"/>
    <col min="6" max="6" width="12.44140625" bestFit="1" customWidth="1"/>
    <col min="7" max="7" width="9.109375" bestFit="1" customWidth="1"/>
    <col min="8" max="8" width="10.5546875" bestFit="1" customWidth="1"/>
  </cols>
  <sheetData>
    <row r="3" spans="1:5" x14ac:dyDescent="0.3">
      <c r="A3" t="s">
        <v>2113</v>
      </c>
      <c r="B3" t="s">
        <v>2114</v>
      </c>
      <c r="C3" t="s">
        <v>2115</v>
      </c>
      <c r="D3" t="s">
        <v>2116</v>
      </c>
      <c r="E3" t="s">
        <v>2117</v>
      </c>
    </row>
    <row r="4" spans="1:5" x14ac:dyDescent="0.3">
      <c r="A4" s="43">
        <v>1000</v>
      </c>
      <c r="B4" s="44">
        <v>96623</v>
      </c>
      <c r="C4" s="43">
        <v>89850</v>
      </c>
      <c r="D4" s="6">
        <v>3.8854000000000033</v>
      </c>
      <c r="E4" s="43">
        <v>307</v>
      </c>
    </row>
    <row r="7" spans="1:5" x14ac:dyDescent="0.3">
      <c r="A7" t="s">
        <v>2113</v>
      </c>
      <c r="B7" t="s">
        <v>2114</v>
      </c>
      <c r="C7" t="s">
        <v>2115</v>
      </c>
      <c r="D7" t="s">
        <v>2116</v>
      </c>
      <c r="E7" t="s">
        <v>2117</v>
      </c>
    </row>
    <row r="8" spans="1:5" x14ac:dyDescent="0.3">
      <c r="A8" s="43">
        <v>200</v>
      </c>
      <c r="B8" s="44">
        <v>20104</v>
      </c>
      <c r="C8" s="43">
        <v>18209</v>
      </c>
      <c r="D8" s="6">
        <v>3.8824999999999998</v>
      </c>
      <c r="E8" s="43">
        <v>51</v>
      </c>
    </row>
    <row r="12" spans="1:5" x14ac:dyDescent="0.3">
      <c r="A12" s="40" t="s">
        <v>2060</v>
      </c>
      <c r="B12" t="s">
        <v>2113</v>
      </c>
      <c r="C12" t="s">
        <v>2119</v>
      </c>
    </row>
    <row r="13" spans="1:5" x14ac:dyDescent="0.3">
      <c r="A13" s="41" t="s">
        <v>2069</v>
      </c>
      <c r="B13" s="43">
        <v>21</v>
      </c>
      <c r="C13" s="43">
        <v>21</v>
      </c>
    </row>
    <row r="14" spans="1:5" x14ac:dyDescent="0.3">
      <c r="A14" s="41" t="s">
        <v>2070</v>
      </c>
      <c r="B14" s="43">
        <v>18</v>
      </c>
      <c r="C14" s="43">
        <v>18</v>
      </c>
    </row>
    <row r="15" spans="1:5" x14ac:dyDescent="0.3">
      <c r="A15" s="41" t="s">
        <v>2071</v>
      </c>
      <c r="B15" s="43">
        <v>31</v>
      </c>
      <c r="C15" s="43">
        <v>31</v>
      </c>
    </row>
    <row r="16" spans="1:5" x14ac:dyDescent="0.3">
      <c r="A16" s="41" t="s">
        <v>2072</v>
      </c>
      <c r="B16" s="43">
        <v>20</v>
      </c>
      <c r="C16" s="43">
        <v>20</v>
      </c>
    </row>
    <row r="17" spans="1:3" x14ac:dyDescent="0.3">
      <c r="A17" s="41" t="s">
        <v>2073</v>
      </c>
      <c r="B17" s="43">
        <v>8</v>
      </c>
      <c r="C17" s="43">
        <v>8</v>
      </c>
    </row>
    <row r="18" spans="1:3" x14ac:dyDescent="0.3">
      <c r="A18" s="41" t="s">
        <v>2074</v>
      </c>
      <c r="B18" s="43">
        <v>12</v>
      </c>
      <c r="C18" s="43">
        <v>12</v>
      </c>
    </row>
    <row r="19" spans="1:3" x14ac:dyDescent="0.3">
      <c r="A19" s="41" t="s">
        <v>2075</v>
      </c>
      <c r="B19" s="43">
        <v>12</v>
      </c>
      <c r="C19" s="43">
        <v>12</v>
      </c>
    </row>
    <row r="20" spans="1:3" x14ac:dyDescent="0.3">
      <c r="A20" s="41" t="s">
        <v>2076</v>
      </c>
      <c r="B20" s="43">
        <v>7</v>
      </c>
      <c r="C20" s="43">
        <v>7</v>
      </c>
    </row>
    <row r="21" spans="1:3" x14ac:dyDescent="0.3">
      <c r="A21" s="41" t="s">
        <v>2077</v>
      </c>
      <c r="B21" s="43">
        <v>20</v>
      </c>
      <c r="C21" s="43">
        <v>20</v>
      </c>
    </row>
    <row r="22" spans="1:3" x14ac:dyDescent="0.3">
      <c r="A22" s="41" t="s">
        <v>2078</v>
      </c>
      <c r="B22" s="43">
        <v>24</v>
      </c>
      <c r="C22" s="43">
        <v>24</v>
      </c>
    </row>
    <row r="23" spans="1:3" x14ac:dyDescent="0.3">
      <c r="A23" s="41" t="s">
        <v>2079</v>
      </c>
      <c r="B23" s="43">
        <v>12</v>
      </c>
      <c r="C23" s="43">
        <v>12</v>
      </c>
    </row>
    <row r="24" spans="1:3" x14ac:dyDescent="0.3">
      <c r="A24" s="41" t="s">
        <v>2080</v>
      </c>
      <c r="B24" s="43">
        <v>15</v>
      </c>
      <c r="C24" s="43">
        <v>15</v>
      </c>
    </row>
    <row r="25" spans="1:3" x14ac:dyDescent="0.3">
      <c r="A25" s="41" t="s">
        <v>2061</v>
      </c>
      <c r="B25" s="43">
        <v>200</v>
      </c>
      <c r="C25" s="43">
        <v>200</v>
      </c>
    </row>
    <row r="29" spans="1:3" x14ac:dyDescent="0.3">
      <c r="A29" s="47"/>
      <c r="B29" s="48"/>
    </row>
    <row r="30" spans="1:3" x14ac:dyDescent="0.3">
      <c r="A30" s="47"/>
      <c r="B30" s="48"/>
    </row>
    <row r="31" spans="1:3" x14ac:dyDescent="0.3">
      <c r="A31" s="47"/>
      <c r="B31" s="48"/>
    </row>
    <row r="32" spans="1:3" x14ac:dyDescent="0.3">
      <c r="A32" s="47"/>
      <c r="B32" s="48"/>
    </row>
    <row r="33" spans="1:15" x14ac:dyDescent="0.3">
      <c r="A33" s="47"/>
      <c r="B33" s="48"/>
    </row>
    <row r="34" spans="1:15" x14ac:dyDescent="0.3">
      <c r="A34" s="47"/>
      <c r="B34" s="48"/>
    </row>
    <row r="35" spans="1:15" x14ac:dyDescent="0.3">
      <c r="A35" s="47"/>
      <c r="B35" s="48"/>
      <c r="F35" s="40" t="s">
        <v>2060</v>
      </c>
      <c r="G35" t="s">
        <v>2113</v>
      </c>
    </row>
    <row r="36" spans="1:15" x14ac:dyDescent="0.3">
      <c r="A36" s="47"/>
      <c r="B36" s="48"/>
      <c r="F36" s="41" t="s">
        <v>411</v>
      </c>
      <c r="G36" s="43">
        <v>32</v>
      </c>
    </row>
    <row r="37" spans="1:15" x14ac:dyDescent="0.3">
      <c r="A37" s="47"/>
      <c r="B37" s="48"/>
      <c r="F37" s="41" t="s">
        <v>1030</v>
      </c>
      <c r="G37" s="43">
        <v>22</v>
      </c>
    </row>
    <row r="38" spans="1:15" x14ac:dyDescent="0.3">
      <c r="A38" s="47"/>
      <c r="B38" s="48"/>
      <c r="F38" s="41" t="s">
        <v>1062</v>
      </c>
      <c r="G38" s="43">
        <v>38</v>
      </c>
    </row>
    <row r="39" spans="1:15" x14ac:dyDescent="0.3">
      <c r="A39" s="47"/>
      <c r="B39" s="48"/>
      <c r="F39" s="41" t="s">
        <v>1018</v>
      </c>
      <c r="G39" s="43">
        <v>27</v>
      </c>
    </row>
    <row r="40" spans="1:15" x14ac:dyDescent="0.3">
      <c r="A40" s="47"/>
      <c r="B40" s="48"/>
      <c r="F40" s="41" t="s">
        <v>1052</v>
      </c>
      <c r="G40" s="43">
        <v>27</v>
      </c>
    </row>
    <row r="41" spans="1:15" x14ac:dyDescent="0.3">
      <c r="F41" s="41" t="s">
        <v>1033</v>
      </c>
      <c r="G41" s="43">
        <v>27</v>
      </c>
    </row>
    <row r="42" spans="1:15" x14ac:dyDescent="0.3">
      <c r="F42" s="41" t="s">
        <v>1048</v>
      </c>
      <c r="G42" s="43">
        <v>27</v>
      </c>
    </row>
    <row r="43" spans="1:15" x14ac:dyDescent="0.3">
      <c r="F43" s="41" t="s">
        <v>2061</v>
      </c>
      <c r="G43" s="43">
        <v>200</v>
      </c>
    </row>
    <row r="45" spans="1:15" x14ac:dyDescent="0.3">
      <c r="F45" s="50" t="s">
        <v>2123</v>
      </c>
      <c r="M45" t="s">
        <v>2129</v>
      </c>
      <c r="O45" t="str">
        <f>B58</f>
        <v>R05</v>
      </c>
    </row>
    <row r="47" spans="1:15" x14ac:dyDescent="0.3">
      <c r="B47" s="40" t="s">
        <v>2060</v>
      </c>
      <c r="C47" t="s">
        <v>2113</v>
      </c>
      <c r="D47" t="s">
        <v>2114</v>
      </c>
      <c r="F47" t="s">
        <v>2124</v>
      </c>
      <c r="G47" t="s">
        <v>2125</v>
      </c>
      <c r="H47" t="s">
        <v>2126</v>
      </c>
      <c r="I47" t="s">
        <v>2127</v>
      </c>
      <c r="J47" t="s">
        <v>2128</v>
      </c>
    </row>
    <row r="48" spans="1:15" x14ac:dyDescent="0.3">
      <c r="B48" s="41" t="s">
        <v>1029</v>
      </c>
      <c r="C48" s="43">
        <v>189</v>
      </c>
      <c r="D48" s="44">
        <v>18415</v>
      </c>
      <c r="F48" t="str" cm="1">
        <f t="array" ref="F48:H52">B48:D52</f>
        <v>R01</v>
      </c>
      <c r="G48">
        <v>189</v>
      </c>
      <c r="H48" s="51">
        <v>18415</v>
      </c>
      <c r="I48" t="e">
        <f>IF(F48 = O45,G48,NA())</f>
        <v>#N/A</v>
      </c>
      <c r="J48" t="e">
        <f>IF(F48 =  O45,H48,NA())</f>
        <v>#N/A</v>
      </c>
    </row>
    <row r="49" spans="2:10" x14ac:dyDescent="0.3">
      <c r="B49" s="41" t="s">
        <v>1024</v>
      </c>
      <c r="C49" s="43">
        <v>218</v>
      </c>
      <c r="D49" s="44">
        <v>20581</v>
      </c>
      <c r="F49" t="str">
        <v>R02</v>
      </c>
      <c r="G49">
        <v>218</v>
      </c>
      <c r="H49" s="51">
        <v>20581</v>
      </c>
      <c r="I49" t="e">
        <f>IF(F49 = O45,G49,NA())</f>
        <v>#N/A</v>
      </c>
      <c r="J49" t="e">
        <f>IF(F49 =  O45,H49,NA())</f>
        <v>#N/A</v>
      </c>
    </row>
    <row r="50" spans="2:10" x14ac:dyDescent="0.3">
      <c r="B50" s="41" t="s">
        <v>1042</v>
      </c>
      <c r="C50" s="43">
        <v>207</v>
      </c>
      <c r="D50" s="44">
        <v>20872</v>
      </c>
      <c r="F50" t="str">
        <v>R03</v>
      </c>
      <c r="G50">
        <v>207</v>
      </c>
      <c r="H50" s="51">
        <v>20872</v>
      </c>
      <c r="I50" t="e">
        <f>IF(F50 = O45,G50,NA())</f>
        <v>#N/A</v>
      </c>
      <c r="J50" t="e">
        <f>IF(F50 =  O45,H50,NA())</f>
        <v>#N/A</v>
      </c>
    </row>
    <row r="51" spans="2:10" x14ac:dyDescent="0.3">
      <c r="B51" s="41" t="s">
        <v>1038</v>
      </c>
      <c r="C51" s="43">
        <v>186</v>
      </c>
      <c r="D51" s="44">
        <v>16651</v>
      </c>
      <c r="F51" t="str">
        <v>R04</v>
      </c>
      <c r="G51">
        <v>186</v>
      </c>
      <c r="H51" s="51">
        <v>16651</v>
      </c>
      <c r="I51" t="e">
        <f>IF(F51 = O45,G51,NA())</f>
        <v>#N/A</v>
      </c>
      <c r="J51" t="e">
        <f>IF(F51 =  O45,H51,NA())</f>
        <v>#N/A</v>
      </c>
    </row>
    <row r="52" spans="2:10" x14ac:dyDescent="0.3">
      <c r="B52" s="41" t="s">
        <v>1017</v>
      </c>
      <c r="C52" s="43">
        <v>200</v>
      </c>
      <c r="D52" s="44">
        <v>20104</v>
      </c>
      <c r="F52" t="str">
        <v>R05</v>
      </c>
      <c r="G52">
        <v>200</v>
      </c>
      <c r="H52" s="51">
        <v>20104</v>
      </c>
      <c r="I52">
        <f>IF(F52 = O45,G52,NA())</f>
        <v>200</v>
      </c>
      <c r="J52">
        <f>IF(F52 =  O45,H52,NA())</f>
        <v>20104</v>
      </c>
    </row>
    <row r="53" spans="2:10" x14ac:dyDescent="0.3">
      <c r="B53" s="41" t="s">
        <v>2061</v>
      </c>
      <c r="C53" s="43">
        <v>1000</v>
      </c>
      <c r="D53" s="44">
        <v>96623</v>
      </c>
    </row>
    <row r="56" spans="2:10" ht="21" x14ac:dyDescent="0.4">
      <c r="H56" s="65" t="s">
        <v>2132</v>
      </c>
    </row>
    <row r="57" spans="2:10" x14ac:dyDescent="0.3">
      <c r="B57" s="40" t="s">
        <v>2060</v>
      </c>
    </row>
    <row r="58" spans="2:10" x14ac:dyDescent="0.3">
      <c r="B58" s="52" t="s">
        <v>1017</v>
      </c>
      <c r="H58" t="s">
        <v>2133</v>
      </c>
      <c r="I58" t="e">
        <f xml:space="preserve"> A8,A4</f>
        <v>#VALUE!</v>
      </c>
    </row>
    <row r="62" spans="2:10" x14ac:dyDescent="0.3">
      <c r="B62" s="40" t="s">
        <v>2113</v>
      </c>
      <c r="C62" s="40" t="s">
        <v>2082</v>
      </c>
    </row>
    <row r="63" spans="2:10" x14ac:dyDescent="0.3">
      <c r="B63" s="40" t="s">
        <v>2060</v>
      </c>
      <c r="C63" t="s">
        <v>11</v>
      </c>
      <c r="D63" t="s">
        <v>24</v>
      </c>
      <c r="E63" t="s">
        <v>2061</v>
      </c>
    </row>
    <row r="64" spans="2:10" x14ac:dyDescent="0.3">
      <c r="B64" s="41" t="s">
        <v>2058</v>
      </c>
      <c r="C64" s="43">
        <v>144</v>
      </c>
      <c r="D64" s="43">
        <v>132</v>
      </c>
      <c r="E64" s="43">
        <v>276</v>
      </c>
    </row>
    <row r="65" spans="2:5" x14ac:dyDescent="0.3">
      <c r="B65" s="41" t="s">
        <v>2057</v>
      </c>
      <c r="C65" s="43">
        <v>326</v>
      </c>
      <c r="D65" s="43">
        <v>63</v>
      </c>
      <c r="E65" s="43">
        <v>389</v>
      </c>
    </row>
    <row r="66" spans="2:5" x14ac:dyDescent="0.3">
      <c r="B66" s="41" t="s">
        <v>2056</v>
      </c>
      <c r="C66" s="43">
        <v>129</v>
      </c>
      <c r="D66" s="43">
        <v>206</v>
      </c>
      <c r="E66" s="43">
        <v>335</v>
      </c>
    </row>
    <row r="67" spans="2:5" x14ac:dyDescent="0.3">
      <c r="B67" s="41" t="s">
        <v>2061</v>
      </c>
      <c r="C67" s="43">
        <v>599</v>
      </c>
      <c r="D67" s="43">
        <v>401</v>
      </c>
      <c r="E67" s="43">
        <v>1000</v>
      </c>
    </row>
    <row r="77" spans="2:5" x14ac:dyDescent="0.3">
      <c r="B77" s="40" t="s">
        <v>2060</v>
      </c>
      <c r="C77" t="s">
        <v>2113</v>
      </c>
    </row>
    <row r="78" spans="2:5" x14ac:dyDescent="0.3">
      <c r="B78" s="41">
        <v>2</v>
      </c>
      <c r="C78" s="43">
        <v>10</v>
      </c>
    </row>
    <row r="79" spans="2:5" x14ac:dyDescent="0.3">
      <c r="B79" s="41">
        <v>3</v>
      </c>
      <c r="C79" s="43">
        <v>44</v>
      </c>
    </row>
    <row r="80" spans="2:5" x14ac:dyDescent="0.3">
      <c r="B80" s="41">
        <v>4</v>
      </c>
      <c r="C80" s="43">
        <v>95</v>
      </c>
    </row>
    <row r="81" spans="2:3" x14ac:dyDescent="0.3">
      <c r="B81" s="41">
        <v>5</v>
      </c>
      <c r="C81" s="43">
        <v>51</v>
      </c>
    </row>
    <row r="82" spans="2:3" x14ac:dyDescent="0.3">
      <c r="B82" s="41" t="s">
        <v>2061</v>
      </c>
      <c r="C82" s="43">
        <v>200</v>
      </c>
    </row>
    <row r="97" spans="2:4" x14ac:dyDescent="0.3">
      <c r="B97" s="40" t="s">
        <v>2114</v>
      </c>
      <c r="C97" s="40" t="s">
        <v>2082</v>
      </c>
    </row>
    <row r="98" spans="2:4" x14ac:dyDescent="0.3">
      <c r="B98" s="40" t="s">
        <v>2060</v>
      </c>
      <c r="C98" t="s">
        <v>1017</v>
      </c>
      <c r="D98" t="s">
        <v>2061</v>
      </c>
    </row>
    <row r="99" spans="2:4" x14ac:dyDescent="0.3">
      <c r="B99" s="41" t="s">
        <v>2058</v>
      </c>
    </row>
    <row r="100" spans="2:4" x14ac:dyDescent="0.3">
      <c r="B100" s="49" t="s">
        <v>1016</v>
      </c>
      <c r="C100" s="44">
        <v>560</v>
      </c>
      <c r="D100" s="44">
        <v>560</v>
      </c>
    </row>
    <row r="101" spans="2:4" x14ac:dyDescent="0.3">
      <c r="B101" s="49" t="s">
        <v>1021</v>
      </c>
      <c r="C101" s="44">
        <v>1722</v>
      </c>
      <c r="D101" s="44">
        <v>1722</v>
      </c>
    </row>
    <row r="102" spans="2:4" x14ac:dyDescent="0.3">
      <c r="B102" s="49" t="s">
        <v>1028</v>
      </c>
      <c r="C102" s="44">
        <v>1747</v>
      </c>
      <c r="D102" s="44">
        <v>1747</v>
      </c>
    </row>
    <row r="103" spans="2:4" x14ac:dyDescent="0.3">
      <c r="B103" s="49" t="s">
        <v>1068</v>
      </c>
      <c r="C103" s="44">
        <v>2070</v>
      </c>
      <c r="D103" s="44">
        <v>2070</v>
      </c>
    </row>
    <row r="104" spans="2:4" x14ac:dyDescent="0.3">
      <c r="B104" s="41" t="s">
        <v>2057</v>
      </c>
    </row>
    <row r="105" spans="2:4" x14ac:dyDescent="0.3">
      <c r="B105" s="49" t="s">
        <v>1047</v>
      </c>
      <c r="C105" s="44">
        <v>1508</v>
      </c>
      <c r="D105" s="44">
        <v>1508</v>
      </c>
    </row>
    <row r="106" spans="2:4" x14ac:dyDescent="0.3">
      <c r="B106" s="49" t="s">
        <v>1036</v>
      </c>
      <c r="C106" s="44">
        <v>1416</v>
      </c>
      <c r="D106" s="44">
        <v>1416</v>
      </c>
    </row>
    <row r="107" spans="2:4" x14ac:dyDescent="0.3">
      <c r="B107" s="49" t="s">
        <v>1098</v>
      </c>
      <c r="C107" s="44">
        <v>1193</v>
      </c>
      <c r="D107" s="44">
        <v>1193</v>
      </c>
    </row>
    <row r="108" spans="2:4" x14ac:dyDescent="0.3">
      <c r="B108" s="49" t="s">
        <v>1041</v>
      </c>
      <c r="C108" s="44">
        <v>941</v>
      </c>
      <c r="D108" s="44">
        <v>941</v>
      </c>
    </row>
    <row r="109" spans="2:4" x14ac:dyDescent="0.3">
      <c r="B109" s="49" t="s">
        <v>1045</v>
      </c>
      <c r="C109" s="44">
        <v>1722</v>
      </c>
      <c r="D109" s="44">
        <v>1722</v>
      </c>
    </row>
    <row r="110" spans="2:4" x14ac:dyDescent="0.3">
      <c r="B110" s="49" t="s">
        <v>1065</v>
      </c>
      <c r="C110" s="44">
        <v>1154</v>
      </c>
      <c r="D110" s="44">
        <v>1154</v>
      </c>
    </row>
    <row r="111" spans="2:4" x14ac:dyDescent="0.3">
      <c r="B111" s="41" t="s">
        <v>2056</v>
      </c>
    </row>
    <row r="112" spans="2:4" x14ac:dyDescent="0.3">
      <c r="B112" s="49" t="s">
        <v>1078</v>
      </c>
      <c r="C112" s="44">
        <v>1075</v>
      </c>
      <c r="D112" s="44">
        <v>1075</v>
      </c>
    </row>
    <row r="113" spans="2:4" x14ac:dyDescent="0.3">
      <c r="B113" s="49" t="s">
        <v>1023</v>
      </c>
      <c r="C113" s="44">
        <v>1196</v>
      </c>
      <c r="D113" s="44">
        <v>1196</v>
      </c>
    </row>
    <row r="114" spans="2:4" x14ac:dyDescent="0.3">
      <c r="B114" s="49" t="s">
        <v>1059</v>
      </c>
      <c r="C114" s="44">
        <v>1484</v>
      </c>
      <c r="D114" s="44">
        <v>1484</v>
      </c>
    </row>
    <row r="115" spans="2:4" x14ac:dyDescent="0.3">
      <c r="B115" s="49" t="s">
        <v>1055</v>
      </c>
      <c r="C115" s="44">
        <v>1566</v>
      </c>
      <c r="D115" s="44">
        <v>1566</v>
      </c>
    </row>
    <row r="116" spans="2:4" x14ac:dyDescent="0.3">
      <c r="B116" s="49" t="s">
        <v>1026</v>
      </c>
      <c r="C116" s="44">
        <v>750</v>
      </c>
      <c r="D116" s="44">
        <v>750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E6E7-666B-40C6-A93D-3B68AD3264BE}">
  <dimension ref="A1:S1002"/>
  <sheetViews>
    <sheetView topLeftCell="A2" workbookViewId="0">
      <selection activeCell="D21" sqref="D21"/>
    </sheetView>
  </sheetViews>
  <sheetFormatPr defaultRowHeight="14.4" x14ac:dyDescent="0.3"/>
  <cols>
    <col min="1" max="1" width="16.77734375" bestFit="1" customWidth="1"/>
    <col min="2" max="2" width="10.88671875" bestFit="1" customWidth="1"/>
    <col min="3" max="3" width="10.6640625" bestFit="1" customWidth="1"/>
    <col min="4" max="4" width="13.109375" bestFit="1" customWidth="1"/>
    <col min="5" max="5" width="10.6640625" style="1" bestFit="1" customWidth="1"/>
    <col min="6" max="6" width="15.33203125" bestFit="1" customWidth="1"/>
    <col min="7" max="7" width="15.88671875" bestFit="1" customWidth="1"/>
    <col min="8" max="9" width="10.6640625" bestFit="1" customWidth="1"/>
    <col min="10" max="10" width="15.33203125" bestFit="1" customWidth="1"/>
    <col min="11" max="11" width="13.109375" bestFit="1" customWidth="1"/>
    <col min="12" max="12" width="19.109375" customWidth="1"/>
    <col min="13" max="19" width="11.6640625" bestFit="1" customWidth="1"/>
  </cols>
  <sheetData>
    <row r="1" spans="1:19" x14ac:dyDescent="0.3">
      <c r="A1" t="s">
        <v>1004</v>
      </c>
      <c r="B1" t="s">
        <v>1005</v>
      </c>
      <c r="C1" t="s">
        <v>1006</v>
      </c>
      <c r="D1" t="s">
        <v>1007</v>
      </c>
      <c r="E1" s="1" t="s">
        <v>1008</v>
      </c>
      <c r="F1" t="s">
        <v>1009</v>
      </c>
      <c r="G1" t="s">
        <v>1010</v>
      </c>
      <c r="H1" t="s">
        <v>1011</v>
      </c>
      <c r="I1" t="s">
        <v>1012</v>
      </c>
      <c r="J1" t="s">
        <v>1013</v>
      </c>
      <c r="K1" t="s">
        <v>1014</v>
      </c>
      <c r="L1" t="s">
        <v>2084</v>
      </c>
      <c r="M1" t="s">
        <v>2048</v>
      </c>
      <c r="N1" t="s">
        <v>2049</v>
      </c>
      <c r="O1" t="s">
        <v>2050</v>
      </c>
      <c r="P1" t="s">
        <v>2059</v>
      </c>
      <c r="Q1" t="s">
        <v>2054</v>
      </c>
      <c r="R1" t="s">
        <v>312</v>
      </c>
      <c r="S1" t="s">
        <v>2055</v>
      </c>
    </row>
    <row r="2" spans="1:19" x14ac:dyDescent="0.3">
      <c r="A2" t="s">
        <v>1015</v>
      </c>
      <c r="B2" t="s">
        <v>1016</v>
      </c>
      <c r="C2">
        <v>116</v>
      </c>
      <c r="D2" t="s">
        <v>1017</v>
      </c>
      <c r="E2" s="1">
        <v>44927</v>
      </c>
      <c r="F2">
        <v>128</v>
      </c>
      <c r="G2">
        <v>4.9000000000000004</v>
      </c>
      <c r="H2">
        <v>2023</v>
      </c>
      <c r="I2" t="s">
        <v>1018</v>
      </c>
      <c r="J2" t="s">
        <v>1019</v>
      </c>
      <c r="K2">
        <v>5</v>
      </c>
      <c r="P2" t="s">
        <v>1078</v>
      </c>
      <c r="Q2" t="s">
        <v>24</v>
      </c>
      <c r="R2">
        <v>41</v>
      </c>
      <c r="S2" t="s">
        <v>2056</v>
      </c>
    </row>
    <row r="3" spans="1:19" x14ac:dyDescent="0.3">
      <c r="A3" t="s">
        <v>1020</v>
      </c>
      <c r="B3" t="s">
        <v>1021</v>
      </c>
      <c r="C3">
        <v>119</v>
      </c>
      <c r="D3" t="s">
        <v>1017</v>
      </c>
      <c r="E3" s="1">
        <v>44927</v>
      </c>
      <c r="F3">
        <v>135</v>
      </c>
      <c r="G3">
        <v>2.9</v>
      </c>
      <c r="H3">
        <v>2023</v>
      </c>
      <c r="I3" t="s">
        <v>1018</v>
      </c>
      <c r="J3" t="s">
        <v>1019</v>
      </c>
      <c r="K3">
        <v>3</v>
      </c>
      <c r="P3" t="s">
        <v>1047</v>
      </c>
      <c r="Q3" t="s">
        <v>24</v>
      </c>
      <c r="R3">
        <v>31</v>
      </c>
      <c r="S3" t="s">
        <v>2057</v>
      </c>
    </row>
    <row r="4" spans="1:19" x14ac:dyDescent="0.3">
      <c r="A4" t="s">
        <v>1022</v>
      </c>
      <c r="B4" t="s">
        <v>1023</v>
      </c>
      <c r="C4">
        <v>68</v>
      </c>
      <c r="D4" t="s">
        <v>1024</v>
      </c>
      <c r="E4" s="1">
        <v>44927</v>
      </c>
      <c r="F4">
        <v>66</v>
      </c>
      <c r="G4">
        <v>4.7</v>
      </c>
      <c r="H4">
        <v>2023</v>
      </c>
      <c r="I4" t="s">
        <v>1018</v>
      </c>
      <c r="J4" t="s">
        <v>1019</v>
      </c>
      <c r="K4">
        <v>5</v>
      </c>
      <c r="P4" t="s">
        <v>1016</v>
      </c>
      <c r="Q4" t="s">
        <v>24</v>
      </c>
      <c r="R4">
        <v>26</v>
      </c>
      <c r="S4" t="s">
        <v>2058</v>
      </c>
    </row>
    <row r="5" spans="1:19" x14ac:dyDescent="0.3">
      <c r="A5" t="s">
        <v>1025</v>
      </c>
      <c r="B5" t="s">
        <v>1026</v>
      </c>
      <c r="C5">
        <v>119</v>
      </c>
      <c r="D5" t="s">
        <v>1024</v>
      </c>
      <c r="E5" s="1">
        <v>44927</v>
      </c>
      <c r="F5">
        <v>22</v>
      </c>
      <c r="G5">
        <v>2.9</v>
      </c>
      <c r="H5">
        <v>2023</v>
      </c>
      <c r="I5" t="s">
        <v>1018</v>
      </c>
      <c r="J5" t="s">
        <v>1019</v>
      </c>
      <c r="K5">
        <v>3</v>
      </c>
      <c r="P5" t="s">
        <v>1021</v>
      </c>
      <c r="Q5" t="s">
        <v>24</v>
      </c>
      <c r="R5">
        <v>36</v>
      </c>
      <c r="S5" t="s">
        <v>2058</v>
      </c>
    </row>
    <row r="6" spans="1:19" x14ac:dyDescent="0.3">
      <c r="A6" t="s">
        <v>1027</v>
      </c>
      <c r="B6" t="s">
        <v>1028</v>
      </c>
      <c r="C6">
        <v>128</v>
      </c>
      <c r="D6" t="s">
        <v>1029</v>
      </c>
      <c r="E6" s="1">
        <v>44928</v>
      </c>
      <c r="F6">
        <v>31</v>
      </c>
      <c r="G6">
        <v>2.8</v>
      </c>
      <c r="H6">
        <v>2023</v>
      </c>
      <c r="I6" t="s">
        <v>1030</v>
      </c>
      <c r="J6" t="s">
        <v>1031</v>
      </c>
      <c r="K6">
        <v>3</v>
      </c>
      <c r="P6" t="s">
        <v>1023</v>
      </c>
      <c r="Q6" t="s">
        <v>24</v>
      </c>
      <c r="R6">
        <v>37</v>
      </c>
      <c r="S6" t="s">
        <v>2056</v>
      </c>
    </row>
    <row r="7" spans="1:19" x14ac:dyDescent="0.3">
      <c r="A7" t="s">
        <v>1032</v>
      </c>
      <c r="B7" t="s">
        <v>1028</v>
      </c>
      <c r="C7">
        <v>49</v>
      </c>
      <c r="D7" t="s">
        <v>1024</v>
      </c>
      <c r="E7" s="1">
        <v>44929</v>
      </c>
      <c r="F7">
        <v>135</v>
      </c>
      <c r="G7">
        <v>4.8</v>
      </c>
      <c r="H7">
        <v>2023</v>
      </c>
      <c r="I7" t="s">
        <v>1033</v>
      </c>
      <c r="J7" t="s">
        <v>1034</v>
      </c>
      <c r="K7">
        <v>5</v>
      </c>
      <c r="P7" t="s">
        <v>1059</v>
      </c>
      <c r="Q7" t="s">
        <v>24</v>
      </c>
      <c r="R7">
        <v>23</v>
      </c>
      <c r="S7" t="s">
        <v>2056</v>
      </c>
    </row>
    <row r="8" spans="1:19" x14ac:dyDescent="0.3">
      <c r="A8" t="s">
        <v>1035</v>
      </c>
      <c r="B8" t="s">
        <v>1036</v>
      </c>
      <c r="C8">
        <v>84</v>
      </c>
      <c r="D8" t="s">
        <v>1017</v>
      </c>
      <c r="E8" s="1">
        <v>44929</v>
      </c>
      <c r="F8">
        <v>60</v>
      </c>
      <c r="G8">
        <v>4.7</v>
      </c>
      <c r="H8">
        <v>2023</v>
      </c>
      <c r="I8" t="s">
        <v>1033</v>
      </c>
      <c r="J8" t="s">
        <v>1019</v>
      </c>
      <c r="K8">
        <v>5</v>
      </c>
      <c r="P8" t="s">
        <v>1036</v>
      </c>
      <c r="Q8" t="s">
        <v>11</v>
      </c>
      <c r="R8">
        <v>22</v>
      </c>
      <c r="S8" t="s">
        <v>2057</v>
      </c>
    </row>
    <row r="9" spans="1:19" x14ac:dyDescent="0.3">
      <c r="A9" t="s">
        <v>1037</v>
      </c>
      <c r="B9" t="s">
        <v>1016</v>
      </c>
      <c r="C9">
        <v>103</v>
      </c>
      <c r="D9" t="s">
        <v>1038</v>
      </c>
      <c r="E9" s="1">
        <v>44929</v>
      </c>
      <c r="F9">
        <v>148</v>
      </c>
      <c r="G9">
        <v>4.4000000000000004</v>
      </c>
      <c r="H9">
        <v>2023</v>
      </c>
      <c r="I9" t="s">
        <v>1033</v>
      </c>
      <c r="J9" t="s">
        <v>1019</v>
      </c>
      <c r="K9">
        <v>4</v>
      </c>
      <c r="P9" t="s">
        <v>1098</v>
      </c>
      <c r="Q9" t="s">
        <v>11</v>
      </c>
      <c r="R9">
        <v>42</v>
      </c>
      <c r="S9" t="s">
        <v>2057</v>
      </c>
    </row>
    <row r="10" spans="1:19" x14ac:dyDescent="0.3">
      <c r="A10" t="s">
        <v>1039</v>
      </c>
      <c r="B10" t="s">
        <v>1023</v>
      </c>
      <c r="C10">
        <v>31</v>
      </c>
      <c r="D10" t="s">
        <v>1024</v>
      </c>
      <c r="E10" s="1">
        <v>44929</v>
      </c>
      <c r="F10">
        <v>135</v>
      </c>
      <c r="G10">
        <v>3.6</v>
      </c>
      <c r="H10">
        <v>2023</v>
      </c>
      <c r="I10" t="s">
        <v>1033</v>
      </c>
      <c r="J10" t="s">
        <v>1034</v>
      </c>
      <c r="K10">
        <v>4</v>
      </c>
      <c r="P10" t="s">
        <v>1055</v>
      </c>
      <c r="Q10" t="s">
        <v>11</v>
      </c>
      <c r="R10">
        <v>25</v>
      </c>
      <c r="S10" t="s">
        <v>2056</v>
      </c>
    </row>
    <row r="11" spans="1:19" x14ac:dyDescent="0.3">
      <c r="A11" t="s">
        <v>1040</v>
      </c>
      <c r="B11" t="s">
        <v>1041</v>
      </c>
      <c r="C11">
        <v>44</v>
      </c>
      <c r="D11" t="s">
        <v>1042</v>
      </c>
      <c r="E11" s="1">
        <v>44929</v>
      </c>
      <c r="F11">
        <v>105</v>
      </c>
      <c r="G11">
        <v>2.9</v>
      </c>
      <c r="H11">
        <v>2023</v>
      </c>
      <c r="I11" t="s">
        <v>1033</v>
      </c>
      <c r="J11" t="s">
        <v>1034</v>
      </c>
      <c r="K11">
        <v>3</v>
      </c>
      <c r="P11" t="s">
        <v>1041</v>
      </c>
      <c r="Q11" t="s">
        <v>11</v>
      </c>
      <c r="R11">
        <v>30</v>
      </c>
      <c r="S11" t="s">
        <v>2057</v>
      </c>
    </row>
    <row r="12" spans="1:19" x14ac:dyDescent="0.3">
      <c r="A12" t="s">
        <v>1043</v>
      </c>
      <c r="B12" t="s">
        <v>1028</v>
      </c>
      <c r="C12">
        <v>102</v>
      </c>
      <c r="D12" t="s">
        <v>1024</v>
      </c>
      <c r="E12" s="1">
        <v>44929</v>
      </c>
      <c r="F12">
        <v>69</v>
      </c>
      <c r="G12">
        <v>4.9000000000000004</v>
      </c>
      <c r="H12">
        <v>2023</v>
      </c>
      <c r="I12" t="s">
        <v>1033</v>
      </c>
      <c r="J12" t="s">
        <v>1019</v>
      </c>
      <c r="K12">
        <v>5</v>
      </c>
      <c r="P12" t="s">
        <v>1028</v>
      </c>
      <c r="Q12" t="s">
        <v>11</v>
      </c>
      <c r="R12">
        <v>30</v>
      </c>
      <c r="S12" t="s">
        <v>2058</v>
      </c>
    </row>
    <row r="13" spans="1:19" x14ac:dyDescent="0.3">
      <c r="A13" t="s">
        <v>1044</v>
      </c>
      <c r="B13" t="s">
        <v>1045</v>
      </c>
      <c r="C13">
        <v>135</v>
      </c>
      <c r="D13" t="s">
        <v>1017</v>
      </c>
      <c r="E13" s="1">
        <v>44929</v>
      </c>
      <c r="F13">
        <v>46</v>
      </c>
      <c r="G13">
        <v>3.4</v>
      </c>
      <c r="H13">
        <v>2023</v>
      </c>
      <c r="I13" t="s">
        <v>1033</v>
      </c>
      <c r="J13" t="s">
        <v>1031</v>
      </c>
      <c r="K13">
        <v>3</v>
      </c>
      <c r="P13" t="s">
        <v>1068</v>
      </c>
      <c r="Q13" t="s">
        <v>11</v>
      </c>
      <c r="R13">
        <v>28</v>
      </c>
      <c r="S13" t="s">
        <v>2058</v>
      </c>
    </row>
    <row r="14" spans="1:19" x14ac:dyDescent="0.3">
      <c r="A14" t="s">
        <v>1046</v>
      </c>
      <c r="B14" t="s">
        <v>1047</v>
      </c>
      <c r="C14">
        <v>98</v>
      </c>
      <c r="D14" t="s">
        <v>1024</v>
      </c>
      <c r="E14" s="1">
        <v>44930</v>
      </c>
      <c r="F14">
        <v>108</v>
      </c>
      <c r="G14">
        <v>3.5</v>
      </c>
      <c r="H14">
        <v>2023</v>
      </c>
      <c r="I14" t="s">
        <v>1048</v>
      </c>
      <c r="J14" t="s">
        <v>1019</v>
      </c>
      <c r="K14">
        <v>4</v>
      </c>
      <c r="P14" t="s">
        <v>1045</v>
      </c>
      <c r="Q14" t="s">
        <v>11</v>
      </c>
      <c r="R14">
        <v>37</v>
      </c>
      <c r="S14" t="s">
        <v>2057</v>
      </c>
    </row>
    <row r="15" spans="1:19" x14ac:dyDescent="0.3">
      <c r="A15" t="s">
        <v>1049</v>
      </c>
      <c r="B15" t="s">
        <v>1041</v>
      </c>
      <c r="C15">
        <v>139</v>
      </c>
      <c r="D15" t="s">
        <v>1024</v>
      </c>
      <c r="E15" s="1">
        <v>44930</v>
      </c>
      <c r="F15">
        <v>96</v>
      </c>
      <c r="G15">
        <v>4</v>
      </c>
      <c r="H15">
        <v>2023</v>
      </c>
      <c r="I15" t="s">
        <v>1048</v>
      </c>
      <c r="J15" t="s">
        <v>1031</v>
      </c>
      <c r="K15">
        <v>4</v>
      </c>
      <c r="P15" t="s">
        <v>1026</v>
      </c>
      <c r="Q15" t="s">
        <v>11</v>
      </c>
      <c r="R15">
        <v>38</v>
      </c>
      <c r="S15" t="s">
        <v>2056</v>
      </c>
    </row>
    <row r="16" spans="1:19" x14ac:dyDescent="0.3">
      <c r="A16" t="s">
        <v>1050</v>
      </c>
      <c r="B16" t="s">
        <v>1045</v>
      </c>
      <c r="C16">
        <v>48</v>
      </c>
      <c r="D16" t="s">
        <v>1029</v>
      </c>
      <c r="E16" s="1">
        <v>44930</v>
      </c>
      <c r="F16">
        <v>68</v>
      </c>
      <c r="G16">
        <v>4.9000000000000004</v>
      </c>
      <c r="H16">
        <v>2023</v>
      </c>
      <c r="I16" t="s">
        <v>1048</v>
      </c>
      <c r="J16" t="s">
        <v>1034</v>
      </c>
      <c r="K16">
        <v>5</v>
      </c>
      <c r="P16" t="s">
        <v>1065</v>
      </c>
      <c r="Q16" t="s">
        <v>11</v>
      </c>
      <c r="R16">
        <v>43</v>
      </c>
      <c r="S16" t="s">
        <v>2057</v>
      </c>
    </row>
    <row r="17" spans="1:11" x14ac:dyDescent="0.3">
      <c r="A17" t="s">
        <v>1051</v>
      </c>
      <c r="B17" t="s">
        <v>1041</v>
      </c>
      <c r="C17">
        <v>176</v>
      </c>
      <c r="D17" t="s">
        <v>1017</v>
      </c>
      <c r="E17" s="1">
        <v>44931</v>
      </c>
      <c r="F17">
        <v>24</v>
      </c>
      <c r="G17">
        <v>4.8</v>
      </c>
      <c r="H17">
        <v>2023</v>
      </c>
      <c r="I17" t="s">
        <v>1052</v>
      </c>
      <c r="J17" t="s">
        <v>1031</v>
      </c>
      <c r="K17">
        <v>5</v>
      </c>
    </row>
    <row r="18" spans="1:11" x14ac:dyDescent="0.3">
      <c r="A18" t="s">
        <v>1053</v>
      </c>
      <c r="B18" t="s">
        <v>1041</v>
      </c>
      <c r="C18">
        <v>99</v>
      </c>
      <c r="D18" t="s">
        <v>1029</v>
      </c>
      <c r="E18" s="1">
        <v>44931</v>
      </c>
      <c r="F18">
        <v>195</v>
      </c>
      <c r="G18">
        <v>3.9</v>
      </c>
      <c r="H18">
        <v>2023</v>
      </c>
      <c r="I18" t="s">
        <v>1052</v>
      </c>
      <c r="J18" t="s">
        <v>1019</v>
      </c>
      <c r="K18">
        <v>4</v>
      </c>
    </row>
    <row r="19" spans="1:11" x14ac:dyDescent="0.3">
      <c r="A19" t="s">
        <v>1054</v>
      </c>
      <c r="B19" t="s">
        <v>1055</v>
      </c>
      <c r="C19">
        <v>28</v>
      </c>
      <c r="D19" t="s">
        <v>1042</v>
      </c>
      <c r="E19" s="1">
        <v>44931</v>
      </c>
      <c r="F19">
        <v>28</v>
      </c>
      <c r="G19">
        <v>3.8</v>
      </c>
      <c r="H19">
        <v>2023</v>
      </c>
      <c r="I19" t="s">
        <v>1052</v>
      </c>
      <c r="J19" t="s">
        <v>1056</v>
      </c>
      <c r="K19">
        <v>4</v>
      </c>
    </row>
    <row r="20" spans="1:11" x14ac:dyDescent="0.3">
      <c r="A20" t="s">
        <v>1057</v>
      </c>
      <c r="B20" t="s">
        <v>1036</v>
      </c>
      <c r="C20">
        <v>54</v>
      </c>
      <c r="D20" t="s">
        <v>1024</v>
      </c>
      <c r="E20" s="1">
        <v>44931</v>
      </c>
      <c r="F20">
        <v>170</v>
      </c>
      <c r="G20">
        <v>4.3</v>
      </c>
      <c r="H20">
        <v>2023</v>
      </c>
      <c r="I20" t="s">
        <v>1052</v>
      </c>
      <c r="J20" t="s">
        <v>1034</v>
      </c>
      <c r="K20">
        <v>4</v>
      </c>
    </row>
    <row r="21" spans="1:11" x14ac:dyDescent="0.3">
      <c r="A21" t="s">
        <v>1058</v>
      </c>
      <c r="B21" t="s">
        <v>1059</v>
      </c>
      <c r="C21">
        <v>48</v>
      </c>
      <c r="D21" t="s">
        <v>1017</v>
      </c>
      <c r="E21" s="1">
        <v>44932</v>
      </c>
      <c r="F21">
        <v>30</v>
      </c>
      <c r="G21">
        <v>4.4000000000000004</v>
      </c>
      <c r="H21">
        <v>2023</v>
      </c>
      <c r="I21" t="s">
        <v>411</v>
      </c>
      <c r="J21" t="s">
        <v>1034</v>
      </c>
      <c r="K21">
        <v>4</v>
      </c>
    </row>
    <row r="22" spans="1:11" x14ac:dyDescent="0.3">
      <c r="A22" t="s">
        <v>1060</v>
      </c>
      <c r="B22" t="s">
        <v>1021</v>
      </c>
      <c r="C22">
        <v>128</v>
      </c>
      <c r="D22" t="s">
        <v>1017</v>
      </c>
      <c r="E22" s="1">
        <v>44932</v>
      </c>
      <c r="F22">
        <v>72</v>
      </c>
      <c r="G22">
        <v>5</v>
      </c>
      <c r="H22">
        <v>2023</v>
      </c>
      <c r="I22" t="s">
        <v>411</v>
      </c>
      <c r="J22" t="s">
        <v>1031</v>
      </c>
      <c r="K22">
        <v>5</v>
      </c>
    </row>
    <row r="23" spans="1:11" x14ac:dyDescent="0.3">
      <c r="A23" t="s">
        <v>1061</v>
      </c>
      <c r="B23" t="s">
        <v>1021</v>
      </c>
      <c r="C23">
        <v>38</v>
      </c>
      <c r="D23" t="s">
        <v>1038</v>
      </c>
      <c r="E23" s="1">
        <v>44933</v>
      </c>
      <c r="F23">
        <v>92</v>
      </c>
      <c r="G23">
        <v>4.9000000000000004</v>
      </c>
      <c r="H23">
        <v>2023</v>
      </c>
      <c r="I23" t="s">
        <v>1062</v>
      </c>
      <c r="J23" t="s">
        <v>1034</v>
      </c>
      <c r="K23">
        <v>5</v>
      </c>
    </row>
    <row r="24" spans="1:11" x14ac:dyDescent="0.3">
      <c r="A24" t="s">
        <v>1063</v>
      </c>
      <c r="B24" t="s">
        <v>1016</v>
      </c>
      <c r="C24">
        <v>67</v>
      </c>
      <c r="D24" t="s">
        <v>1038</v>
      </c>
      <c r="E24" s="1">
        <v>44934</v>
      </c>
      <c r="F24">
        <v>165</v>
      </c>
      <c r="G24">
        <v>4.5</v>
      </c>
      <c r="H24">
        <v>2023</v>
      </c>
      <c r="I24" t="s">
        <v>1018</v>
      </c>
      <c r="J24" t="s">
        <v>1019</v>
      </c>
      <c r="K24">
        <v>5</v>
      </c>
    </row>
    <row r="25" spans="1:11" x14ac:dyDescent="0.3">
      <c r="A25" t="s">
        <v>1064</v>
      </c>
      <c r="B25" t="s">
        <v>1065</v>
      </c>
      <c r="C25">
        <v>58</v>
      </c>
      <c r="D25" t="s">
        <v>1024</v>
      </c>
      <c r="E25" s="1">
        <v>44934</v>
      </c>
      <c r="F25">
        <v>140</v>
      </c>
      <c r="G25">
        <v>2.1</v>
      </c>
      <c r="H25">
        <v>2023</v>
      </c>
      <c r="I25" t="s">
        <v>1018</v>
      </c>
      <c r="J25" t="s">
        <v>1034</v>
      </c>
      <c r="K25">
        <v>2</v>
      </c>
    </row>
    <row r="26" spans="1:11" x14ac:dyDescent="0.3">
      <c r="A26" t="s">
        <v>1066</v>
      </c>
      <c r="B26" t="s">
        <v>1041</v>
      </c>
      <c r="C26">
        <v>54</v>
      </c>
      <c r="D26" t="s">
        <v>1029</v>
      </c>
      <c r="E26" s="1">
        <v>44934</v>
      </c>
      <c r="F26">
        <v>111</v>
      </c>
      <c r="G26">
        <v>3.3</v>
      </c>
      <c r="H26">
        <v>2023</v>
      </c>
      <c r="I26" t="s">
        <v>1018</v>
      </c>
      <c r="J26" t="s">
        <v>1034</v>
      </c>
      <c r="K26">
        <v>3</v>
      </c>
    </row>
    <row r="27" spans="1:11" x14ac:dyDescent="0.3">
      <c r="A27" t="s">
        <v>1067</v>
      </c>
      <c r="B27" t="s">
        <v>1068</v>
      </c>
      <c r="C27">
        <v>28</v>
      </c>
      <c r="D27" t="s">
        <v>1017</v>
      </c>
      <c r="E27" s="1">
        <v>44935</v>
      </c>
      <c r="F27">
        <v>63</v>
      </c>
      <c r="G27">
        <v>4.0999999999999996</v>
      </c>
      <c r="H27">
        <v>2023</v>
      </c>
      <c r="I27" t="s">
        <v>1030</v>
      </c>
      <c r="J27" t="s">
        <v>1056</v>
      </c>
      <c r="K27">
        <v>4</v>
      </c>
    </row>
    <row r="28" spans="1:11" x14ac:dyDescent="0.3">
      <c r="A28" t="s">
        <v>1069</v>
      </c>
      <c r="B28" t="s">
        <v>1047</v>
      </c>
      <c r="C28">
        <v>73</v>
      </c>
      <c r="D28" t="s">
        <v>1017</v>
      </c>
      <c r="E28" s="1">
        <v>44935</v>
      </c>
      <c r="F28">
        <v>80</v>
      </c>
      <c r="G28">
        <v>4.2</v>
      </c>
      <c r="H28">
        <v>2023</v>
      </c>
      <c r="I28" t="s">
        <v>1030</v>
      </c>
      <c r="J28" t="s">
        <v>1019</v>
      </c>
      <c r="K28">
        <v>4</v>
      </c>
    </row>
    <row r="29" spans="1:11" x14ac:dyDescent="0.3">
      <c r="A29" t="s">
        <v>1070</v>
      </c>
      <c r="B29" t="s">
        <v>1028</v>
      </c>
      <c r="C29">
        <v>81</v>
      </c>
      <c r="D29" t="s">
        <v>1017</v>
      </c>
      <c r="E29" s="1">
        <v>44936</v>
      </c>
      <c r="F29">
        <v>50</v>
      </c>
      <c r="G29">
        <v>4.5999999999999996</v>
      </c>
      <c r="H29">
        <v>2023</v>
      </c>
      <c r="I29" t="s">
        <v>1033</v>
      </c>
      <c r="J29" t="s">
        <v>1019</v>
      </c>
      <c r="K29">
        <v>5</v>
      </c>
    </row>
    <row r="30" spans="1:11" x14ac:dyDescent="0.3">
      <c r="A30" t="s">
        <v>1071</v>
      </c>
      <c r="B30" t="s">
        <v>1055</v>
      </c>
      <c r="C30">
        <v>31</v>
      </c>
      <c r="D30" t="s">
        <v>1038</v>
      </c>
      <c r="E30" s="1">
        <v>44936</v>
      </c>
      <c r="F30">
        <v>123</v>
      </c>
      <c r="G30">
        <v>2.9</v>
      </c>
      <c r="H30">
        <v>2023</v>
      </c>
      <c r="I30" t="s">
        <v>1033</v>
      </c>
      <c r="J30" t="s">
        <v>1034</v>
      </c>
      <c r="K30">
        <v>3</v>
      </c>
    </row>
    <row r="31" spans="1:11" x14ac:dyDescent="0.3">
      <c r="A31" t="s">
        <v>1072</v>
      </c>
      <c r="B31" t="s">
        <v>1065</v>
      </c>
      <c r="C31">
        <v>155</v>
      </c>
      <c r="D31" t="s">
        <v>1029</v>
      </c>
      <c r="E31" s="1">
        <v>44936</v>
      </c>
      <c r="F31">
        <v>110</v>
      </c>
      <c r="G31">
        <v>4.8</v>
      </c>
      <c r="H31">
        <v>2023</v>
      </c>
      <c r="I31" t="s">
        <v>1033</v>
      </c>
      <c r="J31" t="s">
        <v>1031</v>
      </c>
      <c r="K31">
        <v>5</v>
      </c>
    </row>
    <row r="32" spans="1:11" x14ac:dyDescent="0.3">
      <c r="A32" t="s">
        <v>1073</v>
      </c>
      <c r="B32" t="s">
        <v>1055</v>
      </c>
      <c r="C32">
        <v>80</v>
      </c>
      <c r="D32" t="s">
        <v>1017</v>
      </c>
      <c r="E32" s="1">
        <v>44936</v>
      </c>
      <c r="F32">
        <v>140</v>
      </c>
      <c r="G32">
        <v>4.2</v>
      </c>
      <c r="H32">
        <v>2023</v>
      </c>
      <c r="I32" t="s">
        <v>1033</v>
      </c>
      <c r="J32" t="s">
        <v>1019</v>
      </c>
      <c r="K32">
        <v>4</v>
      </c>
    </row>
    <row r="33" spans="1:11" x14ac:dyDescent="0.3">
      <c r="A33" t="s">
        <v>1074</v>
      </c>
      <c r="B33" t="s">
        <v>1028</v>
      </c>
      <c r="C33">
        <v>82</v>
      </c>
      <c r="D33" t="s">
        <v>1017</v>
      </c>
      <c r="E33" s="1">
        <v>44938</v>
      </c>
      <c r="F33">
        <v>42</v>
      </c>
      <c r="G33">
        <v>3.7</v>
      </c>
      <c r="H33">
        <v>2023</v>
      </c>
      <c r="I33" t="s">
        <v>1052</v>
      </c>
      <c r="J33" t="s">
        <v>1019</v>
      </c>
      <c r="K33">
        <v>4</v>
      </c>
    </row>
    <row r="34" spans="1:11" x14ac:dyDescent="0.3">
      <c r="A34" t="s">
        <v>1075</v>
      </c>
      <c r="B34" t="s">
        <v>1028</v>
      </c>
      <c r="C34">
        <v>29</v>
      </c>
      <c r="D34" t="s">
        <v>1029</v>
      </c>
      <c r="E34" s="1">
        <v>44938</v>
      </c>
      <c r="F34">
        <v>170</v>
      </c>
      <c r="G34">
        <v>5</v>
      </c>
      <c r="H34">
        <v>2023</v>
      </c>
      <c r="I34" t="s">
        <v>1052</v>
      </c>
      <c r="J34" t="s">
        <v>1056</v>
      </c>
      <c r="K34">
        <v>5</v>
      </c>
    </row>
    <row r="35" spans="1:11" x14ac:dyDescent="0.3">
      <c r="A35" t="s">
        <v>1076</v>
      </c>
      <c r="B35" t="s">
        <v>1059</v>
      </c>
      <c r="C35">
        <v>160</v>
      </c>
      <c r="D35" t="s">
        <v>1024</v>
      </c>
      <c r="E35" s="1">
        <v>44940</v>
      </c>
      <c r="F35">
        <v>105</v>
      </c>
      <c r="G35">
        <v>5</v>
      </c>
      <c r="H35">
        <v>2023</v>
      </c>
      <c r="I35" t="s">
        <v>1062</v>
      </c>
      <c r="J35" t="s">
        <v>1031</v>
      </c>
      <c r="K35">
        <v>5</v>
      </c>
    </row>
    <row r="36" spans="1:11" x14ac:dyDescent="0.3">
      <c r="A36" t="s">
        <v>1077</v>
      </c>
      <c r="B36" t="s">
        <v>1078</v>
      </c>
      <c r="C36">
        <v>105</v>
      </c>
      <c r="D36" t="s">
        <v>1017</v>
      </c>
      <c r="E36" s="1">
        <v>44941</v>
      </c>
      <c r="F36">
        <v>125</v>
      </c>
      <c r="G36">
        <v>4.8</v>
      </c>
      <c r="H36">
        <v>2023</v>
      </c>
      <c r="I36" t="s">
        <v>1018</v>
      </c>
      <c r="J36" t="s">
        <v>1019</v>
      </c>
      <c r="K36">
        <v>5</v>
      </c>
    </row>
    <row r="37" spans="1:11" x14ac:dyDescent="0.3">
      <c r="A37" t="s">
        <v>1079</v>
      </c>
      <c r="B37" t="s">
        <v>1055</v>
      </c>
      <c r="C37">
        <v>75</v>
      </c>
      <c r="D37" t="s">
        <v>1042</v>
      </c>
      <c r="E37" s="1">
        <v>44941</v>
      </c>
      <c r="F37">
        <v>26</v>
      </c>
      <c r="G37">
        <v>2.4</v>
      </c>
      <c r="H37">
        <v>2023</v>
      </c>
      <c r="I37" t="s">
        <v>1018</v>
      </c>
      <c r="J37" t="s">
        <v>1019</v>
      </c>
      <c r="K37">
        <v>2</v>
      </c>
    </row>
    <row r="38" spans="1:11" x14ac:dyDescent="0.3">
      <c r="A38" t="s">
        <v>1080</v>
      </c>
      <c r="B38" t="s">
        <v>1065</v>
      </c>
      <c r="C38">
        <v>94</v>
      </c>
      <c r="D38" t="s">
        <v>1042</v>
      </c>
      <c r="E38" s="1">
        <v>44942</v>
      </c>
      <c r="F38">
        <v>120</v>
      </c>
      <c r="G38">
        <v>3.1</v>
      </c>
      <c r="H38">
        <v>2023</v>
      </c>
      <c r="I38" t="s">
        <v>1030</v>
      </c>
      <c r="J38" t="s">
        <v>1019</v>
      </c>
      <c r="K38">
        <v>3</v>
      </c>
    </row>
    <row r="39" spans="1:11" x14ac:dyDescent="0.3">
      <c r="A39" t="s">
        <v>1081</v>
      </c>
      <c r="B39" t="s">
        <v>1021</v>
      </c>
      <c r="C39">
        <v>90</v>
      </c>
      <c r="D39" t="s">
        <v>1024</v>
      </c>
      <c r="E39" s="1">
        <v>44942</v>
      </c>
      <c r="F39">
        <v>132</v>
      </c>
      <c r="G39">
        <v>3.2</v>
      </c>
      <c r="H39">
        <v>2023</v>
      </c>
      <c r="I39" t="s">
        <v>1030</v>
      </c>
      <c r="J39" t="s">
        <v>1019</v>
      </c>
      <c r="K39">
        <v>3</v>
      </c>
    </row>
    <row r="40" spans="1:11" x14ac:dyDescent="0.3">
      <c r="A40" t="s">
        <v>1082</v>
      </c>
      <c r="B40" t="s">
        <v>1065</v>
      </c>
      <c r="C40">
        <v>81</v>
      </c>
      <c r="D40" t="s">
        <v>1038</v>
      </c>
      <c r="E40" s="1">
        <v>44943</v>
      </c>
      <c r="F40">
        <v>86</v>
      </c>
      <c r="G40">
        <v>2.4</v>
      </c>
      <c r="H40">
        <v>2023</v>
      </c>
      <c r="I40" t="s">
        <v>1033</v>
      </c>
      <c r="J40" t="s">
        <v>1019</v>
      </c>
      <c r="K40">
        <v>2</v>
      </c>
    </row>
    <row r="41" spans="1:11" x14ac:dyDescent="0.3">
      <c r="A41" t="s">
        <v>1083</v>
      </c>
      <c r="B41" t="s">
        <v>1055</v>
      </c>
      <c r="C41">
        <v>106</v>
      </c>
      <c r="D41" t="s">
        <v>1017</v>
      </c>
      <c r="E41" s="1">
        <v>44943</v>
      </c>
      <c r="F41">
        <v>108</v>
      </c>
      <c r="G41">
        <v>5</v>
      </c>
      <c r="H41">
        <v>2023</v>
      </c>
      <c r="I41" t="s">
        <v>1033</v>
      </c>
      <c r="J41" t="s">
        <v>1019</v>
      </c>
      <c r="K41">
        <v>5</v>
      </c>
    </row>
    <row r="42" spans="1:11" x14ac:dyDescent="0.3">
      <c r="A42" t="s">
        <v>1084</v>
      </c>
      <c r="B42" t="s">
        <v>1021</v>
      </c>
      <c r="C42">
        <v>74</v>
      </c>
      <c r="D42" t="s">
        <v>1038</v>
      </c>
      <c r="E42" s="1">
        <v>44943</v>
      </c>
      <c r="F42">
        <v>96</v>
      </c>
      <c r="G42">
        <v>4.7</v>
      </c>
      <c r="H42">
        <v>2023</v>
      </c>
      <c r="I42" t="s">
        <v>1033</v>
      </c>
      <c r="J42" t="s">
        <v>1019</v>
      </c>
      <c r="K42">
        <v>5</v>
      </c>
    </row>
    <row r="43" spans="1:11" x14ac:dyDescent="0.3">
      <c r="A43" t="s">
        <v>1085</v>
      </c>
      <c r="B43" t="s">
        <v>1041</v>
      </c>
      <c r="C43">
        <v>105</v>
      </c>
      <c r="D43" t="s">
        <v>1024</v>
      </c>
      <c r="E43" s="1">
        <v>44944</v>
      </c>
      <c r="F43">
        <v>80</v>
      </c>
      <c r="G43">
        <v>4.7</v>
      </c>
      <c r="H43">
        <v>2023</v>
      </c>
      <c r="I43" t="s">
        <v>1048</v>
      </c>
      <c r="J43" t="s">
        <v>1019</v>
      </c>
      <c r="K43">
        <v>5</v>
      </c>
    </row>
    <row r="44" spans="1:11" x14ac:dyDescent="0.3">
      <c r="A44" t="s">
        <v>1086</v>
      </c>
      <c r="B44" t="s">
        <v>1055</v>
      </c>
      <c r="C44">
        <v>89</v>
      </c>
      <c r="D44" t="s">
        <v>1017</v>
      </c>
      <c r="E44" s="1">
        <v>44944</v>
      </c>
      <c r="F44">
        <v>155</v>
      </c>
      <c r="G44">
        <v>4.0999999999999996</v>
      </c>
      <c r="H44">
        <v>2023</v>
      </c>
      <c r="I44" t="s">
        <v>1048</v>
      </c>
      <c r="J44" t="s">
        <v>1019</v>
      </c>
      <c r="K44">
        <v>4</v>
      </c>
    </row>
    <row r="45" spans="1:11" x14ac:dyDescent="0.3">
      <c r="A45" t="s">
        <v>1087</v>
      </c>
      <c r="B45" t="s">
        <v>1045</v>
      </c>
      <c r="C45">
        <v>132</v>
      </c>
      <c r="D45" t="s">
        <v>1042</v>
      </c>
      <c r="E45" s="1">
        <v>44944</v>
      </c>
      <c r="F45">
        <v>168</v>
      </c>
      <c r="G45">
        <v>4.0999999999999996</v>
      </c>
      <c r="H45">
        <v>2023</v>
      </c>
      <c r="I45" t="s">
        <v>1048</v>
      </c>
      <c r="J45" t="s">
        <v>1031</v>
      </c>
      <c r="K45">
        <v>4</v>
      </c>
    </row>
    <row r="46" spans="1:11" x14ac:dyDescent="0.3">
      <c r="A46" t="s">
        <v>1088</v>
      </c>
      <c r="B46" t="s">
        <v>1078</v>
      </c>
      <c r="C46">
        <v>105</v>
      </c>
      <c r="D46" t="s">
        <v>1029</v>
      </c>
      <c r="E46" s="1">
        <v>44944</v>
      </c>
      <c r="F46">
        <v>56</v>
      </c>
      <c r="G46">
        <v>3.6</v>
      </c>
      <c r="H46">
        <v>2023</v>
      </c>
      <c r="I46" t="s">
        <v>1048</v>
      </c>
      <c r="J46" t="s">
        <v>1019</v>
      </c>
      <c r="K46">
        <v>4</v>
      </c>
    </row>
    <row r="47" spans="1:11" x14ac:dyDescent="0.3">
      <c r="A47" t="s">
        <v>1089</v>
      </c>
      <c r="B47" t="s">
        <v>1028</v>
      </c>
      <c r="C47">
        <v>13</v>
      </c>
      <c r="D47" t="s">
        <v>1042</v>
      </c>
      <c r="E47" s="1">
        <v>44945</v>
      </c>
      <c r="F47">
        <v>32</v>
      </c>
      <c r="G47">
        <v>4.4000000000000004</v>
      </c>
      <c r="H47">
        <v>2023</v>
      </c>
      <c r="I47" t="s">
        <v>1052</v>
      </c>
      <c r="J47" t="s">
        <v>1056</v>
      </c>
      <c r="K47">
        <v>4</v>
      </c>
    </row>
    <row r="48" spans="1:11" x14ac:dyDescent="0.3">
      <c r="A48" t="s">
        <v>1090</v>
      </c>
      <c r="B48" t="s">
        <v>1026</v>
      </c>
      <c r="C48">
        <v>131</v>
      </c>
      <c r="D48" t="s">
        <v>1029</v>
      </c>
      <c r="E48" s="1">
        <v>44945</v>
      </c>
      <c r="F48">
        <v>78</v>
      </c>
      <c r="G48">
        <v>4.4000000000000004</v>
      </c>
      <c r="H48">
        <v>2023</v>
      </c>
      <c r="I48" t="s">
        <v>1052</v>
      </c>
      <c r="J48" t="s">
        <v>1031</v>
      </c>
      <c r="K48">
        <v>4</v>
      </c>
    </row>
    <row r="49" spans="1:11" x14ac:dyDescent="0.3">
      <c r="A49" t="s">
        <v>1091</v>
      </c>
      <c r="B49" t="s">
        <v>1021</v>
      </c>
      <c r="C49">
        <v>104</v>
      </c>
      <c r="D49" t="s">
        <v>1017</v>
      </c>
      <c r="E49" s="1">
        <v>44945</v>
      </c>
      <c r="F49">
        <v>86</v>
      </c>
      <c r="G49">
        <v>4</v>
      </c>
      <c r="H49">
        <v>2023</v>
      </c>
      <c r="I49" t="s">
        <v>1052</v>
      </c>
      <c r="J49" t="s">
        <v>1019</v>
      </c>
      <c r="K49">
        <v>4</v>
      </c>
    </row>
    <row r="50" spans="1:11" x14ac:dyDescent="0.3">
      <c r="A50" t="s">
        <v>1092</v>
      </c>
      <c r="B50" t="s">
        <v>1016</v>
      </c>
      <c r="C50">
        <v>90</v>
      </c>
      <c r="D50" t="s">
        <v>1024</v>
      </c>
      <c r="E50" s="1">
        <v>44946</v>
      </c>
      <c r="F50">
        <v>64</v>
      </c>
      <c r="G50">
        <v>3.8</v>
      </c>
      <c r="H50">
        <v>2023</v>
      </c>
      <c r="I50" t="s">
        <v>411</v>
      </c>
      <c r="J50" t="s">
        <v>1019</v>
      </c>
      <c r="K50">
        <v>4</v>
      </c>
    </row>
    <row r="51" spans="1:11" x14ac:dyDescent="0.3">
      <c r="A51" t="s">
        <v>1093</v>
      </c>
      <c r="B51" t="s">
        <v>1068</v>
      </c>
      <c r="C51">
        <v>37</v>
      </c>
      <c r="D51" t="s">
        <v>1024</v>
      </c>
      <c r="E51" s="1">
        <v>44946</v>
      </c>
      <c r="F51">
        <v>96</v>
      </c>
      <c r="G51">
        <v>3.6</v>
      </c>
      <c r="H51">
        <v>2023</v>
      </c>
      <c r="I51" t="s">
        <v>411</v>
      </c>
      <c r="J51" t="s">
        <v>1034</v>
      </c>
      <c r="K51">
        <v>4</v>
      </c>
    </row>
    <row r="52" spans="1:11" x14ac:dyDescent="0.3">
      <c r="A52" t="s">
        <v>1094</v>
      </c>
      <c r="B52" t="s">
        <v>1047</v>
      </c>
      <c r="C52">
        <v>149</v>
      </c>
      <c r="D52" t="s">
        <v>1029</v>
      </c>
      <c r="E52" s="1">
        <v>44946</v>
      </c>
      <c r="F52">
        <v>72</v>
      </c>
      <c r="G52">
        <v>4.3</v>
      </c>
      <c r="H52">
        <v>2023</v>
      </c>
      <c r="I52" t="s">
        <v>411</v>
      </c>
      <c r="J52" t="s">
        <v>1031</v>
      </c>
      <c r="K52">
        <v>4</v>
      </c>
    </row>
    <row r="53" spans="1:11" x14ac:dyDescent="0.3">
      <c r="A53" t="s">
        <v>1095</v>
      </c>
      <c r="B53" t="s">
        <v>1045</v>
      </c>
      <c r="C53">
        <v>100</v>
      </c>
      <c r="D53" t="s">
        <v>1038</v>
      </c>
      <c r="E53" s="1">
        <v>44947</v>
      </c>
      <c r="F53">
        <v>135</v>
      </c>
      <c r="G53">
        <v>3.8</v>
      </c>
      <c r="H53">
        <v>2023</v>
      </c>
      <c r="I53" t="s">
        <v>1062</v>
      </c>
      <c r="J53" t="s">
        <v>1019</v>
      </c>
      <c r="K53">
        <v>4</v>
      </c>
    </row>
    <row r="54" spans="1:11" x14ac:dyDescent="0.3">
      <c r="A54" t="s">
        <v>1096</v>
      </c>
      <c r="B54" t="s">
        <v>1045</v>
      </c>
      <c r="C54">
        <v>79</v>
      </c>
      <c r="D54" t="s">
        <v>1042</v>
      </c>
      <c r="E54" s="1">
        <v>44947</v>
      </c>
      <c r="F54">
        <v>140</v>
      </c>
      <c r="G54">
        <v>4.5</v>
      </c>
      <c r="H54">
        <v>2023</v>
      </c>
      <c r="I54" t="s">
        <v>1062</v>
      </c>
      <c r="J54" t="s">
        <v>1019</v>
      </c>
      <c r="K54">
        <v>5</v>
      </c>
    </row>
    <row r="55" spans="1:11" x14ac:dyDescent="0.3">
      <c r="A55" t="s">
        <v>1097</v>
      </c>
      <c r="B55" t="s">
        <v>1098</v>
      </c>
      <c r="C55">
        <v>157</v>
      </c>
      <c r="D55" t="s">
        <v>1029</v>
      </c>
      <c r="E55" s="1">
        <v>44947</v>
      </c>
      <c r="F55">
        <v>69</v>
      </c>
      <c r="G55">
        <v>4.5</v>
      </c>
      <c r="H55">
        <v>2023</v>
      </c>
      <c r="I55" t="s">
        <v>1062</v>
      </c>
      <c r="J55" t="s">
        <v>1031</v>
      </c>
      <c r="K55">
        <v>5</v>
      </c>
    </row>
    <row r="56" spans="1:11" x14ac:dyDescent="0.3">
      <c r="A56" t="s">
        <v>1099</v>
      </c>
      <c r="B56" t="s">
        <v>1045</v>
      </c>
      <c r="C56">
        <v>59</v>
      </c>
      <c r="D56" t="s">
        <v>1017</v>
      </c>
      <c r="E56" s="1">
        <v>44948</v>
      </c>
      <c r="F56">
        <v>136</v>
      </c>
      <c r="G56">
        <v>4.5999999999999996</v>
      </c>
      <c r="H56">
        <v>2023</v>
      </c>
      <c r="I56" t="s">
        <v>1018</v>
      </c>
      <c r="J56" t="s">
        <v>1034</v>
      </c>
      <c r="K56">
        <v>5</v>
      </c>
    </row>
    <row r="57" spans="1:11" x14ac:dyDescent="0.3">
      <c r="A57" t="s">
        <v>1100</v>
      </c>
      <c r="B57" t="s">
        <v>1068</v>
      </c>
      <c r="C57">
        <v>83</v>
      </c>
      <c r="D57" t="s">
        <v>1029</v>
      </c>
      <c r="E57" s="1">
        <v>44948</v>
      </c>
      <c r="F57">
        <v>28</v>
      </c>
      <c r="G57">
        <v>4.5</v>
      </c>
      <c r="H57">
        <v>2023</v>
      </c>
      <c r="I57" t="s">
        <v>1018</v>
      </c>
      <c r="J57" t="s">
        <v>1019</v>
      </c>
      <c r="K57">
        <v>5</v>
      </c>
    </row>
    <row r="58" spans="1:11" x14ac:dyDescent="0.3">
      <c r="A58" t="s">
        <v>1101</v>
      </c>
      <c r="B58" t="s">
        <v>1098</v>
      </c>
      <c r="C58">
        <v>58</v>
      </c>
      <c r="D58" t="s">
        <v>1024</v>
      </c>
      <c r="E58" s="1">
        <v>44949</v>
      </c>
      <c r="F58">
        <v>135</v>
      </c>
      <c r="G58">
        <v>3.3</v>
      </c>
      <c r="H58">
        <v>2023</v>
      </c>
      <c r="I58" t="s">
        <v>1030</v>
      </c>
      <c r="J58" t="s">
        <v>1034</v>
      </c>
      <c r="K58">
        <v>3</v>
      </c>
    </row>
    <row r="59" spans="1:11" x14ac:dyDescent="0.3">
      <c r="A59" t="s">
        <v>1102</v>
      </c>
      <c r="B59" t="s">
        <v>1065</v>
      </c>
      <c r="C59">
        <v>118</v>
      </c>
      <c r="D59" t="s">
        <v>1024</v>
      </c>
      <c r="E59" s="1">
        <v>44949</v>
      </c>
      <c r="F59">
        <v>126</v>
      </c>
      <c r="G59">
        <v>2.2999999999999998</v>
      </c>
      <c r="H59">
        <v>2023</v>
      </c>
      <c r="I59" t="s">
        <v>1030</v>
      </c>
      <c r="J59" t="s">
        <v>1019</v>
      </c>
      <c r="K59">
        <v>2</v>
      </c>
    </row>
    <row r="60" spans="1:11" x14ac:dyDescent="0.3">
      <c r="A60" t="s">
        <v>1103</v>
      </c>
      <c r="B60" t="s">
        <v>1028</v>
      </c>
      <c r="C60">
        <v>63</v>
      </c>
      <c r="D60" t="s">
        <v>1017</v>
      </c>
      <c r="E60" s="1">
        <v>44949</v>
      </c>
      <c r="F60">
        <v>160</v>
      </c>
      <c r="G60">
        <v>4.3</v>
      </c>
      <c r="H60">
        <v>2023</v>
      </c>
      <c r="I60" t="s">
        <v>1030</v>
      </c>
      <c r="J60" t="s">
        <v>1019</v>
      </c>
      <c r="K60">
        <v>4</v>
      </c>
    </row>
    <row r="61" spans="1:11" x14ac:dyDescent="0.3">
      <c r="A61" t="s">
        <v>1104</v>
      </c>
      <c r="B61" t="s">
        <v>1098</v>
      </c>
      <c r="C61">
        <v>95</v>
      </c>
      <c r="D61" t="s">
        <v>1024</v>
      </c>
      <c r="E61" s="1">
        <v>44950</v>
      </c>
      <c r="F61">
        <v>48</v>
      </c>
      <c r="G61">
        <v>4.5999999999999996</v>
      </c>
      <c r="H61">
        <v>2023</v>
      </c>
      <c r="I61" t="s">
        <v>1033</v>
      </c>
      <c r="J61" t="s">
        <v>1019</v>
      </c>
      <c r="K61">
        <v>5</v>
      </c>
    </row>
    <row r="62" spans="1:11" x14ac:dyDescent="0.3">
      <c r="A62" t="s">
        <v>1105</v>
      </c>
      <c r="B62" t="s">
        <v>1045</v>
      </c>
      <c r="C62">
        <v>74</v>
      </c>
      <c r="D62" t="s">
        <v>1029</v>
      </c>
      <c r="E62" s="1">
        <v>44950</v>
      </c>
      <c r="F62">
        <v>66</v>
      </c>
      <c r="G62">
        <v>4</v>
      </c>
      <c r="H62">
        <v>2023</v>
      </c>
      <c r="I62" t="s">
        <v>1033</v>
      </c>
      <c r="J62" t="s">
        <v>1019</v>
      </c>
      <c r="K62">
        <v>4</v>
      </c>
    </row>
    <row r="63" spans="1:11" x14ac:dyDescent="0.3">
      <c r="A63" t="s">
        <v>1106</v>
      </c>
      <c r="B63" t="s">
        <v>1041</v>
      </c>
      <c r="C63">
        <v>130</v>
      </c>
      <c r="D63" t="s">
        <v>1038</v>
      </c>
      <c r="E63" s="1">
        <v>44950</v>
      </c>
      <c r="F63">
        <v>126</v>
      </c>
      <c r="G63">
        <v>2.5</v>
      </c>
      <c r="H63">
        <v>2023</v>
      </c>
      <c r="I63" t="s">
        <v>1033</v>
      </c>
      <c r="J63" t="s">
        <v>1031</v>
      </c>
      <c r="K63">
        <v>3</v>
      </c>
    </row>
    <row r="64" spans="1:11" x14ac:dyDescent="0.3">
      <c r="A64" t="s">
        <v>1107</v>
      </c>
      <c r="B64" t="s">
        <v>1065</v>
      </c>
      <c r="C64">
        <v>110</v>
      </c>
      <c r="D64" t="s">
        <v>1042</v>
      </c>
      <c r="E64" s="1">
        <v>44950</v>
      </c>
      <c r="F64">
        <v>96</v>
      </c>
      <c r="G64">
        <v>5</v>
      </c>
      <c r="H64">
        <v>2023</v>
      </c>
      <c r="I64" t="s">
        <v>1033</v>
      </c>
      <c r="J64" t="s">
        <v>1019</v>
      </c>
      <c r="K64">
        <v>5</v>
      </c>
    </row>
    <row r="65" spans="1:11" x14ac:dyDescent="0.3">
      <c r="A65" t="s">
        <v>1108</v>
      </c>
      <c r="B65" t="s">
        <v>1045</v>
      </c>
      <c r="C65">
        <v>71</v>
      </c>
      <c r="D65" t="s">
        <v>1017</v>
      </c>
      <c r="E65" s="1">
        <v>44951</v>
      </c>
      <c r="F65">
        <v>90</v>
      </c>
      <c r="G65">
        <v>3.8</v>
      </c>
      <c r="H65">
        <v>2023</v>
      </c>
      <c r="I65" t="s">
        <v>1048</v>
      </c>
      <c r="J65" t="s">
        <v>1019</v>
      </c>
      <c r="K65">
        <v>4</v>
      </c>
    </row>
    <row r="66" spans="1:11" x14ac:dyDescent="0.3">
      <c r="A66" t="s">
        <v>1109</v>
      </c>
      <c r="B66" t="s">
        <v>1078</v>
      </c>
      <c r="C66">
        <v>147</v>
      </c>
      <c r="D66" t="s">
        <v>1038</v>
      </c>
      <c r="E66" s="1">
        <v>44951</v>
      </c>
      <c r="F66">
        <v>105</v>
      </c>
      <c r="G66">
        <v>4.4000000000000004</v>
      </c>
      <c r="H66">
        <v>2023</v>
      </c>
      <c r="I66" t="s">
        <v>1048</v>
      </c>
      <c r="J66" t="s">
        <v>1031</v>
      </c>
      <c r="K66">
        <v>4</v>
      </c>
    </row>
    <row r="67" spans="1:11" x14ac:dyDescent="0.3">
      <c r="A67" t="s">
        <v>1110</v>
      </c>
      <c r="B67" t="s">
        <v>1021</v>
      </c>
      <c r="C67">
        <v>69</v>
      </c>
      <c r="D67" t="s">
        <v>1024</v>
      </c>
      <c r="E67" s="1">
        <v>44952</v>
      </c>
      <c r="F67">
        <v>40</v>
      </c>
      <c r="G67">
        <v>3.8</v>
      </c>
      <c r="H67">
        <v>2023</v>
      </c>
      <c r="I67" t="s">
        <v>1052</v>
      </c>
      <c r="J67" t="s">
        <v>1019</v>
      </c>
      <c r="K67">
        <v>4</v>
      </c>
    </row>
    <row r="68" spans="1:11" x14ac:dyDescent="0.3">
      <c r="A68" t="s">
        <v>1111</v>
      </c>
      <c r="B68" t="s">
        <v>1065</v>
      </c>
      <c r="C68">
        <v>50</v>
      </c>
      <c r="D68" t="s">
        <v>1017</v>
      </c>
      <c r="E68" s="1">
        <v>44952</v>
      </c>
      <c r="F68">
        <v>60</v>
      </c>
      <c r="G68">
        <v>2</v>
      </c>
      <c r="H68">
        <v>2023</v>
      </c>
      <c r="I68" t="s">
        <v>1052</v>
      </c>
      <c r="J68" t="s">
        <v>1034</v>
      </c>
      <c r="K68">
        <v>2</v>
      </c>
    </row>
    <row r="69" spans="1:11" x14ac:dyDescent="0.3">
      <c r="A69" t="s">
        <v>1112</v>
      </c>
      <c r="B69" t="s">
        <v>1041</v>
      </c>
      <c r="C69">
        <v>124</v>
      </c>
      <c r="D69" t="s">
        <v>1038</v>
      </c>
      <c r="E69" s="1">
        <v>44953</v>
      </c>
      <c r="F69">
        <v>215</v>
      </c>
      <c r="G69">
        <v>4.0999999999999996</v>
      </c>
      <c r="H69">
        <v>2023</v>
      </c>
      <c r="I69" t="s">
        <v>411</v>
      </c>
      <c r="J69" t="s">
        <v>1031</v>
      </c>
      <c r="K69">
        <v>4</v>
      </c>
    </row>
    <row r="70" spans="1:11" x14ac:dyDescent="0.3">
      <c r="A70" t="s">
        <v>1113</v>
      </c>
      <c r="B70" t="s">
        <v>1023</v>
      </c>
      <c r="C70">
        <v>81</v>
      </c>
      <c r="D70" t="s">
        <v>1029</v>
      </c>
      <c r="E70" s="1">
        <v>44953</v>
      </c>
      <c r="F70">
        <v>156</v>
      </c>
      <c r="G70">
        <v>2.6</v>
      </c>
      <c r="H70">
        <v>2023</v>
      </c>
      <c r="I70" t="s">
        <v>411</v>
      </c>
      <c r="J70" t="s">
        <v>1019</v>
      </c>
      <c r="K70">
        <v>3</v>
      </c>
    </row>
    <row r="71" spans="1:11" x14ac:dyDescent="0.3">
      <c r="A71" t="s">
        <v>1114</v>
      </c>
      <c r="B71" t="s">
        <v>1059</v>
      </c>
      <c r="C71">
        <v>141</v>
      </c>
      <c r="D71" t="s">
        <v>1042</v>
      </c>
      <c r="E71" s="1">
        <v>44953</v>
      </c>
      <c r="F71">
        <v>54</v>
      </c>
      <c r="G71">
        <v>0</v>
      </c>
      <c r="H71">
        <v>2023</v>
      </c>
      <c r="I71" t="s">
        <v>411</v>
      </c>
      <c r="J71" t="s">
        <v>1031</v>
      </c>
      <c r="K71">
        <v>0</v>
      </c>
    </row>
    <row r="72" spans="1:11" x14ac:dyDescent="0.3">
      <c r="A72" t="s">
        <v>1115</v>
      </c>
      <c r="B72" t="s">
        <v>1059</v>
      </c>
      <c r="C72">
        <v>168</v>
      </c>
      <c r="D72" t="s">
        <v>1042</v>
      </c>
      <c r="E72" s="1">
        <v>44954</v>
      </c>
      <c r="F72">
        <v>160</v>
      </c>
      <c r="G72">
        <v>3.9</v>
      </c>
      <c r="H72">
        <v>2023</v>
      </c>
      <c r="I72" t="s">
        <v>1062</v>
      </c>
      <c r="J72" t="s">
        <v>1031</v>
      </c>
      <c r="K72">
        <v>4</v>
      </c>
    </row>
    <row r="73" spans="1:11" x14ac:dyDescent="0.3">
      <c r="A73" t="s">
        <v>1116</v>
      </c>
      <c r="B73" t="s">
        <v>1078</v>
      </c>
      <c r="C73">
        <v>101</v>
      </c>
      <c r="D73" t="s">
        <v>1029</v>
      </c>
      <c r="E73" s="1">
        <v>44954</v>
      </c>
      <c r="F73">
        <v>80</v>
      </c>
      <c r="G73">
        <v>4.8</v>
      </c>
      <c r="H73">
        <v>2023</v>
      </c>
      <c r="I73" t="s">
        <v>1062</v>
      </c>
      <c r="J73" t="s">
        <v>1019</v>
      </c>
      <c r="K73">
        <v>5</v>
      </c>
    </row>
    <row r="74" spans="1:11" x14ac:dyDescent="0.3">
      <c r="A74" t="s">
        <v>1117</v>
      </c>
      <c r="B74" t="s">
        <v>1045</v>
      </c>
      <c r="C74">
        <v>67</v>
      </c>
      <c r="D74" t="s">
        <v>1029</v>
      </c>
      <c r="E74" s="1">
        <v>44954</v>
      </c>
      <c r="F74">
        <v>168</v>
      </c>
      <c r="G74">
        <v>2.6</v>
      </c>
      <c r="H74">
        <v>2023</v>
      </c>
      <c r="I74" t="s">
        <v>1062</v>
      </c>
      <c r="J74" t="s">
        <v>1019</v>
      </c>
      <c r="K74">
        <v>3</v>
      </c>
    </row>
    <row r="75" spans="1:11" x14ac:dyDescent="0.3">
      <c r="A75" t="s">
        <v>1118</v>
      </c>
      <c r="B75" t="s">
        <v>1098</v>
      </c>
      <c r="C75">
        <v>114</v>
      </c>
      <c r="D75" t="s">
        <v>1042</v>
      </c>
      <c r="E75" s="1">
        <v>44956</v>
      </c>
      <c r="F75">
        <v>42</v>
      </c>
      <c r="G75">
        <v>2.6</v>
      </c>
      <c r="H75">
        <v>2023</v>
      </c>
      <c r="I75" t="s">
        <v>1030</v>
      </c>
      <c r="J75" t="s">
        <v>1019</v>
      </c>
      <c r="K75">
        <v>3</v>
      </c>
    </row>
    <row r="76" spans="1:11" x14ac:dyDescent="0.3">
      <c r="A76" t="s">
        <v>1119</v>
      </c>
      <c r="B76" t="s">
        <v>1023</v>
      </c>
      <c r="C76">
        <v>42</v>
      </c>
      <c r="D76" t="s">
        <v>1029</v>
      </c>
      <c r="E76" s="1">
        <v>44956</v>
      </c>
      <c r="F76">
        <v>205</v>
      </c>
      <c r="G76">
        <v>3.6</v>
      </c>
      <c r="H76">
        <v>2023</v>
      </c>
      <c r="I76" t="s">
        <v>1030</v>
      </c>
      <c r="J76" t="s">
        <v>1034</v>
      </c>
      <c r="K76">
        <v>4</v>
      </c>
    </row>
    <row r="77" spans="1:11" x14ac:dyDescent="0.3">
      <c r="A77" t="s">
        <v>1120</v>
      </c>
      <c r="B77" t="s">
        <v>1028</v>
      </c>
      <c r="C77">
        <v>69</v>
      </c>
      <c r="D77" t="s">
        <v>1042</v>
      </c>
      <c r="E77" s="1">
        <v>44956</v>
      </c>
      <c r="F77">
        <v>108</v>
      </c>
      <c r="G77">
        <v>3.3</v>
      </c>
      <c r="H77">
        <v>2023</v>
      </c>
      <c r="I77" t="s">
        <v>1030</v>
      </c>
      <c r="J77" t="s">
        <v>1019</v>
      </c>
      <c r="K77">
        <v>3</v>
      </c>
    </row>
    <row r="78" spans="1:11" x14ac:dyDescent="0.3">
      <c r="A78" t="s">
        <v>1121</v>
      </c>
      <c r="B78" t="s">
        <v>1041</v>
      </c>
      <c r="C78">
        <v>145</v>
      </c>
      <c r="D78" t="s">
        <v>1024</v>
      </c>
      <c r="E78" s="1">
        <v>44956</v>
      </c>
      <c r="F78">
        <v>78</v>
      </c>
      <c r="G78">
        <v>1.9</v>
      </c>
      <c r="H78">
        <v>2023</v>
      </c>
      <c r="I78" t="s">
        <v>1030</v>
      </c>
      <c r="J78" t="s">
        <v>1031</v>
      </c>
      <c r="K78">
        <v>2</v>
      </c>
    </row>
    <row r="79" spans="1:11" x14ac:dyDescent="0.3">
      <c r="A79" t="s">
        <v>1122</v>
      </c>
      <c r="B79" t="s">
        <v>1021</v>
      </c>
      <c r="C79">
        <v>43</v>
      </c>
      <c r="D79" t="s">
        <v>1042</v>
      </c>
      <c r="E79" s="1">
        <v>44956</v>
      </c>
      <c r="F79">
        <v>23</v>
      </c>
      <c r="G79">
        <v>4.9000000000000004</v>
      </c>
      <c r="H79">
        <v>2023</v>
      </c>
      <c r="I79" t="s">
        <v>1030</v>
      </c>
      <c r="J79" t="s">
        <v>1034</v>
      </c>
      <c r="K79">
        <v>5</v>
      </c>
    </row>
    <row r="80" spans="1:11" x14ac:dyDescent="0.3">
      <c r="A80" t="s">
        <v>1123</v>
      </c>
      <c r="B80" t="s">
        <v>1028</v>
      </c>
      <c r="C80">
        <v>62</v>
      </c>
      <c r="D80" t="s">
        <v>1017</v>
      </c>
      <c r="E80" s="1">
        <v>44957</v>
      </c>
      <c r="F80">
        <v>99</v>
      </c>
      <c r="G80">
        <v>3.6</v>
      </c>
      <c r="H80">
        <v>2023</v>
      </c>
      <c r="I80" t="s">
        <v>1033</v>
      </c>
      <c r="J80" t="s">
        <v>1019</v>
      </c>
      <c r="K80">
        <v>4</v>
      </c>
    </row>
    <row r="81" spans="1:11" x14ac:dyDescent="0.3">
      <c r="A81" t="s">
        <v>1124</v>
      </c>
      <c r="B81" t="s">
        <v>1055</v>
      </c>
      <c r="C81">
        <v>79</v>
      </c>
      <c r="D81" t="s">
        <v>1042</v>
      </c>
      <c r="E81" s="1">
        <v>44958</v>
      </c>
      <c r="F81">
        <v>148</v>
      </c>
      <c r="G81">
        <v>4.5</v>
      </c>
      <c r="H81">
        <v>2023</v>
      </c>
      <c r="I81" t="s">
        <v>1048</v>
      </c>
      <c r="J81" t="s">
        <v>1019</v>
      </c>
      <c r="K81">
        <v>5</v>
      </c>
    </row>
    <row r="82" spans="1:11" x14ac:dyDescent="0.3">
      <c r="A82" t="s">
        <v>1125</v>
      </c>
      <c r="B82" t="s">
        <v>1041</v>
      </c>
      <c r="C82">
        <v>45</v>
      </c>
      <c r="D82" t="s">
        <v>1038</v>
      </c>
      <c r="E82" s="1">
        <v>44958</v>
      </c>
      <c r="F82">
        <v>34</v>
      </c>
      <c r="G82">
        <v>3.7</v>
      </c>
      <c r="H82">
        <v>2023</v>
      </c>
      <c r="I82" t="s">
        <v>1048</v>
      </c>
      <c r="J82" t="s">
        <v>1034</v>
      </c>
      <c r="K82">
        <v>4</v>
      </c>
    </row>
    <row r="83" spans="1:11" x14ac:dyDescent="0.3">
      <c r="A83" t="s">
        <v>1126</v>
      </c>
      <c r="B83" t="s">
        <v>1028</v>
      </c>
      <c r="C83">
        <v>137</v>
      </c>
      <c r="D83" t="s">
        <v>1042</v>
      </c>
      <c r="E83" s="1">
        <v>44958</v>
      </c>
      <c r="F83">
        <v>86</v>
      </c>
      <c r="G83">
        <v>4.8</v>
      </c>
      <c r="H83">
        <v>2023</v>
      </c>
      <c r="I83" t="s">
        <v>1048</v>
      </c>
      <c r="J83" t="s">
        <v>1031</v>
      </c>
      <c r="K83">
        <v>5</v>
      </c>
    </row>
    <row r="84" spans="1:11" x14ac:dyDescent="0.3">
      <c r="A84" t="s">
        <v>1127</v>
      </c>
      <c r="B84" t="s">
        <v>1098</v>
      </c>
      <c r="C84">
        <v>109</v>
      </c>
      <c r="D84" t="s">
        <v>1017</v>
      </c>
      <c r="E84" s="1">
        <v>44958</v>
      </c>
      <c r="F84">
        <v>105</v>
      </c>
      <c r="G84">
        <v>3.3</v>
      </c>
      <c r="H84">
        <v>2023</v>
      </c>
      <c r="I84" t="s">
        <v>1048</v>
      </c>
      <c r="J84" t="s">
        <v>1019</v>
      </c>
      <c r="K84">
        <v>3</v>
      </c>
    </row>
    <row r="85" spans="1:11" x14ac:dyDescent="0.3">
      <c r="A85" t="s">
        <v>1128</v>
      </c>
      <c r="B85" t="s">
        <v>1021</v>
      </c>
      <c r="C85">
        <v>78</v>
      </c>
      <c r="D85" t="s">
        <v>1017</v>
      </c>
      <c r="E85" s="1">
        <v>44958</v>
      </c>
      <c r="F85">
        <v>62</v>
      </c>
      <c r="G85">
        <v>3.1</v>
      </c>
      <c r="H85">
        <v>2023</v>
      </c>
      <c r="I85" t="s">
        <v>1048</v>
      </c>
      <c r="J85" t="s">
        <v>1019</v>
      </c>
      <c r="K85">
        <v>3</v>
      </c>
    </row>
    <row r="86" spans="1:11" x14ac:dyDescent="0.3">
      <c r="A86" t="s">
        <v>1129</v>
      </c>
      <c r="B86" t="s">
        <v>1028</v>
      </c>
      <c r="C86">
        <v>137</v>
      </c>
      <c r="D86" t="s">
        <v>1038</v>
      </c>
      <c r="E86" s="1">
        <v>44958</v>
      </c>
      <c r="F86">
        <v>90</v>
      </c>
      <c r="G86">
        <v>4.0999999999999996</v>
      </c>
      <c r="H86">
        <v>2023</v>
      </c>
      <c r="I86" t="s">
        <v>1048</v>
      </c>
      <c r="J86" t="s">
        <v>1031</v>
      </c>
      <c r="K86">
        <v>4</v>
      </c>
    </row>
    <row r="87" spans="1:11" x14ac:dyDescent="0.3">
      <c r="A87" t="s">
        <v>1130</v>
      </c>
      <c r="B87" t="s">
        <v>1026</v>
      </c>
      <c r="C87">
        <v>99</v>
      </c>
      <c r="D87" t="s">
        <v>1017</v>
      </c>
      <c r="E87" s="1">
        <v>44959</v>
      </c>
      <c r="F87">
        <v>112</v>
      </c>
      <c r="G87">
        <v>4.9000000000000004</v>
      </c>
      <c r="H87">
        <v>2023</v>
      </c>
      <c r="I87" t="s">
        <v>1052</v>
      </c>
      <c r="J87" t="s">
        <v>1019</v>
      </c>
      <c r="K87">
        <v>5</v>
      </c>
    </row>
    <row r="88" spans="1:11" x14ac:dyDescent="0.3">
      <c r="A88" t="s">
        <v>1131</v>
      </c>
      <c r="B88" t="s">
        <v>1065</v>
      </c>
      <c r="C88">
        <v>100</v>
      </c>
      <c r="D88" t="s">
        <v>1017</v>
      </c>
      <c r="E88" s="1">
        <v>44959</v>
      </c>
      <c r="F88">
        <v>135</v>
      </c>
      <c r="G88">
        <v>4</v>
      </c>
      <c r="H88">
        <v>2023</v>
      </c>
      <c r="I88" t="s">
        <v>1052</v>
      </c>
      <c r="J88" t="s">
        <v>1019</v>
      </c>
      <c r="K88">
        <v>4</v>
      </c>
    </row>
    <row r="89" spans="1:11" x14ac:dyDescent="0.3">
      <c r="A89" t="s">
        <v>1132</v>
      </c>
      <c r="B89" t="s">
        <v>1021</v>
      </c>
      <c r="C89">
        <v>47</v>
      </c>
      <c r="D89" t="s">
        <v>1024</v>
      </c>
      <c r="E89" s="1">
        <v>44959</v>
      </c>
      <c r="F89">
        <v>34</v>
      </c>
      <c r="G89">
        <v>2.1</v>
      </c>
      <c r="H89">
        <v>2023</v>
      </c>
      <c r="I89" t="s">
        <v>1052</v>
      </c>
      <c r="J89" t="s">
        <v>1034</v>
      </c>
      <c r="K89">
        <v>2</v>
      </c>
    </row>
    <row r="90" spans="1:11" x14ac:dyDescent="0.3">
      <c r="A90" t="s">
        <v>1133</v>
      </c>
      <c r="B90" t="s">
        <v>1098</v>
      </c>
      <c r="C90">
        <v>87</v>
      </c>
      <c r="D90" t="s">
        <v>1029</v>
      </c>
      <c r="E90" s="1">
        <v>44959</v>
      </c>
      <c r="F90">
        <v>155</v>
      </c>
      <c r="G90">
        <v>4.5</v>
      </c>
      <c r="H90">
        <v>2023</v>
      </c>
      <c r="I90" t="s">
        <v>1052</v>
      </c>
      <c r="J90" t="s">
        <v>1019</v>
      </c>
      <c r="K90">
        <v>5</v>
      </c>
    </row>
    <row r="91" spans="1:11" x14ac:dyDescent="0.3">
      <c r="A91" t="s">
        <v>1134</v>
      </c>
      <c r="B91" t="s">
        <v>1026</v>
      </c>
      <c r="C91">
        <v>143</v>
      </c>
      <c r="D91" t="s">
        <v>1029</v>
      </c>
      <c r="E91" s="1">
        <v>44961</v>
      </c>
      <c r="F91">
        <v>124</v>
      </c>
      <c r="G91">
        <v>4.9000000000000004</v>
      </c>
      <c r="H91">
        <v>2023</v>
      </c>
      <c r="I91" t="s">
        <v>1062</v>
      </c>
      <c r="J91" t="s">
        <v>1031</v>
      </c>
      <c r="K91">
        <v>5</v>
      </c>
    </row>
    <row r="92" spans="1:11" x14ac:dyDescent="0.3">
      <c r="A92" t="s">
        <v>1135</v>
      </c>
      <c r="B92" t="s">
        <v>1065</v>
      </c>
      <c r="C92">
        <v>84</v>
      </c>
      <c r="D92" t="s">
        <v>1017</v>
      </c>
      <c r="E92" s="1">
        <v>44961</v>
      </c>
      <c r="F92">
        <v>195</v>
      </c>
      <c r="G92">
        <v>4.0999999999999996</v>
      </c>
      <c r="H92">
        <v>2023</v>
      </c>
      <c r="I92" t="s">
        <v>1062</v>
      </c>
      <c r="J92" t="s">
        <v>1019</v>
      </c>
      <c r="K92">
        <v>4</v>
      </c>
    </row>
    <row r="93" spans="1:11" x14ac:dyDescent="0.3">
      <c r="A93" t="s">
        <v>1136</v>
      </c>
      <c r="B93" t="s">
        <v>1078</v>
      </c>
      <c r="C93">
        <v>55</v>
      </c>
      <c r="D93" t="s">
        <v>1029</v>
      </c>
      <c r="E93" s="1">
        <v>44962</v>
      </c>
      <c r="F93">
        <v>78</v>
      </c>
      <c r="G93">
        <v>4.5</v>
      </c>
      <c r="H93">
        <v>2023</v>
      </c>
      <c r="I93" t="s">
        <v>1018</v>
      </c>
      <c r="J93" t="s">
        <v>1034</v>
      </c>
      <c r="K93">
        <v>5</v>
      </c>
    </row>
    <row r="94" spans="1:11" x14ac:dyDescent="0.3">
      <c r="A94" t="s">
        <v>1137</v>
      </c>
      <c r="B94" t="s">
        <v>1036</v>
      </c>
      <c r="C94">
        <v>135</v>
      </c>
      <c r="D94" t="s">
        <v>1038</v>
      </c>
      <c r="E94" s="1">
        <v>44964</v>
      </c>
      <c r="F94">
        <v>35</v>
      </c>
      <c r="G94">
        <v>4.8</v>
      </c>
      <c r="H94">
        <v>2023</v>
      </c>
      <c r="I94" t="s">
        <v>1033</v>
      </c>
      <c r="J94" t="s">
        <v>1031</v>
      </c>
      <c r="K94">
        <v>5</v>
      </c>
    </row>
    <row r="95" spans="1:11" x14ac:dyDescent="0.3">
      <c r="A95" t="s">
        <v>1138</v>
      </c>
      <c r="B95" t="s">
        <v>1068</v>
      </c>
      <c r="C95">
        <v>152</v>
      </c>
      <c r="D95" t="s">
        <v>1024</v>
      </c>
      <c r="E95" s="1">
        <v>44964</v>
      </c>
      <c r="F95">
        <v>123</v>
      </c>
      <c r="G95">
        <v>4.5999999999999996</v>
      </c>
      <c r="H95">
        <v>2023</v>
      </c>
      <c r="I95" t="s">
        <v>1033</v>
      </c>
      <c r="J95" t="s">
        <v>1031</v>
      </c>
      <c r="K95">
        <v>5</v>
      </c>
    </row>
    <row r="96" spans="1:11" x14ac:dyDescent="0.3">
      <c r="A96" t="s">
        <v>1139</v>
      </c>
      <c r="B96" t="s">
        <v>1023</v>
      </c>
      <c r="C96">
        <v>132</v>
      </c>
      <c r="D96" t="s">
        <v>1024</v>
      </c>
      <c r="E96" s="1">
        <v>44964</v>
      </c>
      <c r="F96">
        <v>43</v>
      </c>
      <c r="G96">
        <v>4.5999999999999996</v>
      </c>
      <c r="H96">
        <v>2023</v>
      </c>
      <c r="I96" t="s">
        <v>1033</v>
      </c>
      <c r="J96" t="s">
        <v>1031</v>
      </c>
      <c r="K96">
        <v>5</v>
      </c>
    </row>
    <row r="97" spans="1:11" x14ac:dyDescent="0.3">
      <c r="A97" t="s">
        <v>1140</v>
      </c>
      <c r="B97" t="s">
        <v>1059</v>
      </c>
      <c r="C97">
        <v>60</v>
      </c>
      <c r="D97" t="s">
        <v>1017</v>
      </c>
      <c r="E97" s="1">
        <v>44965</v>
      </c>
      <c r="F97">
        <v>69</v>
      </c>
      <c r="G97">
        <v>4.3</v>
      </c>
      <c r="H97">
        <v>2023</v>
      </c>
      <c r="I97" t="s">
        <v>1048</v>
      </c>
      <c r="J97" t="s">
        <v>1034</v>
      </c>
      <c r="K97">
        <v>4</v>
      </c>
    </row>
    <row r="98" spans="1:11" x14ac:dyDescent="0.3">
      <c r="A98" t="s">
        <v>1141</v>
      </c>
      <c r="B98" t="s">
        <v>1068</v>
      </c>
      <c r="C98">
        <v>95</v>
      </c>
      <c r="D98" t="s">
        <v>1024</v>
      </c>
      <c r="E98" s="1">
        <v>44965</v>
      </c>
      <c r="F98">
        <v>130</v>
      </c>
      <c r="G98">
        <v>5</v>
      </c>
      <c r="H98">
        <v>2023</v>
      </c>
      <c r="I98" t="s">
        <v>1048</v>
      </c>
      <c r="J98" t="s">
        <v>1019</v>
      </c>
      <c r="K98">
        <v>5</v>
      </c>
    </row>
    <row r="99" spans="1:11" x14ac:dyDescent="0.3">
      <c r="A99" t="s">
        <v>1142</v>
      </c>
      <c r="B99" t="s">
        <v>1016</v>
      </c>
      <c r="C99">
        <v>96</v>
      </c>
      <c r="D99" t="s">
        <v>1042</v>
      </c>
      <c r="E99" s="1">
        <v>44965</v>
      </c>
      <c r="F99">
        <v>120</v>
      </c>
      <c r="G99">
        <v>4</v>
      </c>
      <c r="H99">
        <v>2023</v>
      </c>
      <c r="I99" t="s">
        <v>1048</v>
      </c>
      <c r="J99" t="s">
        <v>1019</v>
      </c>
      <c r="K99">
        <v>4</v>
      </c>
    </row>
    <row r="100" spans="1:11" x14ac:dyDescent="0.3">
      <c r="A100" t="s">
        <v>1143</v>
      </c>
      <c r="B100" t="s">
        <v>1078</v>
      </c>
      <c r="C100">
        <v>45</v>
      </c>
      <c r="D100" t="s">
        <v>1017</v>
      </c>
      <c r="E100" s="1">
        <v>44966</v>
      </c>
      <c r="F100">
        <v>84</v>
      </c>
      <c r="G100">
        <v>4.5999999999999996</v>
      </c>
      <c r="H100">
        <v>2023</v>
      </c>
      <c r="I100" t="s">
        <v>1052</v>
      </c>
      <c r="J100" t="s">
        <v>1034</v>
      </c>
      <c r="K100">
        <v>5</v>
      </c>
    </row>
    <row r="101" spans="1:11" x14ac:dyDescent="0.3">
      <c r="A101" t="s">
        <v>1144</v>
      </c>
      <c r="B101" t="s">
        <v>1016</v>
      </c>
      <c r="C101">
        <v>132</v>
      </c>
      <c r="D101" t="s">
        <v>1042</v>
      </c>
      <c r="E101" s="1">
        <v>44967</v>
      </c>
      <c r="F101">
        <v>112</v>
      </c>
      <c r="G101">
        <v>4.5</v>
      </c>
      <c r="H101">
        <v>2023</v>
      </c>
      <c r="I101" t="s">
        <v>411</v>
      </c>
      <c r="J101" t="s">
        <v>1031</v>
      </c>
      <c r="K101">
        <v>5</v>
      </c>
    </row>
    <row r="102" spans="1:11" x14ac:dyDescent="0.3">
      <c r="A102" t="s">
        <v>1145</v>
      </c>
      <c r="B102" t="s">
        <v>1045</v>
      </c>
      <c r="C102">
        <v>95</v>
      </c>
      <c r="D102" t="s">
        <v>1017</v>
      </c>
      <c r="E102" s="1">
        <v>44967</v>
      </c>
      <c r="F102">
        <v>66</v>
      </c>
      <c r="G102">
        <v>4.5999999999999996</v>
      </c>
      <c r="H102">
        <v>2023</v>
      </c>
      <c r="I102" t="s">
        <v>411</v>
      </c>
      <c r="J102" t="s">
        <v>1019</v>
      </c>
      <c r="K102">
        <v>5</v>
      </c>
    </row>
    <row r="103" spans="1:11" x14ac:dyDescent="0.3">
      <c r="A103" t="s">
        <v>1146</v>
      </c>
      <c r="B103" t="s">
        <v>1068</v>
      </c>
      <c r="C103">
        <v>131</v>
      </c>
      <c r="D103" t="s">
        <v>1029</v>
      </c>
      <c r="E103" s="1">
        <v>44967</v>
      </c>
      <c r="F103">
        <v>172</v>
      </c>
      <c r="G103">
        <v>2.6</v>
      </c>
      <c r="H103">
        <v>2023</v>
      </c>
      <c r="I103" t="s">
        <v>411</v>
      </c>
      <c r="J103" t="s">
        <v>1031</v>
      </c>
      <c r="K103">
        <v>3</v>
      </c>
    </row>
    <row r="104" spans="1:11" x14ac:dyDescent="0.3">
      <c r="A104" t="s">
        <v>1147</v>
      </c>
      <c r="B104" t="s">
        <v>1055</v>
      </c>
      <c r="C104">
        <v>67</v>
      </c>
      <c r="D104" t="s">
        <v>1038</v>
      </c>
      <c r="E104" s="1">
        <v>44968</v>
      </c>
      <c r="F104">
        <v>24</v>
      </c>
      <c r="G104">
        <v>4.3</v>
      </c>
      <c r="H104">
        <v>2023</v>
      </c>
      <c r="I104" t="s">
        <v>1062</v>
      </c>
      <c r="J104" t="s">
        <v>1019</v>
      </c>
      <c r="K104">
        <v>4</v>
      </c>
    </row>
    <row r="105" spans="1:11" x14ac:dyDescent="0.3">
      <c r="A105" t="s">
        <v>1148</v>
      </c>
      <c r="B105" t="s">
        <v>1026</v>
      </c>
      <c r="C105">
        <v>111</v>
      </c>
      <c r="D105" t="s">
        <v>1029</v>
      </c>
      <c r="E105" s="1">
        <v>44969</v>
      </c>
      <c r="F105">
        <v>43</v>
      </c>
      <c r="G105">
        <v>3.9</v>
      </c>
      <c r="H105">
        <v>2023</v>
      </c>
      <c r="I105" t="s">
        <v>1018</v>
      </c>
      <c r="J105" t="s">
        <v>1019</v>
      </c>
      <c r="K105">
        <v>4</v>
      </c>
    </row>
    <row r="106" spans="1:11" x14ac:dyDescent="0.3">
      <c r="A106" t="s">
        <v>1149</v>
      </c>
      <c r="B106" t="s">
        <v>1023</v>
      </c>
      <c r="C106">
        <v>78</v>
      </c>
      <c r="D106" t="s">
        <v>1024</v>
      </c>
      <c r="E106" s="1">
        <v>44969</v>
      </c>
      <c r="F106">
        <v>23</v>
      </c>
      <c r="G106">
        <v>5</v>
      </c>
      <c r="H106">
        <v>2023</v>
      </c>
      <c r="I106" t="s">
        <v>1018</v>
      </c>
      <c r="J106" t="s">
        <v>1019</v>
      </c>
      <c r="K106">
        <v>5</v>
      </c>
    </row>
    <row r="107" spans="1:11" x14ac:dyDescent="0.3">
      <c r="A107" t="s">
        <v>1150</v>
      </c>
      <c r="B107" t="s">
        <v>1047</v>
      </c>
      <c r="C107">
        <v>28</v>
      </c>
      <c r="D107" t="s">
        <v>1042</v>
      </c>
      <c r="E107" s="1">
        <v>44969</v>
      </c>
      <c r="F107">
        <v>74</v>
      </c>
      <c r="G107">
        <v>3.5</v>
      </c>
      <c r="H107">
        <v>2023</v>
      </c>
      <c r="I107" t="s">
        <v>1018</v>
      </c>
      <c r="J107" t="s">
        <v>1056</v>
      </c>
      <c r="K107">
        <v>4</v>
      </c>
    </row>
    <row r="108" spans="1:11" x14ac:dyDescent="0.3">
      <c r="A108" t="s">
        <v>1151</v>
      </c>
      <c r="B108" t="s">
        <v>1021</v>
      </c>
      <c r="C108">
        <v>127</v>
      </c>
      <c r="D108" t="s">
        <v>1038</v>
      </c>
      <c r="E108" s="1">
        <v>44970</v>
      </c>
      <c r="F108">
        <v>165</v>
      </c>
      <c r="G108">
        <v>4.7</v>
      </c>
      <c r="H108">
        <v>2023</v>
      </c>
      <c r="I108" t="s">
        <v>1030</v>
      </c>
      <c r="J108" t="s">
        <v>1031</v>
      </c>
      <c r="K108">
        <v>5</v>
      </c>
    </row>
    <row r="109" spans="1:11" x14ac:dyDescent="0.3">
      <c r="A109" t="s">
        <v>1152</v>
      </c>
      <c r="B109" t="s">
        <v>1065</v>
      </c>
      <c r="C109">
        <v>137</v>
      </c>
      <c r="D109" t="s">
        <v>1029</v>
      </c>
      <c r="E109" s="1">
        <v>44970</v>
      </c>
      <c r="F109">
        <v>34</v>
      </c>
      <c r="G109">
        <v>2.9</v>
      </c>
      <c r="H109">
        <v>2023</v>
      </c>
      <c r="I109" t="s">
        <v>1030</v>
      </c>
      <c r="J109" t="s">
        <v>1031</v>
      </c>
      <c r="K109">
        <v>3</v>
      </c>
    </row>
    <row r="110" spans="1:11" x14ac:dyDescent="0.3">
      <c r="A110" t="s">
        <v>1153</v>
      </c>
      <c r="B110" t="s">
        <v>1021</v>
      </c>
      <c r="C110">
        <v>76</v>
      </c>
      <c r="D110" t="s">
        <v>1042</v>
      </c>
      <c r="E110" s="1">
        <v>44970</v>
      </c>
      <c r="F110">
        <v>64</v>
      </c>
      <c r="G110">
        <v>3.4</v>
      </c>
      <c r="H110">
        <v>2023</v>
      </c>
      <c r="I110" t="s">
        <v>1030</v>
      </c>
      <c r="J110" t="s">
        <v>1019</v>
      </c>
      <c r="K110">
        <v>3</v>
      </c>
    </row>
    <row r="111" spans="1:11" x14ac:dyDescent="0.3">
      <c r="A111" t="s">
        <v>1154</v>
      </c>
      <c r="B111" t="s">
        <v>1023</v>
      </c>
      <c r="C111">
        <v>80</v>
      </c>
      <c r="D111" t="s">
        <v>1038</v>
      </c>
      <c r="E111" s="1">
        <v>44971</v>
      </c>
      <c r="F111">
        <v>155</v>
      </c>
      <c r="G111">
        <v>3.2</v>
      </c>
      <c r="H111">
        <v>2023</v>
      </c>
      <c r="I111" t="s">
        <v>1033</v>
      </c>
      <c r="J111" t="s">
        <v>1019</v>
      </c>
      <c r="K111">
        <v>3</v>
      </c>
    </row>
    <row r="112" spans="1:11" x14ac:dyDescent="0.3">
      <c r="A112" t="s">
        <v>1155</v>
      </c>
      <c r="B112" t="s">
        <v>1021</v>
      </c>
      <c r="C112">
        <v>95</v>
      </c>
      <c r="D112" t="s">
        <v>1024</v>
      </c>
      <c r="E112" s="1">
        <v>44972</v>
      </c>
      <c r="F112">
        <v>120</v>
      </c>
      <c r="G112">
        <v>4.8</v>
      </c>
      <c r="H112">
        <v>2023</v>
      </c>
      <c r="I112" t="s">
        <v>1048</v>
      </c>
      <c r="J112" t="s">
        <v>1019</v>
      </c>
      <c r="K112">
        <v>5</v>
      </c>
    </row>
    <row r="113" spans="1:11" x14ac:dyDescent="0.3">
      <c r="A113" t="s">
        <v>1156</v>
      </c>
      <c r="B113" t="s">
        <v>1059</v>
      </c>
      <c r="C113">
        <v>30</v>
      </c>
      <c r="D113" t="s">
        <v>1042</v>
      </c>
      <c r="E113" s="1">
        <v>44972</v>
      </c>
      <c r="F113">
        <v>105</v>
      </c>
      <c r="G113">
        <v>3.6</v>
      </c>
      <c r="H113">
        <v>2023</v>
      </c>
      <c r="I113" t="s">
        <v>1048</v>
      </c>
      <c r="J113" t="s">
        <v>1056</v>
      </c>
      <c r="K113">
        <v>4</v>
      </c>
    </row>
    <row r="114" spans="1:11" x14ac:dyDescent="0.3">
      <c r="A114" t="s">
        <v>1157</v>
      </c>
      <c r="B114" t="s">
        <v>1028</v>
      </c>
      <c r="C114">
        <v>19</v>
      </c>
      <c r="D114" t="s">
        <v>1029</v>
      </c>
      <c r="E114" s="1">
        <v>44972</v>
      </c>
      <c r="F114">
        <v>28</v>
      </c>
      <c r="G114">
        <v>4.9000000000000004</v>
      </c>
      <c r="H114">
        <v>2023</v>
      </c>
      <c r="I114" t="s">
        <v>1048</v>
      </c>
      <c r="J114" t="s">
        <v>1056</v>
      </c>
      <c r="K114">
        <v>5</v>
      </c>
    </row>
    <row r="115" spans="1:11" x14ac:dyDescent="0.3">
      <c r="A115" t="s">
        <v>1158</v>
      </c>
      <c r="B115" t="s">
        <v>1041</v>
      </c>
      <c r="C115">
        <v>38</v>
      </c>
      <c r="D115" t="s">
        <v>1038</v>
      </c>
      <c r="E115" s="1">
        <v>44972</v>
      </c>
      <c r="F115">
        <v>100</v>
      </c>
      <c r="G115">
        <v>4.8</v>
      </c>
      <c r="H115">
        <v>2023</v>
      </c>
      <c r="I115" t="s">
        <v>1048</v>
      </c>
      <c r="J115" t="s">
        <v>1034</v>
      </c>
      <c r="K115">
        <v>5</v>
      </c>
    </row>
    <row r="116" spans="1:11" x14ac:dyDescent="0.3">
      <c r="A116" t="s">
        <v>1159</v>
      </c>
      <c r="B116" t="s">
        <v>1045</v>
      </c>
      <c r="C116">
        <v>55</v>
      </c>
      <c r="D116" t="s">
        <v>1029</v>
      </c>
      <c r="E116" s="1">
        <v>44972</v>
      </c>
      <c r="F116">
        <v>23</v>
      </c>
      <c r="G116">
        <v>3.6</v>
      </c>
      <c r="H116">
        <v>2023</v>
      </c>
      <c r="I116" t="s">
        <v>1048</v>
      </c>
      <c r="J116" t="s">
        <v>1034</v>
      </c>
      <c r="K116">
        <v>4</v>
      </c>
    </row>
    <row r="117" spans="1:11" x14ac:dyDescent="0.3">
      <c r="A117" t="s">
        <v>1160</v>
      </c>
      <c r="B117" t="s">
        <v>1055</v>
      </c>
      <c r="C117">
        <v>27</v>
      </c>
      <c r="D117" t="s">
        <v>1042</v>
      </c>
      <c r="E117" s="1">
        <v>44973</v>
      </c>
      <c r="F117">
        <v>70</v>
      </c>
      <c r="G117">
        <v>3.9</v>
      </c>
      <c r="H117">
        <v>2023</v>
      </c>
      <c r="I117" t="s">
        <v>1052</v>
      </c>
      <c r="J117" t="s">
        <v>1056</v>
      </c>
      <c r="K117">
        <v>4</v>
      </c>
    </row>
    <row r="118" spans="1:11" x14ac:dyDescent="0.3">
      <c r="A118" t="s">
        <v>1161</v>
      </c>
      <c r="B118" t="s">
        <v>1055</v>
      </c>
      <c r="C118">
        <v>32</v>
      </c>
      <c r="D118" t="s">
        <v>1042</v>
      </c>
      <c r="E118" s="1">
        <v>44973</v>
      </c>
      <c r="F118">
        <v>37</v>
      </c>
      <c r="G118">
        <v>1.9</v>
      </c>
      <c r="H118">
        <v>2023</v>
      </c>
      <c r="I118" t="s">
        <v>1052</v>
      </c>
      <c r="J118" t="s">
        <v>1034</v>
      </c>
      <c r="K118">
        <v>2</v>
      </c>
    </row>
    <row r="119" spans="1:11" x14ac:dyDescent="0.3">
      <c r="A119" t="s">
        <v>1162</v>
      </c>
      <c r="B119" t="s">
        <v>1047</v>
      </c>
      <c r="C119">
        <v>116</v>
      </c>
      <c r="D119" t="s">
        <v>1017</v>
      </c>
      <c r="E119" s="1">
        <v>44973</v>
      </c>
      <c r="F119">
        <v>140</v>
      </c>
      <c r="G119">
        <v>3.6</v>
      </c>
      <c r="H119">
        <v>2023</v>
      </c>
      <c r="I119" t="s">
        <v>1052</v>
      </c>
      <c r="J119" t="s">
        <v>1019</v>
      </c>
      <c r="K119">
        <v>4</v>
      </c>
    </row>
    <row r="120" spans="1:11" x14ac:dyDescent="0.3">
      <c r="A120" t="s">
        <v>1163</v>
      </c>
      <c r="B120" t="s">
        <v>1016</v>
      </c>
      <c r="C120">
        <v>99</v>
      </c>
      <c r="D120" t="s">
        <v>1024</v>
      </c>
      <c r="E120" s="1">
        <v>44973</v>
      </c>
      <c r="F120">
        <v>78</v>
      </c>
      <c r="G120">
        <v>4.0999999999999996</v>
      </c>
      <c r="H120">
        <v>2023</v>
      </c>
      <c r="I120" t="s">
        <v>1052</v>
      </c>
      <c r="J120" t="s">
        <v>1019</v>
      </c>
      <c r="K120">
        <v>4</v>
      </c>
    </row>
    <row r="121" spans="1:11" x14ac:dyDescent="0.3">
      <c r="A121" t="s">
        <v>1164</v>
      </c>
      <c r="B121" t="s">
        <v>1021</v>
      </c>
      <c r="C121">
        <v>75</v>
      </c>
      <c r="D121" t="s">
        <v>1042</v>
      </c>
      <c r="E121" s="1">
        <v>44974</v>
      </c>
      <c r="F121">
        <v>21</v>
      </c>
      <c r="G121">
        <v>4.2</v>
      </c>
      <c r="H121">
        <v>2023</v>
      </c>
      <c r="I121" t="s">
        <v>411</v>
      </c>
      <c r="J121" t="s">
        <v>1019</v>
      </c>
      <c r="K121">
        <v>4</v>
      </c>
    </row>
    <row r="122" spans="1:11" x14ac:dyDescent="0.3">
      <c r="A122" t="s">
        <v>1165</v>
      </c>
      <c r="B122" t="s">
        <v>1023</v>
      </c>
      <c r="C122">
        <v>57</v>
      </c>
      <c r="D122" t="s">
        <v>1017</v>
      </c>
      <c r="E122" s="1">
        <v>44974</v>
      </c>
      <c r="F122">
        <v>88</v>
      </c>
      <c r="G122">
        <v>4.3</v>
      </c>
      <c r="H122">
        <v>2023</v>
      </c>
      <c r="I122" t="s">
        <v>411</v>
      </c>
      <c r="J122" t="s">
        <v>1034</v>
      </c>
      <c r="K122">
        <v>4</v>
      </c>
    </row>
    <row r="123" spans="1:11" x14ac:dyDescent="0.3">
      <c r="A123" t="s">
        <v>1166</v>
      </c>
      <c r="B123" t="s">
        <v>1036</v>
      </c>
      <c r="C123">
        <v>155</v>
      </c>
      <c r="D123" t="s">
        <v>1017</v>
      </c>
      <c r="E123" s="1">
        <v>44975</v>
      </c>
      <c r="F123">
        <v>180</v>
      </c>
      <c r="G123">
        <v>2.2000000000000002</v>
      </c>
      <c r="H123">
        <v>2023</v>
      </c>
      <c r="I123" t="s">
        <v>1062</v>
      </c>
      <c r="J123" t="s">
        <v>1031</v>
      </c>
      <c r="K123">
        <v>2</v>
      </c>
    </row>
    <row r="124" spans="1:11" x14ac:dyDescent="0.3">
      <c r="A124" t="s">
        <v>1167</v>
      </c>
      <c r="B124" t="s">
        <v>1016</v>
      </c>
      <c r="C124">
        <v>68</v>
      </c>
      <c r="D124" t="s">
        <v>1024</v>
      </c>
      <c r="E124" s="1">
        <v>44975</v>
      </c>
      <c r="F124">
        <v>22</v>
      </c>
      <c r="G124">
        <v>3.3</v>
      </c>
      <c r="H124">
        <v>2023</v>
      </c>
      <c r="I124" t="s">
        <v>1062</v>
      </c>
      <c r="J124" t="s">
        <v>1019</v>
      </c>
      <c r="K124">
        <v>3</v>
      </c>
    </row>
    <row r="125" spans="1:11" x14ac:dyDescent="0.3">
      <c r="A125" t="s">
        <v>1168</v>
      </c>
      <c r="B125" t="s">
        <v>1041</v>
      </c>
      <c r="C125">
        <v>95</v>
      </c>
      <c r="D125" t="s">
        <v>1024</v>
      </c>
      <c r="E125" s="1">
        <v>44975</v>
      </c>
      <c r="F125">
        <v>52</v>
      </c>
      <c r="G125">
        <v>4.8</v>
      </c>
      <c r="H125">
        <v>2023</v>
      </c>
      <c r="I125" t="s">
        <v>1062</v>
      </c>
      <c r="J125" t="s">
        <v>1019</v>
      </c>
      <c r="K125">
        <v>5</v>
      </c>
    </row>
    <row r="126" spans="1:11" x14ac:dyDescent="0.3">
      <c r="A126" t="s">
        <v>1169</v>
      </c>
      <c r="B126" t="s">
        <v>1065</v>
      </c>
      <c r="C126">
        <v>65</v>
      </c>
      <c r="D126" t="s">
        <v>1017</v>
      </c>
      <c r="E126" s="1">
        <v>44976</v>
      </c>
      <c r="F126">
        <v>80</v>
      </c>
      <c r="G126">
        <v>4</v>
      </c>
      <c r="H126">
        <v>2023</v>
      </c>
      <c r="I126" t="s">
        <v>1018</v>
      </c>
      <c r="J126" t="s">
        <v>1019</v>
      </c>
      <c r="K126">
        <v>4</v>
      </c>
    </row>
    <row r="127" spans="1:11" x14ac:dyDescent="0.3">
      <c r="A127" t="s">
        <v>1170</v>
      </c>
      <c r="B127" t="s">
        <v>1028</v>
      </c>
      <c r="C127">
        <v>114</v>
      </c>
      <c r="D127" t="s">
        <v>1029</v>
      </c>
      <c r="E127" s="1">
        <v>44976</v>
      </c>
      <c r="F127">
        <v>54</v>
      </c>
      <c r="G127">
        <v>1.1000000000000001</v>
      </c>
      <c r="H127">
        <v>2023</v>
      </c>
      <c r="I127" t="s">
        <v>1018</v>
      </c>
      <c r="J127" t="s">
        <v>1019</v>
      </c>
      <c r="K127">
        <v>1</v>
      </c>
    </row>
    <row r="128" spans="1:11" x14ac:dyDescent="0.3">
      <c r="A128" t="s">
        <v>1171</v>
      </c>
      <c r="B128" t="s">
        <v>1021</v>
      </c>
      <c r="C128">
        <v>155</v>
      </c>
      <c r="D128" t="s">
        <v>1029</v>
      </c>
      <c r="E128" s="1">
        <v>44977</v>
      </c>
      <c r="F128">
        <v>80</v>
      </c>
      <c r="G128">
        <v>3.9</v>
      </c>
      <c r="H128">
        <v>2023</v>
      </c>
      <c r="I128" t="s">
        <v>1030</v>
      </c>
      <c r="J128" t="s">
        <v>1031</v>
      </c>
      <c r="K128">
        <v>4</v>
      </c>
    </row>
    <row r="129" spans="1:11" x14ac:dyDescent="0.3">
      <c r="A129" t="s">
        <v>1172</v>
      </c>
      <c r="B129" t="s">
        <v>1065</v>
      </c>
      <c r="C129">
        <v>114</v>
      </c>
      <c r="D129" t="s">
        <v>1017</v>
      </c>
      <c r="E129" s="1">
        <v>44978</v>
      </c>
      <c r="F129">
        <v>120</v>
      </c>
      <c r="G129">
        <v>1.8</v>
      </c>
      <c r="H129">
        <v>2023</v>
      </c>
      <c r="I129" t="s">
        <v>1033</v>
      </c>
      <c r="J129" t="s">
        <v>1019</v>
      </c>
      <c r="K129">
        <v>2</v>
      </c>
    </row>
    <row r="130" spans="1:11" x14ac:dyDescent="0.3">
      <c r="A130" t="s">
        <v>1173</v>
      </c>
      <c r="B130" t="s">
        <v>1036</v>
      </c>
      <c r="C130">
        <v>130</v>
      </c>
      <c r="D130" t="s">
        <v>1038</v>
      </c>
      <c r="E130" s="1">
        <v>44978</v>
      </c>
      <c r="F130">
        <v>150</v>
      </c>
      <c r="G130">
        <v>1</v>
      </c>
      <c r="H130">
        <v>2023</v>
      </c>
      <c r="I130" t="s">
        <v>1033</v>
      </c>
      <c r="J130" t="s">
        <v>1031</v>
      </c>
      <c r="K130">
        <v>1</v>
      </c>
    </row>
    <row r="131" spans="1:11" x14ac:dyDescent="0.3">
      <c r="A131" t="s">
        <v>1174</v>
      </c>
      <c r="B131" t="s">
        <v>1021</v>
      </c>
      <c r="C131">
        <v>89</v>
      </c>
      <c r="D131" t="s">
        <v>1017</v>
      </c>
      <c r="E131" s="1">
        <v>44978</v>
      </c>
      <c r="F131">
        <v>90</v>
      </c>
      <c r="G131">
        <v>4.3</v>
      </c>
      <c r="H131">
        <v>2023</v>
      </c>
      <c r="I131" t="s">
        <v>1033</v>
      </c>
      <c r="J131" t="s">
        <v>1019</v>
      </c>
      <c r="K131">
        <v>4</v>
      </c>
    </row>
    <row r="132" spans="1:11" x14ac:dyDescent="0.3">
      <c r="A132" t="s">
        <v>1175</v>
      </c>
      <c r="B132" t="s">
        <v>1078</v>
      </c>
      <c r="C132">
        <v>61</v>
      </c>
      <c r="D132" t="s">
        <v>1042</v>
      </c>
      <c r="E132" s="1">
        <v>44979</v>
      </c>
      <c r="F132">
        <v>140</v>
      </c>
      <c r="G132">
        <v>3.4</v>
      </c>
      <c r="H132">
        <v>2023</v>
      </c>
      <c r="I132" t="s">
        <v>1048</v>
      </c>
      <c r="J132" t="s">
        <v>1019</v>
      </c>
      <c r="K132">
        <v>3</v>
      </c>
    </row>
    <row r="133" spans="1:11" x14ac:dyDescent="0.3">
      <c r="A133" t="s">
        <v>1176</v>
      </c>
      <c r="B133" t="s">
        <v>1041</v>
      </c>
      <c r="C133">
        <v>154</v>
      </c>
      <c r="D133" t="s">
        <v>1029</v>
      </c>
      <c r="E133" s="1">
        <v>44979</v>
      </c>
      <c r="F133">
        <v>22</v>
      </c>
      <c r="G133">
        <v>3.4</v>
      </c>
      <c r="H133">
        <v>2023</v>
      </c>
      <c r="I133" t="s">
        <v>1048</v>
      </c>
      <c r="J133" t="s">
        <v>1031</v>
      </c>
      <c r="K133">
        <v>3</v>
      </c>
    </row>
    <row r="134" spans="1:11" x14ac:dyDescent="0.3">
      <c r="A134" t="s">
        <v>1177</v>
      </c>
      <c r="B134" t="s">
        <v>1065</v>
      </c>
      <c r="C134">
        <v>115</v>
      </c>
      <c r="D134" t="s">
        <v>1038</v>
      </c>
      <c r="E134" s="1">
        <v>44980</v>
      </c>
      <c r="F134">
        <v>150</v>
      </c>
      <c r="G134">
        <v>4.0999999999999996</v>
      </c>
      <c r="H134">
        <v>2023</v>
      </c>
      <c r="I134" t="s">
        <v>1052</v>
      </c>
      <c r="J134" t="s">
        <v>1019</v>
      </c>
      <c r="K134">
        <v>4</v>
      </c>
    </row>
    <row r="135" spans="1:11" x14ac:dyDescent="0.3">
      <c r="A135" t="s">
        <v>1178</v>
      </c>
      <c r="B135" t="s">
        <v>1098</v>
      </c>
      <c r="C135">
        <v>138</v>
      </c>
      <c r="D135" t="s">
        <v>1024</v>
      </c>
      <c r="E135" s="1">
        <v>44981</v>
      </c>
      <c r="F135">
        <v>35</v>
      </c>
      <c r="G135">
        <v>4.8</v>
      </c>
      <c r="H135">
        <v>2023</v>
      </c>
      <c r="I135" t="s">
        <v>411</v>
      </c>
      <c r="J135" t="s">
        <v>1031</v>
      </c>
      <c r="K135">
        <v>5</v>
      </c>
    </row>
    <row r="136" spans="1:11" x14ac:dyDescent="0.3">
      <c r="A136" t="s">
        <v>1179</v>
      </c>
      <c r="B136" t="s">
        <v>1026</v>
      </c>
      <c r="C136">
        <v>153</v>
      </c>
      <c r="D136" t="s">
        <v>1017</v>
      </c>
      <c r="E136" s="1">
        <v>44981</v>
      </c>
      <c r="F136">
        <v>200</v>
      </c>
      <c r="G136">
        <v>2</v>
      </c>
      <c r="H136">
        <v>2023</v>
      </c>
      <c r="I136" t="s">
        <v>411</v>
      </c>
      <c r="J136" t="s">
        <v>1031</v>
      </c>
      <c r="K136">
        <v>2</v>
      </c>
    </row>
    <row r="137" spans="1:11" x14ac:dyDescent="0.3">
      <c r="A137" t="s">
        <v>1180</v>
      </c>
      <c r="B137" t="s">
        <v>1065</v>
      </c>
      <c r="C137">
        <v>61</v>
      </c>
      <c r="D137" t="s">
        <v>1042</v>
      </c>
      <c r="E137" s="1">
        <v>44982</v>
      </c>
      <c r="F137">
        <v>150</v>
      </c>
      <c r="G137">
        <v>4.5999999999999996</v>
      </c>
      <c r="H137">
        <v>2023</v>
      </c>
      <c r="I137" t="s">
        <v>1062</v>
      </c>
      <c r="J137" t="s">
        <v>1019</v>
      </c>
      <c r="K137">
        <v>5</v>
      </c>
    </row>
    <row r="138" spans="1:11" x14ac:dyDescent="0.3">
      <c r="A138" t="s">
        <v>1181</v>
      </c>
      <c r="B138" t="s">
        <v>1055</v>
      </c>
      <c r="C138">
        <v>62</v>
      </c>
      <c r="D138" t="s">
        <v>1017</v>
      </c>
      <c r="E138" s="1">
        <v>44982</v>
      </c>
      <c r="F138">
        <v>21</v>
      </c>
      <c r="G138">
        <v>2.6</v>
      </c>
      <c r="H138">
        <v>2023</v>
      </c>
      <c r="I138" t="s">
        <v>1062</v>
      </c>
      <c r="J138" t="s">
        <v>1019</v>
      </c>
      <c r="K138">
        <v>3</v>
      </c>
    </row>
    <row r="139" spans="1:11" x14ac:dyDescent="0.3">
      <c r="A139" t="s">
        <v>1182</v>
      </c>
      <c r="B139" t="s">
        <v>1078</v>
      </c>
      <c r="C139">
        <v>151</v>
      </c>
      <c r="D139" t="s">
        <v>1038</v>
      </c>
      <c r="E139" s="1">
        <v>44983</v>
      </c>
      <c r="F139">
        <v>46</v>
      </c>
      <c r="G139">
        <v>4.9000000000000004</v>
      </c>
      <c r="H139">
        <v>2023</v>
      </c>
      <c r="I139" t="s">
        <v>1018</v>
      </c>
      <c r="J139" t="s">
        <v>1031</v>
      </c>
      <c r="K139">
        <v>5</v>
      </c>
    </row>
    <row r="140" spans="1:11" x14ac:dyDescent="0.3">
      <c r="A140" t="s">
        <v>1183</v>
      </c>
      <c r="B140" t="s">
        <v>1068</v>
      </c>
      <c r="C140">
        <v>102</v>
      </c>
      <c r="D140" t="s">
        <v>1029</v>
      </c>
      <c r="E140" s="1">
        <v>44983</v>
      </c>
      <c r="F140">
        <v>165</v>
      </c>
      <c r="G140">
        <v>2.7</v>
      </c>
      <c r="H140">
        <v>2023</v>
      </c>
      <c r="I140" t="s">
        <v>1018</v>
      </c>
      <c r="J140" t="s">
        <v>1019</v>
      </c>
      <c r="K140">
        <v>3</v>
      </c>
    </row>
    <row r="141" spans="1:11" x14ac:dyDescent="0.3">
      <c r="A141" t="s">
        <v>1184</v>
      </c>
      <c r="B141" t="s">
        <v>1059</v>
      </c>
      <c r="C141">
        <v>64</v>
      </c>
      <c r="D141" t="s">
        <v>1017</v>
      </c>
      <c r="E141" s="1">
        <v>44983</v>
      </c>
      <c r="F141">
        <v>84</v>
      </c>
      <c r="G141">
        <v>4.0999999999999996</v>
      </c>
      <c r="H141">
        <v>2023</v>
      </c>
      <c r="I141" t="s">
        <v>1018</v>
      </c>
      <c r="J141" t="s">
        <v>1019</v>
      </c>
      <c r="K141">
        <v>4</v>
      </c>
    </row>
    <row r="142" spans="1:11" x14ac:dyDescent="0.3">
      <c r="A142" t="s">
        <v>1185</v>
      </c>
      <c r="B142" t="s">
        <v>1021</v>
      </c>
      <c r="C142">
        <v>6</v>
      </c>
      <c r="D142" t="s">
        <v>1029</v>
      </c>
      <c r="E142" s="1">
        <v>44984</v>
      </c>
      <c r="F142">
        <v>102</v>
      </c>
      <c r="G142">
        <v>4.4000000000000004</v>
      </c>
      <c r="H142">
        <v>2023</v>
      </c>
      <c r="I142" t="s">
        <v>1030</v>
      </c>
      <c r="J142" t="s">
        <v>1186</v>
      </c>
      <c r="K142">
        <v>4</v>
      </c>
    </row>
    <row r="143" spans="1:11" x14ac:dyDescent="0.3">
      <c r="A143" t="s">
        <v>1187</v>
      </c>
      <c r="B143" t="s">
        <v>1059</v>
      </c>
      <c r="C143">
        <v>129</v>
      </c>
      <c r="D143" t="s">
        <v>1017</v>
      </c>
      <c r="E143" s="1">
        <v>44984</v>
      </c>
      <c r="F143">
        <v>180</v>
      </c>
      <c r="G143">
        <v>4.8</v>
      </c>
      <c r="H143">
        <v>2023</v>
      </c>
      <c r="I143" t="s">
        <v>1030</v>
      </c>
      <c r="J143" t="s">
        <v>1031</v>
      </c>
      <c r="K143">
        <v>5</v>
      </c>
    </row>
    <row r="144" spans="1:11" x14ac:dyDescent="0.3">
      <c r="A144" t="s">
        <v>1188</v>
      </c>
      <c r="B144" t="s">
        <v>1055</v>
      </c>
      <c r="C144">
        <v>42</v>
      </c>
      <c r="D144" t="s">
        <v>1038</v>
      </c>
      <c r="E144" s="1">
        <v>44985</v>
      </c>
      <c r="F144">
        <v>111</v>
      </c>
      <c r="G144">
        <v>3</v>
      </c>
      <c r="H144">
        <v>2023</v>
      </c>
      <c r="I144" t="s">
        <v>1033</v>
      </c>
      <c r="J144" t="s">
        <v>1034</v>
      </c>
      <c r="K144">
        <v>3</v>
      </c>
    </row>
    <row r="145" spans="1:11" x14ac:dyDescent="0.3">
      <c r="A145" t="s">
        <v>1189</v>
      </c>
      <c r="B145" t="s">
        <v>1055</v>
      </c>
      <c r="C145">
        <v>71</v>
      </c>
      <c r="D145" t="s">
        <v>1042</v>
      </c>
      <c r="E145" s="1">
        <v>44985</v>
      </c>
      <c r="F145">
        <v>104</v>
      </c>
      <c r="G145">
        <v>3.1</v>
      </c>
      <c r="H145">
        <v>2023</v>
      </c>
      <c r="I145" t="s">
        <v>1033</v>
      </c>
      <c r="J145" t="s">
        <v>1019</v>
      </c>
      <c r="K145">
        <v>3</v>
      </c>
    </row>
    <row r="146" spans="1:11" x14ac:dyDescent="0.3">
      <c r="A146" t="s">
        <v>1190</v>
      </c>
      <c r="B146" t="s">
        <v>1023</v>
      </c>
      <c r="C146">
        <v>53</v>
      </c>
      <c r="D146" t="s">
        <v>1029</v>
      </c>
      <c r="E146" s="1">
        <v>44985</v>
      </c>
      <c r="F146">
        <v>80</v>
      </c>
      <c r="G146">
        <v>2.6</v>
      </c>
      <c r="H146">
        <v>2023</v>
      </c>
      <c r="I146" t="s">
        <v>1033</v>
      </c>
      <c r="J146" t="s">
        <v>1034</v>
      </c>
      <c r="K146">
        <v>3</v>
      </c>
    </row>
    <row r="147" spans="1:11" x14ac:dyDescent="0.3">
      <c r="A147" t="s">
        <v>1191</v>
      </c>
      <c r="B147" t="s">
        <v>1028</v>
      </c>
      <c r="C147">
        <v>155</v>
      </c>
      <c r="D147" t="s">
        <v>1042</v>
      </c>
      <c r="E147" s="1">
        <v>44986</v>
      </c>
      <c r="F147">
        <v>132</v>
      </c>
      <c r="G147">
        <v>4.5999999999999996</v>
      </c>
      <c r="H147">
        <v>2023</v>
      </c>
      <c r="I147" t="s">
        <v>1048</v>
      </c>
      <c r="J147" t="s">
        <v>1031</v>
      </c>
      <c r="K147">
        <v>5</v>
      </c>
    </row>
    <row r="148" spans="1:11" x14ac:dyDescent="0.3">
      <c r="A148" t="s">
        <v>1192</v>
      </c>
      <c r="B148" t="s">
        <v>1028</v>
      </c>
      <c r="C148">
        <v>90</v>
      </c>
      <c r="D148" t="s">
        <v>1038</v>
      </c>
      <c r="E148" s="1">
        <v>44986</v>
      </c>
      <c r="F148">
        <v>170</v>
      </c>
      <c r="G148">
        <v>3.7</v>
      </c>
      <c r="H148">
        <v>2023</v>
      </c>
      <c r="I148" t="s">
        <v>1048</v>
      </c>
      <c r="J148" t="s">
        <v>1019</v>
      </c>
      <c r="K148">
        <v>4</v>
      </c>
    </row>
    <row r="149" spans="1:11" x14ac:dyDescent="0.3">
      <c r="A149" t="s">
        <v>1193</v>
      </c>
      <c r="B149" t="s">
        <v>1059</v>
      </c>
      <c r="C149">
        <v>166</v>
      </c>
      <c r="D149" t="s">
        <v>1024</v>
      </c>
      <c r="E149" s="1">
        <v>44986</v>
      </c>
      <c r="F149">
        <v>36</v>
      </c>
      <c r="G149">
        <v>3.8</v>
      </c>
      <c r="H149">
        <v>2023</v>
      </c>
      <c r="I149" t="s">
        <v>1048</v>
      </c>
      <c r="J149" t="s">
        <v>1031</v>
      </c>
      <c r="K149">
        <v>4</v>
      </c>
    </row>
    <row r="150" spans="1:11" x14ac:dyDescent="0.3">
      <c r="A150" t="s">
        <v>1194</v>
      </c>
      <c r="B150" t="s">
        <v>1047</v>
      </c>
      <c r="C150">
        <v>89</v>
      </c>
      <c r="D150" t="s">
        <v>1042</v>
      </c>
      <c r="E150" s="1">
        <v>44986</v>
      </c>
      <c r="F150">
        <v>126</v>
      </c>
      <c r="G150">
        <v>3.6</v>
      </c>
      <c r="H150">
        <v>2023</v>
      </c>
      <c r="I150" t="s">
        <v>1048</v>
      </c>
      <c r="J150" t="s">
        <v>1019</v>
      </c>
      <c r="K150">
        <v>4</v>
      </c>
    </row>
    <row r="151" spans="1:11" x14ac:dyDescent="0.3">
      <c r="A151" t="s">
        <v>1195</v>
      </c>
      <c r="B151" t="s">
        <v>1065</v>
      </c>
      <c r="C151">
        <v>152</v>
      </c>
      <c r="D151" t="s">
        <v>1029</v>
      </c>
      <c r="E151" s="1">
        <v>44986</v>
      </c>
      <c r="F151">
        <v>215</v>
      </c>
      <c r="G151">
        <v>4.4000000000000004</v>
      </c>
      <c r="H151">
        <v>2023</v>
      </c>
      <c r="I151" t="s">
        <v>1048</v>
      </c>
      <c r="J151" t="s">
        <v>1031</v>
      </c>
      <c r="K151">
        <v>4</v>
      </c>
    </row>
    <row r="152" spans="1:11" x14ac:dyDescent="0.3">
      <c r="A152" t="s">
        <v>1196</v>
      </c>
      <c r="B152" t="s">
        <v>1047</v>
      </c>
      <c r="C152">
        <v>137</v>
      </c>
      <c r="D152" t="s">
        <v>1038</v>
      </c>
      <c r="E152" s="1">
        <v>44986</v>
      </c>
      <c r="F152">
        <v>114</v>
      </c>
      <c r="G152">
        <v>3.2</v>
      </c>
      <c r="H152">
        <v>2023</v>
      </c>
      <c r="I152" t="s">
        <v>1048</v>
      </c>
      <c r="J152" t="s">
        <v>1031</v>
      </c>
      <c r="K152">
        <v>3</v>
      </c>
    </row>
    <row r="153" spans="1:11" x14ac:dyDescent="0.3">
      <c r="A153" t="s">
        <v>1197</v>
      </c>
      <c r="B153" t="s">
        <v>1047</v>
      </c>
      <c r="C153">
        <v>43</v>
      </c>
      <c r="D153" t="s">
        <v>1038</v>
      </c>
      <c r="E153" s="1">
        <v>44986</v>
      </c>
      <c r="F153">
        <v>99</v>
      </c>
      <c r="G153">
        <v>4.7</v>
      </c>
      <c r="H153">
        <v>2023</v>
      </c>
      <c r="I153" t="s">
        <v>1048</v>
      </c>
      <c r="J153" t="s">
        <v>1034</v>
      </c>
      <c r="K153">
        <v>5</v>
      </c>
    </row>
    <row r="154" spans="1:11" x14ac:dyDescent="0.3">
      <c r="A154" t="s">
        <v>1198</v>
      </c>
      <c r="B154" t="s">
        <v>1041</v>
      </c>
      <c r="C154">
        <v>114</v>
      </c>
      <c r="D154" t="s">
        <v>1038</v>
      </c>
      <c r="E154" s="1">
        <v>44987</v>
      </c>
      <c r="F154">
        <v>23</v>
      </c>
      <c r="G154">
        <v>4.8</v>
      </c>
      <c r="H154">
        <v>2023</v>
      </c>
      <c r="I154" t="s">
        <v>1052</v>
      </c>
      <c r="J154" t="s">
        <v>1019</v>
      </c>
      <c r="K154">
        <v>5</v>
      </c>
    </row>
    <row r="155" spans="1:11" x14ac:dyDescent="0.3">
      <c r="A155" t="s">
        <v>1199</v>
      </c>
      <c r="B155" t="s">
        <v>1026</v>
      </c>
      <c r="C155">
        <v>103</v>
      </c>
      <c r="D155" t="s">
        <v>1042</v>
      </c>
      <c r="E155" s="1">
        <v>44987</v>
      </c>
      <c r="F155">
        <v>75</v>
      </c>
      <c r="G155">
        <v>2.7</v>
      </c>
      <c r="H155">
        <v>2023</v>
      </c>
      <c r="I155" t="s">
        <v>1052</v>
      </c>
      <c r="J155" t="s">
        <v>1019</v>
      </c>
      <c r="K155">
        <v>3</v>
      </c>
    </row>
    <row r="156" spans="1:11" x14ac:dyDescent="0.3">
      <c r="A156" t="s">
        <v>1200</v>
      </c>
      <c r="B156" t="s">
        <v>1047</v>
      </c>
      <c r="C156">
        <v>98</v>
      </c>
      <c r="D156" t="s">
        <v>1029</v>
      </c>
      <c r="E156" s="1">
        <v>44987</v>
      </c>
      <c r="F156">
        <v>100</v>
      </c>
      <c r="G156">
        <v>3.8</v>
      </c>
      <c r="H156">
        <v>2023</v>
      </c>
      <c r="I156" t="s">
        <v>1052</v>
      </c>
      <c r="J156" t="s">
        <v>1019</v>
      </c>
      <c r="K156">
        <v>4</v>
      </c>
    </row>
    <row r="157" spans="1:11" x14ac:dyDescent="0.3">
      <c r="A157" t="s">
        <v>1201</v>
      </c>
      <c r="B157" t="s">
        <v>1059</v>
      </c>
      <c r="C157">
        <v>106</v>
      </c>
      <c r="D157" t="s">
        <v>1024</v>
      </c>
      <c r="E157" s="1">
        <v>44987</v>
      </c>
      <c r="F157">
        <v>108</v>
      </c>
      <c r="G157">
        <v>4.3</v>
      </c>
      <c r="H157">
        <v>2023</v>
      </c>
      <c r="I157" t="s">
        <v>1052</v>
      </c>
      <c r="J157" t="s">
        <v>1019</v>
      </c>
      <c r="K157">
        <v>4</v>
      </c>
    </row>
    <row r="158" spans="1:11" x14ac:dyDescent="0.3">
      <c r="A158" t="s">
        <v>1202</v>
      </c>
      <c r="B158" t="s">
        <v>1021</v>
      </c>
      <c r="C158">
        <v>96</v>
      </c>
      <c r="D158" t="s">
        <v>1024</v>
      </c>
      <c r="E158" s="1">
        <v>44987</v>
      </c>
      <c r="F158">
        <v>108</v>
      </c>
      <c r="G158">
        <v>5</v>
      </c>
      <c r="H158">
        <v>2023</v>
      </c>
      <c r="I158" t="s">
        <v>1052</v>
      </c>
      <c r="J158" t="s">
        <v>1019</v>
      </c>
      <c r="K158">
        <v>5</v>
      </c>
    </row>
    <row r="159" spans="1:11" x14ac:dyDescent="0.3">
      <c r="A159" t="s">
        <v>1203</v>
      </c>
      <c r="B159" t="s">
        <v>1026</v>
      </c>
      <c r="C159">
        <v>70</v>
      </c>
      <c r="D159" t="s">
        <v>1024</v>
      </c>
      <c r="E159" s="1">
        <v>44987</v>
      </c>
      <c r="F159">
        <v>28</v>
      </c>
      <c r="G159">
        <v>4.8</v>
      </c>
      <c r="H159">
        <v>2023</v>
      </c>
      <c r="I159" t="s">
        <v>1052</v>
      </c>
      <c r="J159" t="s">
        <v>1019</v>
      </c>
      <c r="K159">
        <v>5</v>
      </c>
    </row>
    <row r="160" spans="1:11" x14ac:dyDescent="0.3">
      <c r="A160" t="s">
        <v>1204</v>
      </c>
      <c r="B160" t="s">
        <v>1055</v>
      </c>
      <c r="C160">
        <v>86</v>
      </c>
      <c r="D160" t="s">
        <v>1017</v>
      </c>
      <c r="E160" s="1">
        <v>44988</v>
      </c>
      <c r="F160">
        <v>70</v>
      </c>
      <c r="G160">
        <v>4.9000000000000004</v>
      </c>
      <c r="H160">
        <v>2023</v>
      </c>
      <c r="I160" t="s">
        <v>411</v>
      </c>
      <c r="J160" t="s">
        <v>1019</v>
      </c>
      <c r="K160">
        <v>5</v>
      </c>
    </row>
    <row r="161" spans="1:11" x14ac:dyDescent="0.3">
      <c r="A161" t="s">
        <v>1205</v>
      </c>
      <c r="B161" t="s">
        <v>1023</v>
      </c>
      <c r="C161">
        <v>64</v>
      </c>
      <c r="D161" t="s">
        <v>1017</v>
      </c>
      <c r="E161" s="1">
        <v>44988</v>
      </c>
      <c r="F161">
        <v>172</v>
      </c>
      <c r="G161">
        <v>4.0999999999999996</v>
      </c>
      <c r="H161">
        <v>2023</v>
      </c>
      <c r="I161" t="s">
        <v>411</v>
      </c>
      <c r="J161" t="s">
        <v>1019</v>
      </c>
      <c r="K161">
        <v>4</v>
      </c>
    </row>
    <row r="162" spans="1:11" x14ac:dyDescent="0.3">
      <c r="A162" t="s">
        <v>1206</v>
      </c>
      <c r="B162" t="s">
        <v>1021</v>
      </c>
      <c r="C162">
        <v>113</v>
      </c>
      <c r="D162" t="s">
        <v>1029</v>
      </c>
      <c r="E162" s="1">
        <v>44988</v>
      </c>
      <c r="F162">
        <v>123</v>
      </c>
      <c r="G162">
        <v>4.4000000000000004</v>
      </c>
      <c r="H162">
        <v>2023</v>
      </c>
      <c r="I162" t="s">
        <v>411</v>
      </c>
      <c r="J162" t="s">
        <v>1019</v>
      </c>
      <c r="K162">
        <v>4</v>
      </c>
    </row>
    <row r="163" spans="1:11" x14ac:dyDescent="0.3">
      <c r="A163" t="s">
        <v>1207</v>
      </c>
      <c r="B163" t="s">
        <v>1021</v>
      </c>
      <c r="C163">
        <v>21</v>
      </c>
      <c r="D163" t="s">
        <v>1024</v>
      </c>
      <c r="E163" s="1">
        <v>44988</v>
      </c>
      <c r="F163">
        <v>93</v>
      </c>
      <c r="G163">
        <v>3.4</v>
      </c>
      <c r="H163">
        <v>2023</v>
      </c>
      <c r="I163" t="s">
        <v>411</v>
      </c>
      <c r="J163" t="s">
        <v>1056</v>
      </c>
      <c r="K163">
        <v>3</v>
      </c>
    </row>
    <row r="164" spans="1:11" x14ac:dyDescent="0.3">
      <c r="A164" t="s">
        <v>1208</v>
      </c>
      <c r="B164" t="s">
        <v>1068</v>
      </c>
      <c r="C164">
        <v>107</v>
      </c>
      <c r="D164" t="s">
        <v>1017</v>
      </c>
      <c r="E164" s="1">
        <v>44988</v>
      </c>
      <c r="F164">
        <v>66</v>
      </c>
      <c r="G164">
        <v>4</v>
      </c>
      <c r="H164">
        <v>2023</v>
      </c>
      <c r="I164" t="s">
        <v>411</v>
      </c>
      <c r="J164" t="s">
        <v>1019</v>
      </c>
      <c r="K164">
        <v>4</v>
      </c>
    </row>
    <row r="165" spans="1:11" x14ac:dyDescent="0.3">
      <c r="A165" t="s">
        <v>1209</v>
      </c>
      <c r="B165" t="s">
        <v>1068</v>
      </c>
      <c r="C165">
        <v>131</v>
      </c>
      <c r="D165" t="s">
        <v>1024</v>
      </c>
      <c r="E165" s="1">
        <v>44988</v>
      </c>
      <c r="F165">
        <v>39</v>
      </c>
      <c r="G165">
        <v>2.4</v>
      </c>
      <c r="H165">
        <v>2023</v>
      </c>
      <c r="I165" t="s">
        <v>411</v>
      </c>
      <c r="J165" t="s">
        <v>1031</v>
      </c>
      <c r="K165">
        <v>2</v>
      </c>
    </row>
    <row r="166" spans="1:11" x14ac:dyDescent="0.3">
      <c r="A166" t="s">
        <v>1210</v>
      </c>
      <c r="B166" t="s">
        <v>1016</v>
      </c>
      <c r="C166">
        <v>11</v>
      </c>
      <c r="D166" t="s">
        <v>1042</v>
      </c>
      <c r="E166" s="1">
        <v>44988</v>
      </c>
      <c r="F166">
        <v>25</v>
      </c>
      <c r="G166">
        <v>2.1</v>
      </c>
      <c r="H166">
        <v>2023</v>
      </c>
      <c r="I166" t="s">
        <v>411</v>
      </c>
      <c r="J166" t="s">
        <v>1056</v>
      </c>
      <c r="K166">
        <v>2</v>
      </c>
    </row>
    <row r="167" spans="1:11" x14ac:dyDescent="0.3">
      <c r="A167" t="s">
        <v>1211</v>
      </c>
      <c r="B167" t="s">
        <v>1078</v>
      </c>
      <c r="C167">
        <v>86</v>
      </c>
      <c r="D167" t="s">
        <v>1029</v>
      </c>
      <c r="E167" s="1">
        <v>44988</v>
      </c>
      <c r="F167">
        <v>68</v>
      </c>
      <c r="G167">
        <v>3</v>
      </c>
      <c r="H167">
        <v>2023</v>
      </c>
      <c r="I167" t="s">
        <v>411</v>
      </c>
      <c r="J167" t="s">
        <v>1019</v>
      </c>
      <c r="K167">
        <v>3</v>
      </c>
    </row>
    <row r="168" spans="1:11" x14ac:dyDescent="0.3">
      <c r="A168" t="s">
        <v>1212</v>
      </c>
      <c r="B168" t="s">
        <v>1023</v>
      </c>
      <c r="C168">
        <v>28</v>
      </c>
      <c r="D168" t="s">
        <v>1042</v>
      </c>
      <c r="E168" s="1">
        <v>44988</v>
      </c>
      <c r="F168">
        <v>84</v>
      </c>
      <c r="G168">
        <v>3.2</v>
      </c>
      <c r="H168">
        <v>2023</v>
      </c>
      <c r="I168" t="s">
        <v>411</v>
      </c>
      <c r="J168" t="s">
        <v>1056</v>
      </c>
      <c r="K168">
        <v>3</v>
      </c>
    </row>
    <row r="169" spans="1:11" x14ac:dyDescent="0.3">
      <c r="A169" t="s">
        <v>1213</v>
      </c>
      <c r="B169" t="s">
        <v>1028</v>
      </c>
      <c r="C169">
        <v>139</v>
      </c>
      <c r="D169" t="s">
        <v>1024</v>
      </c>
      <c r="E169" s="1">
        <v>44989</v>
      </c>
      <c r="F169">
        <v>88</v>
      </c>
      <c r="G169">
        <v>3.4</v>
      </c>
      <c r="H169">
        <v>2023</v>
      </c>
      <c r="I169" t="s">
        <v>1062</v>
      </c>
      <c r="J169" t="s">
        <v>1031</v>
      </c>
      <c r="K169">
        <v>3</v>
      </c>
    </row>
    <row r="170" spans="1:11" x14ac:dyDescent="0.3">
      <c r="A170" t="s">
        <v>1214</v>
      </c>
      <c r="B170" t="s">
        <v>1059</v>
      </c>
      <c r="C170">
        <v>82</v>
      </c>
      <c r="D170" t="s">
        <v>1029</v>
      </c>
      <c r="E170" s="1">
        <v>44989</v>
      </c>
      <c r="F170">
        <v>93</v>
      </c>
      <c r="G170">
        <v>2.7</v>
      </c>
      <c r="H170">
        <v>2023</v>
      </c>
      <c r="I170" t="s">
        <v>1062</v>
      </c>
      <c r="J170" t="s">
        <v>1019</v>
      </c>
      <c r="K170">
        <v>3</v>
      </c>
    </row>
    <row r="171" spans="1:11" x14ac:dyDescent="0.3">
      <c r="A171" t="s">
        <v>1215</v>
      </c>
      <c r="B171" t="s">
        <v>1021</v>
      </c>
      <c r="C171">
        <v>101</v>
      </c>
      <c r="D171" t="s">
        <v>1042</v>
      </c>
      <c r="E171" s="1">
        <v>44989</v>
      </c>
      <c r="F171">
        <v>128</v>
      </c>
      <c r="G171">
        <v>5</v>
      </c>
      <c r="H171">
        <v>2023</v>
      </c>
      <c r="I171" t="s">
        <v>1062</v>
      </c>
      <c r="J171" t="s">
        <v>1019</v>
      </c>
      <c r="K171">
        <v>5</v>
      </c>
    </row>
    <row r="172" spans="1:11" x14ac:dyDescent="0.3">
      <c r="A172" t="s">
        <v>1216</v>
      </c>
      <c r="B172" t="s">
        <v>1023</v>
      </c>
      <c r="C172">
        <v>75</v>
      </c>
      <c r="D172" t="s">
        <v>1038</v>
      </c>
      <c r="E172" s="1">
        <v>44989</v>
      </c>
      <c r="F172">
        <v>40</v>
      </c>
      <c r="G172">
        <v>3.4</v>
      </c>
      <c r="H172">
        <v>2023</v>
      </c>
      <c r="I172" t="s">
        <v>1062</v>
      </c>
      <c r="J172" t="s">
        <v>1019</v>
      </c>
      <c r="K172">
        <v>3</v>
      </c>
    </row>
    <row r="173" spans="1:11" x14ac:dyDescent="0.3">
      <c r="A173" t="s">
        <v>1217</v>
      </c>
      <c r="B173" t="s">
        <v>1041</v>
      </c>
      <c r="C173">
        <v>40</v>
      </c>
      <c r="D173" t="s">
        <v>1042</v>
      </c>
      <c r="E173" s="1">
        <v>44990</v>
      </c>
      <c r="F173">
        <v>92</v>
      </c>
      <c r="G173">
        <v>4.7</v>
      </c>
      <c r="H173">
        <v>2023</v>
      </c>
      <c r="I173" t="s">
        <v>1018</v>
      </c>
      <c r="J173" t="s">
        <v>1034</v>
      </c>
      <c r="K173">
        <v>5</v>
      </c>
    </row>
    <row r="174" spans="1:11" x14ac:dyDescent="0.3">
      <c r="A174" t="s">
        <v>1218</v>
      </c>
      <c r="B174" t="s">
        <v>1047</v>
      </c>
      <c r="C174">
        <v>86</v>
      </c>
      <c r="D174" t="s">
        <v>1024</v>
      </c>
      <c r="E174" s="1">
        <v>44990</v>
      </c>
      <c r="F174">
        <v>27</v>
      </c>
      <c r="G174">
        <v>4.5</v>
      </c>
      <c r="H174">
        <v>2023</v>
      </c>
      <c r="I174" t="s">
        <v>1018</v>
      </c>
      <c r="J174" t="s">
        <v>1019</v>
      </c>
      <c r="K174">
        <v>5</v>
      </c>
    </row>
    <row r="175" spans="1:11" x14ac:dyDescent="0.3">
      <c r="A175" t="s">
        <v>1219</v>
      </c>
      <c r="B175" t="s">
        <v>1036</v>
      </c>
      <c r="C175">
        <v>131</v>
      </c>
      <c r="D175" t="s">
        <v>1017</v>
      </c>
      <c r="E175" s="1">
        <v>44990</v>
      </c>
      <c r="F175">
        <v>140</v>
      </c>
      <c r="G175">
        <v>4.0999999999999996</v>
      </c>
      <c r="H175">
        <v>2023</v>
      </c>
      <c r="I175" t="s">
        <v>1018</v>
      </c>
      <c r="J175" t="s">
        <v>1031</v>
      </c>
      <c r="K175">
        <v>4</v>
      </c>
    </row>
    <row r="176" spans="1:11" x14ac:dyDescent="0.3">
      <c r="A176" t="s">
        <v>1220</v>
      </c>
      <c r="B176" t="s">
        <v>1068</v>
      </c>
      <c r="C176">
        <v>67</v>
      </c>
      <c r="D176" t="s">
        <v>1029</v>
      </c>
      <c r="E176" s="1">
        <v>44990</v>
      </c>
      <c r="F176">
        <v>40</v>
      </c>
      <c r="G176">
        <v>5</v>
      </c>
      <c r="H176">
        <v>2023</v>
      </c>
      <c r="I176" t="s">
        <v>1018</v>
      </c>
      <c r="J176" t="s">
        <v>1019</v>
      </c>
      <c r="K176">
        <v>5</v>
      </c>
    </row>
    <row r="177" spans="1:11" x14ac:dyDescent="0.3">
      <c r="A177" t="s">
        <v>1221</v>
      </c>
      <c r="B177" t="s">
        <v>1098</v>
      </c>
      <c r="C177">
        <v>71</v>
      </c>
      <c r="D177" t="s">
        <v>1042</v>
      </c>
      <c r="E177" s="1">
        <v>44990</v>
      </c>
      <c r="F177">
        <v>102</v>
      </c>
      <c r="G177">
        <v>4.7</v>
      </c>
      <c r="H177">
        <v>2023</v>
      </c>
      <c r="I177" t="s">
        <v>1018</v>
      </c>
      <c r="J177" t="s">
        <v>1019</v>
      </c>
      <c r="K177">
        <v>5</v>
      </c>
    </row>
    <row r="178" spans="1:11" x14ac:dyDescent="0.3">
      <c r="A178" t="s">
        <v>1222</v>
      </c>
      <c r="B178" t="s">
        <v>1036</v>
      </c>
      <c r="C178">
        <v>113</v>
      </c>
      <c r="D178" t="s">
        <v>1017</v>
      </c>
      <c r="E178" s="1">
        <v>44990</v>
      </c>
      <c r="F178">
        <v>42</v>
      </c>
      <c r="G178">
        <v>4.2</v>
      </c>
      <c r="H178">
        <v>2023</v>
      </c>
      <c r="I178" t="s">
        <v>1018</v>
      </c>
      <c r="J178" t="s">
        <v>1019</v>
      </c>
      <c r="K178">
        <v>4</v>
      </c>
    </row>
    <row r="179" spans="1:11" x14ac:dyDescent="0.3">
      <c r="A179" t="s">
        <v>1223</v>
      </c>
      <c r="B179" t="s">
        <v>1059</v>
      </c>
      <c r="C179">
        <v>53</v>
      </c>
      <c r="D179" t="s">
        <v>1024</v>
      </c>
      <c r="E179" s="1">
        <v>44991</v>
      </c>
      <c r="F179">
        <v>210</v>
      </c>
      <c r="G179">
        <v>3.9</v>
      </c>
      <c r="H179">
        <v>2023</v>
      </c>
      <c r="I179" t="s">
        <v>1030</v>
      </c>
      <c r="J179" t="s">
        <v>1034</v>
      </c>
      <c r="K179">
        <v>4</v>
      </c>
    </row>
    <row r="180" spans="1:11" x14ac:dyDescent="0.3">
      <c r="A180" t="s">
        <v>1224</v>
      </c>
      <c r="B180" t="s">
        <v>1036</v>
      </c>
      <c r="C180">
        <v>153</v>
      </c>
      <c r="D180" t="s">
        <v>1029</v>
      </c>
      <c r="E180" s="1">
        <v>44991</v>
      </c>
      <c r="F180">
        <v>34</v>
      </c>
      <c r="G180">
        <v>3</v>
      </c>
      <c r="H180">
        <v>2023</v>
      </c>
      <c r="I180" t="s">
        <v>1030</v>
      </c>
      <c r="J180" t="s">
        <v>1031</v>
      </c>
      <c r="K180">
        <v>3</v>
      </c>
    </row>
    <row r="181" spans="1:11" x14ac:dyDescent="0.3">
      <c r="A181" t="s">
        <v>1225</v>
      </c>
      <c r="B181" t="s">
        <v>1068</v>
      </c>
      <c r="C181">
        <v>73</v>
      </c>
      <c r="D181" t="s">
        <v>1038</v>
      </c>
      <c r="E181" s="1">
        <v>44991</v>
      </c>
      <c r="F181">
        <v>215</v>
      </c>
      <c r="G181">
        <v>3.6</v>
      </c>
      <c r="H181">
        <v>2023</v>
      </c>
      <c r="I181" t="s">
        <v>1030</v>
      </c>
      <c r="J181" t="s">
        <v>1019</v>
      </c>
      <c r="K181">
        <v>4</v>
      </c>
    </row>
    <row r="182" spans="1:11" x14ac:dyDescent="0.3">
      <c r="A182" t="s">
        <v>1226</v>
      </c>
      <c r="B182" t="s">
        <v>1055</v>
      </c>
      <c r="C182">
        <v>62</v>
      </c>
      <c r="D182" t="s">
        <v>1038</v>
      </c>
      <c r="E182" s="1">
        <v>44991</v>
      </c>
      <c r="F182">
        <v>32</v>
      </c>
      <c r="G182">
        <v>0.7</v>
      </c>
      <c r="H182">
        <v>2023</v>
      </c>
      <c r="I182" t="s">
        <v>1030</v>
      </c>
      <c r="J182" t="s">
        <v>1019</v>
      </c>
      <c r="K182">
        <v>1</v>
      </c>
    </row>
    <row r="183" spans="1:11" x14ac:dyDescent="0.3">
      <c r="A183" t="s">
        <v>1227</v>
      </c>
      <c r="B183" t="s">
        <v>1028</v>
      </c>
      <c r="C183">
        <v>115</v>
      </c>
      <c r="D183" t="s">
        <v>1024</v>
      </c>
      <c r="E183" s="1">
        <v>44992</v>
      </c>
      <c r="F183">
        <v>48</v>
      </c>
      <c r="G183">
        <v>4.7</v>
      </c>
      <c r="H183">
        <v>2023</v>
      </c>
      <c r="I183" t="s">
        <v>1033</v>
      </c>
      <c r="J183" t="s">
        <v>1019</v>
      </c>
      <c r="K183">
        <v>5</v>
      </c>
    </row>
    <row r="184" spans="1:11" x14ac:dyDescent="0.3">
      <c r="A184" t="s">
        <v>1228</v>
      </c>
      <c r="B184" t="s">
        <v>1036</v>
      </c>
      <c r="C184">
        <v>69</v>
      </c>
      <c r="D184" t="s">
        <v>1024</v>
      </c>
      <c r="E184" s="1">
        <v>44992</v>
      </c>
      <c r="F184">
        <v>132</v>
      </c>
      <c r="G184">
        <v>4.5</v>
      </c>
      <c r="H184">
        <v>2023</v>
      </c>
      <c r="I184" t="s">
        <v>1033</v>
      </c>
      <c r="J184" t="s">
        <v>1019</v>
      </c>
      <c r="K184">
        <v>5</v>
      </c>
    </row>
    <row r="185" spans="1:11" x14ac:dyDescent="0.3">
      <c r="A185" t="s">
        <v>1229</v>
      </c>
      <c r="B185" t="s">
        <v>1047</v>
      </c>
      <c r="C185">
        <v>103</v>
      </c>
      <c r="D185" t="s">
        <v>1017</v>
      </c>
      <c r="E185" s="1">
        <v>44992</v>
      </c>
      <c r="F185">
        <v>172</v>
      </c>
      <c r="G185">
        <v>4.3</v>
      </c>
      <c r="H185">
        <v>2023</v>
      </c>
      <c r="I185" t="s">
        <v>1033</v>
      </c>
      <c r="J185" t="s">
        <v>1019</v>
      </c>
      <c r="K185">
        <v>4</v>
      </c>
    </row>
    <row r="186" spans="1:11" x14ac:dyDescent="0.3">
      <c r="A186" t="s">
        <v>1230</v>
      </c>
      <c r="B186" t="s">
        <v>1047</v>
      </c>
      <c r="C186">
        <v>75</v>
      </c>
      <c r="D186" t="s">
        <v>1017</v>
      </c>
      <c r="E186" s="1">
        <v>44992</v>
      </c>
      <c r="F186">
        <v>111</v>
      </c>
      <c r="G186">
        <v>3.4</v>
      </c>
      <c r="H186">
        <v>2023</v>
      </c>
      <c r="I186" t="s">
        <v>1033</v>
      </c>
      <c r="J186" t="s">
        <v>1019</v>
      </c>
      <c r="K186">
        <v>3</v>
      </c>
    </row>
    <row r="187" spans="1:11" x14ac:dyDescent="0.3">
      <c r="A187" t="s">
        <v>1231</v>
      </c>
      <c r="B187" t="s">
        <v>1045</v>
      </c>
      <c r="C187">
        <v>92</v>
      </c>
      <c r="D187" t="s">
        <v>1017</v>
      </c>
      <c r="E187" s="1">
        <v>44992</v>
      </c>
      <c r="F187">
        <v>58</v>
      </c>
      <c r="G187">
        <v>3.6</v>
      </c>
      <c r="H187">
        <v>2023</v>
      </c>
      <c r="I187" t="s">
        <v>1033</v>
      </c>
      <c r="J187" t="s">
        <v>1019</v>
      </c>
      <c r="K187">
        <v>4</v>
      </c>
    </row>
    <row r="188" spans="1:11" x14ac:dyDescent="0.3">
      <c r="A188" t="s">
        <v>1232</v>
      </c>
      <c r="B188" t="s">
        <v>1045</v>
      </c>
      <c r="C188">
        <v>41</v>
      </c>
      <c r="D188" t="s">
        <v>1038</v>
      </c>
      <c r="E188" s="1">
        <v>44992</v>
      </c>
      <c r="F188">
        <v>68</v>
      </c>
      <c r="G188">
        <v>4</v>
      </c>
      <c r="H188">
        <v>2023</v>
      </c>
      <c r="I188" t="s">
        <v>1033</v>
      </c>
      <c r="J188" t="s">
        <v>1034</v>
      </c>
      <c r="K188">
        <v>4</v>
      </c>
    </row>
    <row r="189" spans="1:11" x14ac:dyDescent="0.3">
      <c r="A189" t="s">
        <v>1233</v>
      </c>
      <c r="B189" t="s">
        <v>1047</v>
      </c>
      <c r="C189">
        <v>134</v>
      </c>
      <c r="D189" t="s">
        <v>1029</v>
      </c>
      <c r="E189" s="1">
        <v>44992</v>
      </c>
      <c r="F189">
        <v>160</v>
      </c>
      <c r="G189">
        <v>4.5</v>
      </c>
      <c r="H189">
        <v>2023</v>
      </c>
      <c r="I189" t="s">
        <v>1033</v>
      </c>
      <c r="J189" t="s">
        <v>1031</v>
      </c>
      <c r="K189">
        <v>5</v>
      </c>
    </row>
    <row r="190" spans="1:11" x14ac:dyDescent="0.3">
      <c r="A190" t="s">
        <v>1234</v>
      </c>
      <c r="B190" t="s">
        <v>1078</v>
      </c>
      <c r="C190">
        <v>80</v>
      </c>
      <c r="D190" t="s">
        <v>1042</v>
      </c>
      <c r="E190" s="1">
        <v>44992</v>
      </c>
      <c r="F190">
        <v>45</v>
      </c>
      <c r="G190">
        <v>3</v>
      </c>
      <c r="H190">
        <v>2023</v>
      </c>
      <c r="I190" t="s">
        <v>1033</v>
      </c>
      <c r="J190" t="s">
        <v>1019</v>
      </c>
      <c r="K190">
        <v>3</v>
      </c>
    </row>
    <row r="191" spans="1:11" x14ac:dyDescent="0.3">
      <c r="A191" t="s">
        <v>1235</v>
      </c>
      <c r="B191" t="s">
        <v>1098</v>
      </c>
      <c r="C191">
        <v>103</v>
      </c>
      <c r="D191" t="s">
        <v>1024</v>
      </c>
      <c r="E191" s="1">
        <v>44993</v>
      </c>
      <c r="F191">
        <v>117</v>
      </c>
      <c r="G191">
        <v>3</v>
      </c>
      <c r="H191">
        <v>2023</v>
      </c>
      <c r="I191" t="s">
        <v>1048</v>
      </c>
      <c r="J191" t="s">
        <v>1019</v>
      </c>
      <c r="K191">
        <v>3</v>
      </c>
    </row>
    <row r="192" spans="1:11" x14ac:dyDescent="0.3">
      <c r="A192" t="s">
        <v>1236</v>
      </c>
      <c r="B192" t="s">
        <v>1059</v>
      </c>
      <c r="C192">
        <v>20</v>
      </c>
      <c r="D192" t="s">
        <v>1017</v>
      </c>
      <c r="E192" s="1">
        <v>44994</v>
      </c>
      <c r="F192">
        <v>22</v>
      </c>
      <c r="G192">
        <v>1.6</v>
      </c>
      <c r="H192">
        <v>2023</v>
      </c>
      <c r="I192" t="s">
        <v>1052</v>
      </c>
      <c r="J192" t="s">
        <v>1056</v>
      </c>
      <c r="K192">
        <v>2</v>
      </c>
    </row>
    <row r="193" spans="1:11" x14ac:dyDescent="0.3">
      <c r="A193" t="s">
        <v>1237</v>
      </c>
      <c r="B193" t="s">
        <v>1098</v>
      </c>
      <c r="C193">
        <v>75</v>
      </c>
      <c r="D193" t="s">
        <v>1042</v>
      </c>
      <c r="E193" s="1">
        <v>44994</v>
      </c>
      <c r="F193">
        <v>195</v>
      </c>
      <c r="G193">
        <v>3</v>
      </c>
      <c r="H193">
        <v>2023</v>
      </c>
      <c r="I193" t="s">
        <v>1052</v>
      </c>
      <c r="J193" t="s">
        <v>1019</v>
      </c>
      <c r="K193">
        <v>3</v>
      </c>
    </row>
    <row r="194" spans="1:11" x14ac:dyDescent="0.3">
      <c r="A194" t="s">
        <v>1238</v>
      </c>
      <c r="B194" t="s">
        <v>1045</v>
      </c>
      <c r="C194">
        <v>80</v>
      </c>
      <c r="D194" t="s">
        <v>1029</v>
      </c>
      <c r="E194" s="1">
        <v>44994</v>
      </c>
      <c r="F194">
        <v>168</v>
      </c>
      <c r="G194">
        <v>3.7</v>
      </c>
      <c r="H194">
        <v>2023</v>
      </c>
      <c r="I194" t="s">
        <v>1052</v>
      </c>
      <c r="J194" t="s">
        <v>1019</v>
      </c>
      <c r="K194">
        <v>4</v>
      </c>
    </row>
    <row r="195" spans="1:11" x14ac:dyDescent="0.3">
      <c r="A195" t="s">
        <v>1239</v>
      </c>
      <c r="B195" t="s">
        <v>1036</v>
      </c>
      <c r="C195">
        <v>85</v>
      </c>
      <c r="D195" t="s">
        <v>1038</v>
      </c>
      <c r="E195" s="1">
        <v>44995</v>
      </c>
      <c r="F195">
        <v>46</v>
      </c>
      <c r="G195">
        <v>4.9000000000000004</v>
      </c>
      <c r="H195">
        <v>2023</v>
      </c>
      <c r="I195" t="s">
        <v>411</v>
      </c>
      <c r="J195" t="s">
        <v>1019</v>
      </c>
      <c r="K195">
        <v>5</v>
      </c>
    </row>
    <row r="196" spans="1:11" x14ac:dyDescent="0.3">
      <c r="A196" t="s">
        <v>1240</v>
      </c>
      <c r="B196" t="s">
        <v>1021</v>
      </c>
      <c r="C196">
        <v>155</v>
      </c>
      <c r="D196" t="s">
        <v>1017</v>
      </c>
      <c r="E196" s="1">
        <v>44995</v>
      </c>
      <c r="F196">
        <v>164</v>
      </c>
      <c r="G196">
        <v>3.4</v>
      </c>
      <c r="H196">
        <v>2023</v>
      </c>
      <c r="I196" t="s">
        <v>411</v>
      </c>
      <c r="J196" t="s">
        <v>1031</v>
      </c>
      <c r="K196">
        <v>3</v>
      </c>
    </row>
    <row r="197" spans="1:11" x14ac:dyDescent="0.3">
      <c r="A197" t="s">
        <v>1241</v>
      </c>
      <c r="B197" t="s">
        <v>1036</v>
      </c>
      <c r="C197">
        <v>63</v>
      </c>
      <c r="D197" t="s">
        <v>1038</v>
      </c>
      <c r="E197" s="1">
        <v>44995</v>
      </c>
      <c r="F197">
        <v>48</v>
      </c>
      <c r="G197">
        <v>5</v>
      </c>
      <c r="H197">
        <v>2023</v>
      </c>
      <c r="I197" t="s">
        <v>411</v>
      </c>
      <c r="J197" t="s">
        <v>1019</v>
      </c>
      <c r="K197">
        <v>5</v>
      </c>
    </row>
    <row r="198" spans="1:11" x14ac:dyDescent="0.3">
      <c r="A198" t="s">
        <v>1242</v>
      </c>
      <c r="B198" t="s">
        <v>1023</v>
      </c>
      <c r="C198">
        <v>105</v>
      </c>
      <c r="D198" t="s">
        <v>1024</v>
      </c>
      <c r="E198" s="1">
        <v>44995</v>
      </c>
      <c r="F198">
        <v>96</v>
      </c>
      <c r="G198">
        <v>5</v>
      </c>
      <c r="H198">
        <v>2023</v>
      </c>
      <c r="I198" t="s">
        <v>411</v>
      </c>
      <c r="J198" t="s">
        <v>1019</v>
      </c>
      <c r="K198">
        <v>5</v>
      </c>
    </row>
    <row r="199" spans="1:11" x14ac:dyDescent="0.3">
      <c r="A199" t="s">
        <v>1243</v>
      </c>
      <c r="B199" t="s">
        <v>1036</v>
      </c>
      <c r="C199">
        <v>71</v>
      </c>
      <c r="D199" t="s">
        <v>1038</v>
      </c>
      <c r="E199" s="1">
        <v>44995</v>
      </c>
      <c r="F199">
        <v>105</v>
      </c>
      <c r="G199">
        <v>4</v>
      </c>
      <c r="H199">
        <v>2023</v>
      </c>
      <c r="I199" t="s">
        <v>411</v>
      </c>
      <c r="J199" t="s">
        <v>1019</v>
      </c>
      <c r="K199">
        <v>4</v>
      </c>
    </row>
    <row r="200" spans="1:11" x14ac:dyDescent="0.3">
      <c r="A200" t="s">
        <v>1244</v>
      </c>
      <c r="B200" t="s">
        <v>1021</v>
      </c>
      <c r="C200">
        <v>100</v>
      </c>
      <c r="D200" t="s">
        <v>1038</v>
      </c>
      <c r="E200" s="1">
        <v>44996</v>
      </c>
      <c r="F200">
        <v>44</v>
      </c>
      <c r="G200">
        <v>3.6</v>
      </c>
      <c r="H200">
        <v>2023</v>
      </c>
      <c r="I200" t="s">
        <v>1062</v>
      </c>
      <c r="J200" t="s">
        <v>1019</v>
      </c>
      <c r="K200">
        <v>4</v>
      </c>
    </row>
    <row r="201" spans="1:11" x14ac:dyDescent="0.3">
      <c r="A201" t="s">
        <v>1245</v>
      </c>
      <c r="B201" t="s">
        <v>1016</v>
      </c>
      <c r="C201">
        <v>93</v>
      </c>
      <c r="D201" t="s">
        <v>1029</v>
      </c>
      <c r="E201" s="1">
        <v>44996</v>
      </c>
      <c r="F201">
        <v>132</v>
      </c>
      <c r="G201">
        <v>3.7</v>
      </c>
      <c r="H201">
        <v>2023</v>
      </c>
      <c r="I201" t="s">
        <v>1062</v>
      </c>
      <c r="J201" t="s">
        <v>1019</v>
      </c>
      <c r="K201">
        <v>4</v>
      </c>
    </row>
    <row r="202" spans="1:11" x14ac:dyDescent="0.3">
      <c r="A202" t="s">
        <v>1246</v>
      </c>
      <c r="B202" t="s">
        <v>1023</v>
      </c>
      <c r="C202">
        <v>84</v>
      </c>
      <c r="D202" t="s">
        <v>1017</v>
      </c>
      <c r="E202" s="1">
        <v>44996</v>
      </c>
      <c r="F202">
        <v>54</v>
      </c>
      <c r="G202">
        <v>4.2</v>
      </c>
      <c r="H202">
        <v>2023</v>
      </c>
      <c r="I202" t="s">
        <v>1062</v>
      </c>
      <c r="J202" t="s">
        <v>1019</v>
      </c>
      <c r="K202">
        <v>4</v>
      </c>
    </row>
    <row r="203" spans="1:11" x14ac:dyDescent="0.3">
      <c r="A203" t="s">
        <v>1247</v>
      </c>
      <c r="B203" t="s">
        <v>1078</v>
      </c>
      <c r="C203">
        <v>56</v>
      </c>
      <c r="D203" t="s">
        <v>1042</v>
      </c>
      <c r="E203" s="1">
        <v>44996</v>
      </c>
      <c r="F203">
        <v>129</v>
      </c>
      <c r="G203">
        <v>2.1</v>
      </c>
      <c r="H203">
        <v>2023</v>
      </c>
      <c r="I203" t="s">
        <v>1062</v>
      </c>
      <c r="J203" t="s">
        <v>1034</v>
      </c>
      <c r="K203">
        <v>2</v>
      </c>
    </row>
    <row r="204" spans="1:11" x14ac:dyDescent="0.3">
      <c r="A204" t="s">
        <v>1248</v>
      </c>
      <c r="B204" t="s">
        <v>1078</v>
      </c>
      <c r="C204">
        <v>63</v>
      </c>
      <c r="D204" t="s">
        <v>1038</v>
      </c>
      <c r="E204" s="1">
        <v>44996</v>
      </c>
      <c r="F204">
        <v>42</v>
      </c>
      <c r="G204">
        <v>4</v>
      </c>
      <c r="H204">
        <v>2023</v>
      </c>
      <c r="I204" t="s">
        <v>1062</v>
      </c>
      <c r="J204" t="s">
        <v>1019</v>
      </c>
      <c r="K204">
        <v>4</v>
      </c>
    </row>
    <row r="205" spans="1:11" x14ac:dyDescent="0.3">
      <c r="A205" t="s">
        <v>1249</v>
      </c>
      <c r="B205" t="s">
        <v>1055</v>
      </c>
      <c r="C205">
        <v>83</v>
      </c>
      <c r="D205" t="s">
        <v>1038</v>
      </c>
      <c r="E205" s="1">
        <v>44996</v>
      </c>
      <c r="F205">
        <v>42</v>
      </c>
      <c r="G205">
        <v>4.2</v>
      </c>
      <c r="H205">
        <v>2023</v>
      </c>
      <c r="I205" t="s">
        <v>1062</v>
      </c>
      <c r="J205" t="s">
        <v>1019</v>
      </c>
      <c r="K205">
        <v>4</v>
      </c>
    </row>
    <row r="206" spans="1:11" x14ac:dyDescent="0.3">
      <c r="A206" t="s">
        <v>1250</v>
      </c>
      <c r="B206" t="s">
        <v>1045</v>
      </c>
      <c r="C206">
        <v>134</v>
      </c>
      <c r="D206" t="s">
        <v>1017</v>
      </c>
      <c r="E206" s="1">
        <v>44996</v>
      </c>
      <c r="F206">
        <v>180</v>
      </c>
      <c r="G206">
        <v>3.1</v>
      </c>
      <c r="H206">
        <v>2023</v>
      </c>
      <c r="I206" t="s">
        <v>1062</v>
      </c>
      <c r="J206" t="s">
        <v>1031</v>
      </c>
      <c r="K206">
        <v>3</v>
      </c>
    </row>
    <row r="207" spans="1:11" x14ac:dyDescent="0.3">
      <c r="A207" t="s">
        <v>1251</v>
      </c>
      <c r="B207" t="s">
        <v>1028</v>
      </c>
      <c r="C207">
        <v>73</v>
      </c>
      <c r="D207" t="s">
        <v>1038</v>
      </c>
      <c r="E207" s="1">
        <v>44997</v>
      </c>
      <c r="F207">
        <v>34</v>
      </c>
      <c r="G207">
        <v>4.8</v>
      </c>
      <c r="H207">
        <v>2023</v>
      </c>
      <c r="I207" t="s">
        <v>1018</v>
      </c>
      <c r="J207" t="s">
        <v>1019</v>
      </c>
      <c r="K207">
        <v>5</v>
      </c>
    </row>
    <row r="208" spans="1:11" x14ac:dyDescent="0.3">
      <c r="A208" t="s">
        <v>1252</v>
      </c>
      <c r="B208" t="s">
        <v>1098</v>
      </c>
      <c r="C208">
        <v>6</v>
      </c>
      <c r="D208" t="s">
        <v>1042</v>
      </c>
      <c r="E208" s="1">
        <v>44997</v>
      </c>
      <c r="F208">
        <v>29</v>
      </c>
      <c r="G208">
        <v>4.7</v>
      </c>
      <c r="H208">
        <v>2023</v>
      </c>
      <c r="I208" t="s">
        <v>1018</v>
      </c>
      <c r="J208" t="s">
        <v>1186</v>
      </c>
      <c r="K208">
        <v>5</v>
      </c>
    </row>
    <row r="209" spans="1:11" x14ac:dyDescent="0.3">
      <c r="A209" t="s">
        <v>1253</v>
      </c>
      <c r="B209" t="s">
        <v>1068</v>
      </c>
      <c r="C209">
        <v>46</v>
      </c>
      <c r="D209" t="s">
        <v>1024</v>
      </c>
      <c r="E209" s="1">
        <v>44997</v>
      </c>
      <c r="F209">
        <v>165</v>
      </c>
      <c r="G209">
        <v>3.3</v>
      </c>
      <c r="H209">
        <v>2023</v>
      </c>
      <c r="I209" t="s">
        <v>1018</v>
      </c>
      <c r="J209" t="s">
        <v>1034</v>
      </c>
      <c r="K209">
        <v>3</v>
      </c>
    </row>
    <row r="210" spans="1:11" x14ac:dyDescent="0.3">
      <c r="A210" t="s">
        <v>1254</v>
      </c>
      <c r="B210" t="s">
        <v>1098</v>
      </c>
      <c r="C210">
        <v>121</v>
      </c>
      <c r="D210" t="s">
        <v>1038</v>
      </c>
      <c r="E210" s="1">
        <v>44998</v>
      </c>
      <c r="F210">
        <v>32</v>
      </c>
      <c r="G210">
        <v>3.7</v>
      </c>
      <c r="H210">
        <v>2023</v>
      </c>
      <c r="I210" t="s">
        <v>1030</v>
      </c>
      <c r="J210" t="s">
        <v>1031</v>
      </c>
      <c r="K210">
        <v>4</v>
      </c>
    </row>
    <row r="211" spans="1:11" x14ac:dyDescent="0.3">
      <c r="A211" t="s">
        <v>1255</v>
      </c>
      <c r="B211" t="s">
        <v>1078</v>
      </c>
      <c r="C211">
        <v>61</v>
      </c>
      <c r="D211" t="s">
        <v>1029</v>
      </c>
      <c r="E211" s="1">
        <v>44998</v>
      </c>
      <c r="F211">
        <v>160</v>
      </c>
      <c r="G211">
        <v>4.9000000000000004</v>
      </c>
      <c r="H211">
        <v>2023</v>
      </c>
      <c r="I211" t="s">
        <v>1030</v>
      </c>
      <c r="J211" t="s">
        <v>1019</v>
      </c>
      <c r="K211">
        <v>5</v>
      </c>
    </row>
    <row r="212" spans="1:11" x14ac:dyDescent="0.3">
      <c r="A212" t="s">
        <v>1256</v>
      </c>
      <c r="B212" t="s">
        <v>1045</v>
      </c>
      <c r="C212">
        <v>144</v>
      </c>
      <c r="D212" t="s">
        <v>1017</v>
      </c>
      <c r="E212" s="1">
        <v>44998</v>
      </c>
      <c r="F212">
        <v>140</v>
      </c>
      <c r="G212">
        <v>3.5</v>
      </c>
      <c r="H212">
        <v>2023</v>
      </c>
      <c r="I212" t="s">
        <v>1030</v>
      </c>
      <c r="J212" t="s">
        <v>1031</v>
      </c>
      <c r="K212">
        <v>4</v>
      </c>
    </row>
    <row r="213" spans="1:11" x14ac:dyDescent="0.3">
      <c r="A213" t="s">
        <v>1257</v>
      </c>
      <c r="B213" t="s">
        <v>1068</v>
      </c>
      <c r="C213">
        <v>145</v>
      </c>
      <c r="D213" t="s">
        <v>1017</v>
      </c>
      <c r="E213" s="1">
        <v>44998</v>
      </c>
      <c r="F213">
        <v>136</v>
      </c>
      <c r="G213">
        <v>4.4000000000000004</v>
      </c>
      <c r="H213">
        <v>2023</v>
      </c>
      <c r="I213" t="s">
        <v>1030</v>
      </c>
      <c r="J213" t="s">
        <v>1031</v>
      </c>
      <c r="K213">
        <v>4</v>
      </c>
    </row>
    <row r="214" spans="1:11" x14ac:dyDescent="0.3">
      <c r="A214" t="s">
        <v>1258</v>
      </c>
      <c r="B214" t="s">
        <v>1023</v>
      </c>
      <c r="C214">
        <v>85</v>
      </c>
      <c r="D214" t="s">
        <v>1042</v>
      </c>
      <c r="E214" s="1">
        <v>44998</v>
      </c>
      <c r="F214">
        <v>66</v>
      </c>
      <c r="G214">
        <v>2.8</v>
      </c>
      <c r="H214">
        <v>2023</v>
      </c>
      <c r="I214" t="s">
        <v>1030</v>
      </c>
      <c r="J214" t="s">
        <v>1019</v>
      </c>
      <c r="K214">
        <v>3</v>
      </c>
    </row>
    <row r="215" spans="1:11" x14ac:dyDescent="0.3">
      <c r="A215" t="s">
        <v>1259</v>
      </c>
      <c r="B215" t="s">
        <v>1068</v>
      </c>
      <c r="C215">
        <v>13</v>
      </c>
      <c r="D215" t="s">
        <v>1029</v>
      </c>
      <c r="E215" s="1">
        <v>44999</v>
      </c>
      <c r="F215">
        <v>63</v>
      </c>
      <c r="G215">
        <v>4.0999999999999996</v>
      </c>
      <c r="H215">
        <v>2023</v>
      </c>
      <c r="I215" t="s">
        <v>1033</v>
      </c>
      <c r="J215" t="s">
        <v>1056</v>
      </c>
      <c r="K215">
        <v>4</v>
      </c>
    </row>
    <row r="216" spans="1:11" x14ac:dyDescent="0.3">
      <c r="A216" t="s">
        <v>1260</v>
      </c>
      <c r="B216" t="s">
        <v>1016</v>
      </c>
      <c r="C216">
        <v>142</v>
      </c>
      <c r="D216" t="s">
        <v>1038</v>
      </c>
      <c r="E216" s="1">
        <v>44999</v>
      </c>
      <c r="F216">
        <v>44</v>
      </c>
      <c r="G216">
        <v>3.5</v>
      </c>
      <c r="H216">
        <v>2023</v>
      </c>
      <c r="I216" t="s">
        <v>1033</v>
      </c>
      <c r="J216" t="s">
        <v>1031</v>
      </c>
      <c r="K216">
        <v>4</v>
      </c>
    </row>
    <row r="217" spans="1:11" x14ac:dyDescent="0.3">
      <c r="A217" t="s">
        <v>1261</v>
      </c>
      <c r="B217" t="s">
        <v>1045</v>
      </c>
      <c r="C217">
        <v>28</v>
      </c>
      <c r="D217" t="s">
        <v>1024</v>
      </c>
      <c r="E217" s="1">
        <v>44999</v>
      </c>
      <c r="F217">
        <v>78</v>
      </c>
      <c r="G217">
        <v>3.8</v>
      </c>
      <c r="H217">
        <v>2023</v>
      </c>
      <c r="I217" t="s">
        <v>1033</v>
      </c>
      <c r="J217" t="s">
        <v>1056</v>
      </c>
      <c r="K217">
        <v>4</v>
      </c>
    </row>
    <row r="218" spans="1:11" x14ac:dyDescent="0.3">
      <c r="A218" t="s">
        <v>1262</v>
      </c>
      <c r="B218" t="s">
        <v>1045</v>
      </c>
      <c r="C218">
        <v>119</v>
      </c>
      <c r="D218" t="s">
        <v>1038</v>
      </c>
      <c r="E218" s="1">
        <v>44999</v>
      </c>
      <c r="F218">
        <v>20</v>
      </c>
      <c r="G218">
        <v>3.9</v>
      </c>
      <c r="H218">
        <v>2023</v>
      </c>
      <c r="I218" t="s">
        <v>1033</v>
      </c>
      <c r="J218" t="s">
        <v>1019</v>
      </c>
      <c r="K218">
        <v>4</v>
      </c>
    </row>
    <row r="219" spans="1:11" x14ac:dyDescent="0.3">
      <c r="A219" t="s">
        <v>1263</v>
      </c>
      <c r="B219" t="s">
        <v>1098</v>
      </c>
      <c r="C219">
        <v>65</v>
      </c>
      <c r="D219" t="s">
        <v>1042</v>
      </c>
      <c r="E219" s="1">
        <v>44999</v>
      </c>
      <c r="F219">
        <v>84</v>
      </c>
      <c r="G219">
        <v>2.5</v>
      </c>
      <c r="H219">
        <v>2023</v>
      </c>
      <c r="I219" t="s">
        <v>1033</v>
      </c>
      <c r="J219" t="s">
        <v>1019</v>
      </c>
      <c r="K219">
        <v>3</v>
      </c>
    </row>
    <row r="220" spans="1:11" x14ac:dyDescent="0.3">
      <c r="A220" t="s">
        <v>1264</v>
      </c>
      <c r="B220" t="s">
        <v>1047</v>
      </c>
      <c r="C220">
        <v>68</v>
      </c>
      <c r="D220" t="s">
        <v>1042</v>
      </c>
      <c r="E220" s="1">
        <v>44999</v>
      </c>
      <c r="F220">
        <v>32</v>
      </c>
      <c r="G220">
        <v>4.9000000000000004</v>
      </c>
      <c r="H220">
        <v>2023</v>
      </c>
      <c r="I220" t="s">
        <v>1033</v>
      </c>
      <c r="J220" t="s">
        <v>1019</v>
      </c>
      <c r="K220">
        <v>5</v>
      </c>
    </row>
    <row r="221" spans="1:11" x14ac:dyDescent="0.3">
      <c r="A221" t="s">
        <v>1265</v>
      </c>
      <c r="B221" t="s">
        <v>1055</v>
      </c>
      <c r="C221">
        <v>72</v>
      </c>
      <c r="D221" t="s">
        <v>1024</v>
      </c>
      <c r="E221" s="1">
        <v>44999</v>
      </c>
      <c r="F221">
        <v>132</v>
      </c>
      <c r="G221">
        <v>3.4</v>
      </c>
      <c r="H221">
        <v>2023</v>
      </c>
      <c r="I221" t="s">
        <v>1033</v>
      </c>
      <c r="J221" t="s">
        <v>1019</v>
      </c>
      <c r="K221">
        <v>3</v>
      </c>
    </row>
    <row r="222" spans="1:11" x14ac:dyDescent="0.3">
      <c r="A222" t="s">
        <v>1266</v>
      </c>
      <c r="B222" t="s">
        <v>1055</v>
      </c>
      <c r="C222">
        <v>63</v>
      </c>
      <c r="D222" t="s">
        <v>1017</v>
      </c>
      <c r="E222" s="1">
        <v>44999</v>
      </c>
      <c r="F222">
        <v>105</v>
      </c>
      <c r="G222">
        <v>3.3</v>
      </c>
      <c r="H222">
        <v>2023</v>
      </c>
      <c r="I222" t="s">
        <v>1033</v>
      </c>
      <c r="J222" t="s">
        <v>1019</v>
      </c>
      <c r="K222">
        <v>3</v>
      </c>
    </row>
    <row r="223" spans="1:11" x14ac:dyDescent="0.3">
      <c r="A223" t="s">
        <v>1267</v>
      </c>
      <c r="B223" t="s">
        <v>1021</v>
      </c>
      <c r="C223">
        <v>139</v>
      </c>
      <c r="D223" t="s">
        <v>1038</v>
      </c>
      <c r="E223" s="1">
        <v>45000</v>
      </c>
      <c r="F223">
        <v>48</v>
      </c>
      <c r="G223">
        <v>4.7</v>
      </c>
      <c r="H223">
        <v>2023</v>
      </c>
      <c r="I223" t="s">
        <v>1048</v>
      </c>
      <c r="J223" t="s">
        <v>1031</v>
      </c>
      <c r="K223">
        <v>5</v>
      </c>
    </row>
    <row r="224" spans="1:11" x14ac:dyDescent="0.3">
      <c r="A224" t="s">
        <v>1268</v>
      </c>
      <c r="B224" t="s">
        <v>1045</v>
      </c>
      <c r="C224">
        <v>59</v>
      </c>
      <c r="D224" t="s">
        <v>1038</v>
      </c>
      <c r="E224" s="1">
        <v>45000</v>
      </c>
      <c r="F224">
        <v>64</v>
      </c>
      <c r="G224">
        <v>4</v>
      </c>
      <c r="H224">
        <v>2023</v>
      </c>
      <c r="I224" t="s">
        <v>1048</v>
      </c>
      <c r="J224" t="s">
        <v>1034</v>
      </c>
      <c r="K224">
        <v>4</v>
      </c>
    </row>
    <row r="225" spans="1:11" x14ac:dyDescent="0.3">
      <c r="A225" t="s">
        <v>1269</v>
      </c>
      <c r="B225" t="s">
        <v>1059</v>
      </c>
      <c r="C225">
        <v>138</v>
      </c>
      <c r="D225" t="s">
        <v>1017</v>
      </c>
      <c r="E225" s="1">
        <v>45000</v>
      </c>
      <c r="F225">
        <v>44</v>
      </c>
      <c r="G225">
        <v>3.8</v>
      </c>
      <c r="H225">
        <v>2023</v>
      </c>
      <c r="I225" t="s">
        <v>1048</v>
      </c>
      <c r="J225" t="s">
        <v>1031</v>
      </c>
      <c r="K225">
        <v>4</v>
      </c>
    </row>
    <row r="226" spans="1:11" x14ac:dyDescent="0.3">
      <c r="A226" t="s">
        <v>1270</v>
      </c>
      <c r="B226" t="s">
        <v>1021</v>
      </c>
      <c r="C226">
        <v>47</v>
      </c>
      <c r="D226" t="s">
        <v>1024</v>
      </c>
      <c r="E226" s="1">
        <v>45000</v>
      </c>
      <c r="F226">
        <v>120</v>
      </c>
      <c r="G226">
        <v>3.1</v>
      </c>
      <c r="H226">
        <v>2023</v>
      </c>
      <c r="I226" t="s">
        <v>1048</v>
      </c>
      <c r="J226" t="s">
        <v>1034</v>
      </c>
      <c r="K226">
        <v>3</v>
      </c>
    </row>
    <row r="227" spans="1:11" x14ac:dyDescent="0.3">
      <c r="A227" t="s">
        <v>1271</v>
      </c>
      <c r="B227" t="s">
        <v>1059</v>
      </c>
      <c r="C227">
        <v>74</v>
      </c>
      <c r="D227" t="s">
        <v>1024</v>
      </c>
      <c r="E227" s="1">
        <v>45000</v>
      </c>
      <c r="F227">
        <v>144</v>
      </c>
      <c r="G227">
        <v>4.8</v>
      </c>
      <c r="H227">
        <v>2023</v>
      </c>
      <c r="I227" t="s">
        <v>1048</v>
      </c>
      <c r="J227" t="s">
        <v>1019</v>
      </c>
      <c r="K227">
        <v>5</v>
      </c>
    </row>
    <row r="228" spans="1:11" x14ac:dyDescent="0.3">
      <c r="A228" t="s">
        <v>1272</v>
      </c>
      <c r="B228" t="s">
        <v>1055</v>
      </c>
      <c r="C228">
        <v>65</v>
      </c>
      <c r="D228" t="s">
        <v>1024</v>
      </c>
      <c r="E228" s="1">
        <v>45000</v>
      </c>
      <c r="F228">
        <v>87</v>
      </c>
      <c r="G228">
        <v>2.7</v>
      </c>
      <c r="H228">
        <v>2023</v>
      </c>
      <c r="I228" t="s">
        <v>1048</v>
      </c>
      <c r="J228" t="s">
        <v>1019</v>
      </c>
      <c r="K228">
        <v>3</v>
      </c>
    </row>
    <row r="229" spans="1:11" x14ac:dyDescent="0.3">
      <c r="A229" t="s">
        <v>1273</v>
      </c>
      <c r="B229" t="s">
        <v>1028</v>
      </c>
      <c r="C229">
        <v>123</v>
      </c>
      <c r="D229" t="s">
        <v>1042</v>
      </c>
      <c r="E229" s="1">
        <v>45000</v>
      </c>
      <c r="F229">
        <v>36</v>
      </c>
      <c r="G229">
        <v>3.6</v>
      </c>
      <c r="H229">
        <v>2023</v>
      </c>
      <c r="I229" t="s">
        <v>1048</v>
      </c>
      <c r="J229" t="s">
        <v>1031</v>
      </c>
      <c r="K229">
        <v>4</v>
      </c>
    </row>
    <row r="230" spans="1:11" x14ac:dyDescent="0.3">
      <c r="A230" t="s">
        <v>1274</v>
      </c>
      <c r="B230" t="s">
        <v>1055</v>
      </c>
      <c r="C230">
        <v>90</v>
      </c>
      <c r="D230" t="s">
        <v>1038</v>
      </c>
      <c r="E230" s="1">
        <v>45001</v>
      </c>
      <c r="F230">
        <v>72</v>
      </c>
      <c r="G230">
        <v>4.7</v>
      </c>
      <c r="H230">
        <v>2023</v>
      </c>
      <c r="I230" t="s">
        <v>1052</v>
      </c>
      <c r="J230" t="s">
        <v>1019</v>
      </c>
      <c r="K230">
        <v>5</v>
      </c>
    </row>
    <row r="231" spans="1:11" x14ac:dyDescent="0.3">
      <c r="A231" t="s">
        <v>1275</v>
      </c>
      <c r="B231" t="s">
        <v>1078</v>
      </c>
      <c r="C231">
        <v>127</v>
      </c>
      <c r="D231" t="s">
        <v>1017</v>
      </c>
      <c r="E231" s="1">
        <v>45001</v>
      </c>
      <c r="F231">
        <v>150</v>
      </c>
      <c r="G231">
        <v>4.4000000000000004</v>
      </c>
      <c r="H231">
        <v>2023</v>
      </c>
      <c r="I231" t="s">
        <v>1052</v>
      </c>
      <c r="J231" t="s">
        <v>1031</v>
      </c>
      <c r="K231">
        <v>4</v>
      </c>
    </row>
    <row r="232" spans="1:11" x14ac:dyDescent="0.3">
      <c r="A232" t="s">
        <v>1276</v>
      </c>
      <c r="B232" t="s">
        <v>1026</v>
      </c>
      <c r="C232">
        <v>60</v>
      </c>
      <c r="D232" t="s">
        <v>1024</v>
      </c>
      <c r="E232" s="1">
        <v>45001</v>
      </c>
      <c r="F232">
        <v>68</v>
      </c>
      <c r="G232">
        <v>4.3</v>
      </c>
      <c r="H232">
        <v>2023</v>
      </c>
      <c r="I232" t="s">
        <v>1052</v>
      </c>
      <c r="J232" t="s">
        <v>1034</v>
      </c>
      <c r="K232">
        <v>4</v>
      </c>
    </row>
    <row r="233" spans="1:11" x14ac:dyDescent="0.3">
      <c r="A233" t="s">
        <v>1277</v>
      </c>
      <c r="B233" t="s">
        <v>1021</v>
      </c>
      <c r="C233">
        <v>94</v>
      </c>
      <c r="D233" t="s">
        <v>1017</v>
      </c>
      <c r="E233" s="1">
        <v>45001</v>
      </c>
      <c r="F233">
        <v>99</v>
      </c>
      <c r="G233">
        <v>4.9000000000000004</v>
      </c>
      <c r="H233">
        <v>2023</v>
      </c>
      <c r="I233" t="s">
        <v>1052</v>
      </c>
      <c r="J233" t="s">
        <v>1019</v>
      </c>
      <c r="K233">
        <v>5</v>
      </c>
    </row>
    <row r="234" spans="1:11" x14ac:dyDescent="0.3">
      <c r="A234" t="s">
        <v>1278</v>
      </c>
      <c r="B234" t="s">
        <v>1028</v>
      </c>
      <c r="C234">
        <v>54</v>
      </c>
      <c r="D234" t="s">
        <v>1024</v>
      </c>
      <c r="E234" s="1">
        <v>45001</v>
      </c>
      <c r="F234">
        <v>26</v>
      </c>
      <c r="G234">
        <v>4.8</v>
      </c>
      <c r="H234">
        <v>2023</v>
      </c>
      <c r="I234" t="s">
        <v>1052</v>
      </c>
      <c r="J234" t="s">
        <v>1034</v>
      </c>
      <c r="K234">
        <v>5</v>
      </c>
    </row>
    <row r="235" spans="1:11" x14ac:dyDescent="0.3">
      <c r="A235" t="s">
        <v>1279</v>
      </c>
      <c r="B235" t="s">
        <v>1055</v>
      </c>
      <c r="C235">
        <v>104</v>
      </c>
      <c r="D235" t="s">
        <v>1024</v>
      </c>
      <c r="E235" s="1">
        <v>45001</v>
      </c>
      <c r="F235">
        <v>88</v>
      </c>
      <c r="G235">
        <v>3.2</v>
      </c>
      <c r="H235">
        <v>2023</v>
      </c>
      <c r="I235" t="s">
        <v>1052</v>
      </c>
      <c r="J235" t="s">
        <v>1019</v>
      </c>
      <c r="K235">
        <v>3</v>
      </c>
    </row>
    <row r="236" spans="1:11" x14ac:dyDescent="0.3">
      <c r="A236" t="s">
        <v>1280</v>
      </c>
      <c r="B236" t="s">
        <v>1036</v>
      </c>
      <c r="C236">
        <v>100</v>
      </c>
      <c r="D236" t="s">
        <v>1024</v>
      </c>
      <c r="E236" s="1">
        <v>45001</v>
      </c>
      <c r="F236">
        <v>124</v>
      </c>
      <c r="G236">
        <v>3.4</v>
      </c>
      <c r="H236">
        <v>2023</v>
      </c>
      <c r="I236" t="s">
        <v>1052</v>
      </c>
      <c r="J236" t="s">
        <v>1019</v>
      </c>
      <c r="K236">
        <v>3</v>
      </c>
    </row>
    <row r="237" spans="1:11" x14ac:dyDescent="0.3">
      <c r="A237" t="s">
        <v>1281</v>
      </c>
      <c r="B237" t="s">
        <v>1059</v>
      </c>
      <c r="C237">
        <v>84</v>
      </c>
      <c r="D237" t="s">
        <v>1024</v>
      </c>
      <c r="E237" s="1">
        <v>45001</v>
      </c>
      <c r="F237">
        <v>72</v>
      </c>
      <c r="G237">
        <v>3.5</v>
      </c>
      <c r="H237">
        <v>2023</v>
      </c>
      <c r="I237" t="s">
        <v>1052</v>
      </c>
      <c r="J237" t="s">
        <v>1019</v>
      </c>
      <c r="K237">
        <v>4</v>
      </c>
    </row>
    <row r="238" spans="1:11" x14ac:dyDescent="0.3">
      <c r="A238" t="s">
        <v>1282</v>
      </c>
      <c r="B238" t="s">
        <v>1016</v>
      </c>
      <c r="C238">
        <v>92</v>
      </c>
      <c r="D238" t="s">
        <v>1029</v>
      </c>
      <c r="E238" s="1">
        <v>45002</v>
      </c>
      <c r="F238">
        <v>125</v>
      </c>
      <c r="G238">
        <v>4.9000000000000004</v>
      </c>
      <c r="H238">
        <v>2023</v>
      </c>
      <c r="I238" t="s">
        <v>411</v>
      </c>
      <c r="J238" t="s">
        <v>1019</v>
      </c>
      <c r="K238">
        <v>5</v>
      </c>
    </row>
    <row r="239" spans="1:11" x14ac:dyDescent="0.3">
      <c r="A239" t="s">
        <v>1283</v>
      </c>
      <c r="B239" t="s">
        <v>1041</v>
      </c>
      <c r="C239">
        <v>64</v>
      </c>
      <c r="D239" t="s">
        <v>1017</v>
      </c>
      <c r="E239" s="1">
        <v>45002</v>
      </c>
      <c r="F239">
        <v>22</v>
      </c>
      <c r="G239">
        <v>4.0999999999999996</v>
      </c>
      <c r="H239">
        <v>2023</v>
      </c>
      <c r="I239" t="s">
        <v>411</v>
      </c>
      <c r="J239" t="s">
        <v>1019</v>
      </c>
      <c r="K239">
        <v>4</v>
      </c>
    </row>
    <row r="240" spans="1:11" x14ac:dyDescent="0.3">
      <c r="A240" t="s">
        <v>1284</v>
      </c>
      <c r="B240" t="s">
        <v>1023</v>
      </c>
      <c r="C240">
        <v>89</v>
      </c>
      <c r="D240" t="s">
        <v>1038</v>
      </c>
      <c r="E240" s="1">
        <v>45003</v>
      </c>
      <c r="F240">
        <v>70</v>
      </c>
      <c r="G240">
        <v>4.9000000000000004</v>
      </c>
      <c r="H240">
        <v>2023</v>
      </c>
      <c r="I240" t="s">
        <v>1062</v>
      </c>
      <c r="J240" t="s">
        <v>1019</v>
      </c>
      <c r="K240">
        <v>5</v>
      </c>
    </row>
    <row r="241" spans="1:11" x14ac:dyDescent="0.3">
      <c r="A241" t="s">
        <v>1285</v>
      </c>
      <c r="B241" t="s">
        <v>1065</v>
      </c>
      <c r="C241">
        <v>40</v>
      </c>
      <c r="D241" t="s">
        <v>1024</v>
      </c>
      <c r="E241" s="1">
        <v>45003</v>
      </c>
      <c r="F241">
        <v>24</v>
      </c>
      <c r="G241">
        <v>4.3</v>
      </c>
      <c r="H241">
        <v>2023</v>
      </c>
      <c r="I241" t="s">
        <v>1062</v>
      </c>
      <c r="J241" t="s">
        <v>1034</v>
      </c>
      <c r="K241">
        <v>4</v>
      </c>
    </row>
    <row r="242" spans="1:11" x14ac:dyDescent="0.3">
      <c r="A242" t="s">
        <v>1286</v>
      </c>
      <c r="B242" t="s">
        <v>1045</v>
      </c>
      <c r="C242">
        <v>75</v>
      </c>
      <c r="D242" t="s">
        <v>1042</v>
      </c>
      <c r="E242" s="1">
        <v>45003</v>
      </c>
      <c r="F242">
        <v>32</v>
      </c>
      <c r="G242">
        <v>4.0999999999999996</v>
      </c>
      <c r="H242">
        <v>2023</v>
      </c>
      <c r="I242" t="s">
        <v>1062</v>
      </c>
      <c r="J242" t="s">
        <v>1019</v>
      </c>
      <c r="K242">
        <v>4</v>
      </c>
    </row>
    <row r="243" spans="1:11" x14ac:dyDescent="0.3">
      <c r="A243" t="s">
        <v>1287</v>
      </c>
      <c r="B243" t="s">
        <v>1078</v>
      </c>
      <c r="C243">
        <v>106</v>
      </c>
      <c r="D243" t="s">
        <v>1029</v>
      </c>
      <c r="E243" s="1">
        <v>45003</v>
      </c>
      <c r="F243">
        <v>112</v>
      </c>
      <c r="G243">
        <v>4.4000000000000004</v>
      </c>
      <c r="H243">
        <v>2023</v>
      </c>
      <c r="I243" t="s">
        <v>1062</v>
      </c>
      <c r="J243" t="s">
        <v>1019</v>
      </c>
      <c r="K243">
        <v>4</v>
      </c>
    </row>
    <row r="244" spans="1:11" x14ac:dyDescent="0.3">
      <c r="A244" t="s">
        <v>1288</v>
      </c>
      <c r="B244" t="s">
        <v>1041</v>
      </c>
      <c r="C244">
        <v>58</v>
      </c>
      <c r="D244" t="s">
        <v>1024</v>
      </c>
      <c r="E244" s="1">
        <v>45004</v>
      </c>
      <c r="F244">
        <v>43</v>
      </c>
      <c r="G244">
        <v>4.5</v>
      </c>
      <c r="H244">
        <v>2023</v>
      </c>
      <c r="I244" t="s">
        <v>1018</v>
      </c>
      <c r="J244" t="s">
        <v>1034</v>
      </c>
      <c r="K244">
        <v>5</v>
      </c>
    </row>
    <row r="245" spans="1:11" x14ac:dyDescent="0.3">
      <c r="A245" t="s">
        <v>1289</v>
      </c>
      <c r="B245" t="s">
        <v>1059</v>
      </c>
      <c r="C245">
        <v>84</v>
      </c>
      <c r="D245" t="s">
        <v>1029</v>
      </c>
      <c r="E245" s="1">
        <v>45004</v>
      </c>
      <c r="F245">
        <v>22</v>
      </c>
      <c r="G245">
        <v>3.5</v>
      </c>
      <c r="H245">
        <v>2023</v>
      </c>
      <c r="I245" t="s">
        <v>1018</v>
      </c>
      <c r="J245" t="s">
        <v>1019</v>
      </c>
      <c r="K245">
        <v>4</v>
      </c>
    </row>
    <row r="246" spans="1:11" x14ac:dyDescent="0.3">
      <c r="A246" t="s">
        <v>1290</v>
      </c>
      <c r="B246" t="s">
        <v>1055</v>
      </c>
      <c r="C246">
        <v>140</v>
      </c>
      <c r="D246" t="s">
        <v>1029</v>
      </c>
      <c r="E246" s="1">
        <v>45004</v>
      </c>
      <c r="F246">
        <v>93</v>
      </c>
      <c r="G246">
        <v>4.4000000000000004</v>
      </c>
      <c r="H246">
        <v>2023</v>
      </c>
      <c r="I246" t="s">
        <v>1018</v>
      </c>
      <c r="J246" t="s">
        <v>1031</v>
      </c>
      <c r="K246">
        <v>4</v>
      </c>
    </row>
    <row r="247" spans="1:11" x14ac:dyDescent="0.3">
      <c r="A247" t="s">
        <v>1291</v>
      </c>
      <c r="B247" t="s">
        <v>1041</v>
      </c>
      <c r="C247">
        <v>67</v>
      </c>
      <c r="D247" t="s">
        <v>1029</v>
      </c>
      <c r="E247" s="1">
        <v>45004</v>
      </c>
      <c r="F247">
        <v>45</v>
      </c>
      <c r="G247">
        <v>3.5</v>
      </c>
      <c r="H247">
        <v>2023</v>
      </c>
      <c r="I247" t="s">
        <v>1018</v>
      </c>
      <c r="J247" t="s">
        <v>1019</v>
      </c>
      <c r="K247">
        <v>4</v>
      </c>
    </row>
    <row r="248" spans="1:11" x14ac:dyDescent="0.3">
      <c r="A248" t="s">
        <v>1292</v>
      </c>
      <c r="B248" t="s">
        <v>1021</v>
      </c>
      <c r="C248">
        <v>126</v>
      </c>
      <c r="D248" t="s">
        <v>1029</v>
      </c>
      <c r="E248" s="1">
        <v>45005</v>
      </c>
      <c r="F248">
        <v>96</v>
      </c>
      <c r="G248">
        <v>3.8</v>
      </c>
      <c r="H248">
        <v>2023</v>
      </c>
      <c r="I248" t="s">
        <v>1030</v>
      </c>
      <c r="J248" t="s">
        <v>1031</v>
      </c>
      <c r="K248">
        <v>4</v>
      </c>
    </row>
    <row r="249" spans="1:11" x14ac:dyDescent="0.3">
      <c r="A249" t="s">
        <v>1293</v>
      </c>
      <c r="B249" t="s">
        <v>1021</v>
      </c>
      <c r="C249">
        <v>89</v>
      </c>
      <c r="D249" t="s">
        <v>1024</v>
      </c>
      <c r="E249" s="1">
        <v>45005</v>
      </c>
      <c r="F249">
        <v>96</v>
      </c>
      <c r="G249">
        <v>3.3</v>
      </c>
      <c r="H249">
        <v>2023</v>
      </c>
      <c r="I249" t="s">
        <v>1030</v>
      </c>
      <c r="J249" t="s">
        <v>1019</v>
      </c>
      <c r="K249">
        <v>3</v>
      </c>
    </row>
    <row r="250" spans="1:11" x14ac:dyDescent="0.3">
      <c r="A250" t="s">
        <v>1294</v>
      </c>
      <c r="B250" t="s">
        <v>1023</v>
      </c>
      <c r="C250">
        <v>56</v>
      </c>
      <c r="D250" t="s">
        <v>1017</v>
      </c>
      <c r="E250" s="1">
        <v>45005</v>
      </c>
      <c r="F250">
        <v>31</v>
      </c>
      <c r="G250">
        <v>4.4000000000000004</v>
      </c>
      <c r="H250">
        <v>2023</v>
      </c>
      <c r="I250" t="s">
        <v>1030</v>
      </c>
      <c r="J250" t="s">
        <v>1034</v>
      </c>
      <c r="K250">
        <v>4</v>
      </c>
    </row>
    <row r="251" spans="1:11" x14ac:dyDescent="0.3">
      <c r="A251" t="s">
        <v>1295</v>
      </c>
      <c r="B251" t="s">
        <v>1028</v>
      </c>
      <c r="C251">
        <v>48</v>
      </c>
      <c r="D251" t="s">
        <v>1024</v>
      </c>
      <c r="E251" s="1">
        <v>45005</v>
      </c>
      <c r="F251">
        <v>200</v>
      </c>
      <c r="G251">
        <v>3.9</v>
      </c>
      <c r="H251">
        <v>2023</v>
      </c>
      <c r="I251" t="s">
        <v>1030</v>
      </c>
      <c r="J251" t="s">
        <v>1034</v>
      </c>
      <c r="K251">
        <v>4</v>
      </c>
    </row>
    <row r="252" spans="1:11" x14ac:dyDescent="0.3">
      <c r="A252" t="s">
        <v>1296</v>
      </c>
      <c r="B252" t="s">
        <v>1021</v>
      </c>
      <c r="C252">
        <v>55</v>
      </c>
      <c r="D252" t="s">
        <v>1017</v>
      </c>
      <c r="E252" s="1">
        <v>45005</v>
      </c>
      <c r="F252">
        <v>99</v>
      </c>
      <c r="G252">
        <v>2.7</v>
      </c>
      <c r="H252">
        <v>2023</v>
      </c>
      <c r="I252" t="s">
        <v>1030</v>
      </c>
      <c r="J252" t="s">
        <v>1034</v>
      </c>
      <c r="K252">
        <v>3</v>
      </c>
    </row>
    <row r="253" spans="1:11" x14ac:dyDescent="0.3">
      <c r="A253" t="s">
        <v>1297</v>
      </c>
      <c r="B253" t="s">
        <v>1026</v>
      </c>
      <c r="C253">
        <v>88</v>
      </c>
      <c r="D253" t="s">
        <v>1042</v>
      </c>
      <c r="E253" s="1">
        <v>45005</v>
      </c>
      <c r="F253">
        <v>144</v>
      </c>
      <c r="G253">
        <v>2.9</v>
      </c>
      <c r="H253">
        <v>2023</v>
      </c>
      <c r="I253" t="s">
        <v>1030</v>
      </c>
      <c r="J253" t="s">
        <v>1019</v>
      </c>
      <c r="K253">
        <v>3</v>
      </c>
    </row>
    <row r="254" spans="1:11" x14ac:dyDescent="0.3">
      <c r="A254" t="s">
        <v>1298</v>
      </c>
      <c r="B254" t="s">
        <v>1023</v>
      </c>
      <c r="C254">
        <v>102</v>
      </c>
      <c r="D254" t="s">
        <v>1029</v>
      </c>
      <c r="E254" s="1">
        <v>45006</v>
      </c>
      <c r="F254">
        <v>81</v>
      </c>
      <c r="G254">
        <v>4</v>
      </c>
      <c r="H254">
        <v>2023</v>
      </c>
      <c r="I254" t="s">
        <v>1033</v>
      </c>
      <c r="J254" t="s">
        <v>1019</v>
      </c>
      <c r="K254">
        <v>4</v>
      </c>
    </row>
    <row r="255" spans="1:11" x14ac:dyDescent="0.3">
      <c r="A255" t="s">
        <v>1299</v>
      </c>
      <c r="B255" t="s">
        <v>1026</v>
      </c>
      <c r="C255">
        <v>155</v>
      </c>
      <c r="D255" t="s">
        <v>1042</v>
      </c>
      <c r="E255" s="1">
        <v>45006</v>
      </c>
      <c r="F255">
        <v>70</v>
      </c>
      <c r="G255">
        <v>4.4000000000000004</v>
      </c>
      <c r="H255">
        <v>2023</v>
      </c>
      <c r="I255" t="s">
        <v>1033</v>
      </c>
      <c r="J255" t="s">
        <v>1031</v>
      </c>
      <c r="K255">
        <v>4</v>
      </c>
    </row>
    <row r="256" spans="1:11" x14ac:dyDescent="0.3">
      <c r="A256" t="s">
        <v>1300</v>
      </c>
      <c r="B256" t="s">
        <v>1021</v>
      </c>
      <c r="C256">
        <v>63</v>
      </c>
      <c r="D256" t="s">
        <v>1042</v>
      </c>
      <c r="E256" s="1">
        <v>45006</v>
      </c>
      <c r="F256">
        <v>148</v>
      </c>
      <c r="G256">
        <v>5</v>
      </c>
      <c r="H256">
        <v>2023</v>
      </c>
      <c r="I256" t="s">
        <v>1033</v>
      </c>
      <c r="J256" t="s">
        <v>1019</v>
      </c>
      <c r="K256">
        <v>5</v>
      </c>
    </row>
    <row r="257" spans="1:11" x14ac:dyDescent="0.3">
      <c r="A257" t="s">
        <v>1301</v>
      </c>
      <c r="B257" t="s">
        <v>1036</v>
      </c>
      <c r="C257">
        <v>59</v>
      </c>
      <c r="D257" t="s">
        <v>1029</v>
      </c>
      <c r="E257" s="1">
        <v>45006</v>
      </c>
      <c r="F257">
        <v>215</v>
      </c>
      <c r="G257">
        <v>4.0999999999999996</v>
      </c>
      <c r="H257">
        <v>2023</v>
      </c>
      <c r="I257" t="s">
        <v>1033</v>
      </c>
      <c r="J257" t="s">
        <v>1034</v>
      </c>
      <c r="K257">
        <v>4</v>
      </c>
    </row>
    <row r="258" spans="1:11" x14ac:dyDescent="0.3">
      <c r="A258" t="s">
        <v>1302</v>
      </c>
      <c r="B258" t="s">
        <v>1036</v>
      </c>
      <c r="C258">
        <v>144</v>
      </c>
      <c r="D258" t="s">
        <v>1024</v>
      </c>
      <c r="E258" s="1">
        <v>45006</v>
      </c>
      <c r="F258">
        <v>124</v>
      </c>
      <c r="G258">
        <v>4.4000000000000004</v>
      </c>
      <c r="H258">
        <v>2023</v>
      </c>
      <c r="I258" t="s">
        <v>1033</v>
      </c>
      <c r="J258" t="s">
        <v>1031</v>
      </c>
      <c r="K258">
        <v>4</v>
      </c>
    </row>
    <row r="259" spans="1:11" x14ac:dyDescent="0.3">
      <c r="A259" t="s">
        <v>1303</v>
      </c>
      <c r="B259" t="s">
        <v>1059</v>
      </c>
      <c r="C259">
        <v>113</v>
      </c>
      <c r="D259" t="s">
        <v>1038</v>
      </c>
      <c r="E259" s="1">
        <v>45006</v>
      </c>
      <c r="F259">
        <v>168</v>
      </c>
      <c r="G259">
        <v>4.0999999999999996</v>
      </c>
      <c r="H259">
        <v>2023</v>
      </c>
      <c r="I259" t="s">
        <v>1033</v>
      </c>
      <c r="J259" t="s">
        <v>1019</v>
      </c>
      <c r="K259">
        <v>4</v>
      </c>
    </row>
    <row r="260" spans="1:11" x14ac:dyDescent="0.3">
      <c r="A260" t="s">
        <v>1304</v>
      </c>
      <c r="B260" t="s">
        <v>1068</v>
      </c>
      <c r="C260">
        <v>154</v>
      </c>
      <c r="D260" t="s">
        <v>1017</v>
      </c>
      <c r="E260" s="1">
        <v>45006</v>
      </c>
      <c r="F260">
        <v>90</v>
      </c>
      <c r="G260">
        <v>4.5</v>
      </c>
      <c r="H260">
        <v>2023</v>
      </c>
      <c r="I260" t="s">
        <v>1033</v>
      </c>
      <c r="J260" t="s">
        <v>1031</v>
      </c>
      <c r="K260">
        <v>5</v>
      </c>
    </row>
    <row r="261" spans="1:11" x14ac:dyDescent="0.3">
      <c r="A261" t="s">
        <v>1305</v>
      </c>
      <c r="B261" t="s">
        <v>1068</v>
      </c>
      <c r="C261">
        <v>58</v>
      </c>
      <c r="D261" t="s">
        <v>1029</v>
      </c>
      <c r="E261" s="1">
        <v>45007</v>
      </c>
      <c r="F261">
        <v>176</v>
      </c>
      <c r="G261">
        <v>4.2</v>
      </c>
      <c r="H261">
        <v>2023</v>
      </c>
      <c r="I261" t="s">
        <v>1048</v>
      </c>
      <c r="J261" t="s">
        <v>1034</v>
      </c>
      <c r="K261">
        <v>4</v>
      </c>
    </row>
    <row r="262" spans="1:11" x14ac:dyDescent="0.3">
      <c r="A262" t="s">
        <v>1306</v>
      </c>
      <c r="B262" t="s">
        <v>1028</v>
      </c>
      <c r="C262">
        <v>63</v>
      </c>
      <c r="D262" t="s">
        <v>1042</v>
      </c>
      <c r="E262" s="1">
        <v>45007</v>
      </c>
      <c r="F262">
        <v>87</v>
      </c>
      <c r="G262">
        <v>4.5999999999999996</v>
      </c>
      <c r="H262">
        <v>2023</v>
      </c>
      <c r="I262" t="s">
        <v>1048</v>
      </c>
      <c r="J262" t="s">
        <v>1019</v>
      </c>
      <c r="K262">
        <v>5</v>
      </c>
    </row>
    <row r="263" spans="1:11" x14ac:dyDescent="0.3">
      <c r="A263" t="s">
        <v>1307</v>
      </c>
      <c r="B263" t="s">
        <v>1055</v>
      </c>
      <c r="C263">
        <v>59</v>
      </c>
      <c r="D263" t="s">
        <v>1024</v>
      </c>
      <c r="E263" s="1">
        <v>45007</v>
      </c>
      <c r="F263">
        <v>128</v>
      </c>
      <c r="G263">
        <v>4.5</v>
      </c>
      <c r="H263">
        <v>2023</v>
      </c>
      <c r="I263" t="s">
        <v>1048</v>
      </c>
      <c r="J263" t="s">
        <v>1034</v>
      </c>
      <c r="K263">
        <v>5</v>
      </c>
    </row>
    <row r="264" spans="1:11" x14ac:dyDescent="0.3">
      <c r="A264" t="s">
        <v>1308</v>
      </c>
      <c r="B264" t="s">
        <v>1098</v>
      </c>
      <c r="C264">
        <v>129</v>
      </c>
      <c r="D264" t="s">
        <v>1042</v>
      </c>
      <c r="E264" s="1">
        <v>45007</v>
      </c>
      <c r="F264">
        <v>120</v>
      </c>
      <c r="G264">
        <v>4.0999999999999996</v>
      </c>
      <c r="H264">
        <v>2023</v>
      </c>
      <c r="I264" t="s">
        <v>1048</v>
      </c>
      <c r="J264" t="s">
        <v>1031</v>
      </c>
      <c r="K264">
        <v>4</v>
      </c>
    </row>
    <row r="265" spans="1:11" x14ac:dyDescent="0.3">
      <c r="A265" t="s">
        <v>1309</v>
      </c>
      <c r="B265" t="s">
        <v>1047</v>
      </c>
      <c r="C265">
        <v>101</v>
      </c>
      <c r="D265" t="s">
        <v>1038</v>
      </c>
      <c r="E265" s="1">
        <v>45007</v>
      </c>
      <c r="F265">
        <v>130</v>
      </c>
      <c r="G265">
        <v>4.8</v>
      </c>
      <c r="H265">
        <v>2023</v>
      </c>
      <c r="I265" t="s">
        <v>1048</v>
      </c>
      <c r="J265" t="s">
        <v>1019</v>
      </c>
      <c r="K265">
        <v>5</v>
      </c>
    </row>
    <row r="266" spans="1:11" x14ac:dyDescent="0.3">
      <c r="A266" t="s">
        <v>1310</v>
      </c>
      <c r="B266" t="s">
        <v>1065</v>
      </c>
      <c r="C266">
        <v>154</v>
      </c>
      <c r="D266" t="s">
        <v>1024</v>
      </c>
      <c r="E266" s="1">
        <v>45007</v>
      </c>
      <c r="F266">
        <v>172</v>
      </c>
      <c r="G266">
        <v>3.1</v>
      </c>
      <c r="H266">
        <v>2023</v>
      </c>
      <c r="I266" t="s">
        <v>1048</v>
      </c>
      <c r="J266" t="s">
        <v>1031</v>
      </c>
      <c r="K266">
        <v>3</v>
      </c>
    </row>
    <row r="267" spans="1:11" x14ac:dyDescent="0.3">
      <c r="A267" t="s">
        <v>1311</v>
      </c>
      <c r="B267" t="s">
        <v>1041</v>
      </c>
      <c r="C267">
        <v>131</v>
      </c>
      <c r="D267" t="s">
        <v>1024</v>
      </c>
      <c r="E267" s="1">
        <v>45007</v>
      </c>
      <c r="F267">
        <v>58</v>
      </c>
      <c r="G267">
        <v>4.9000000000000004</v>
      </c>
      <c r="H267">
        <v>2023</v>
      </c>
      <c r="I267" t="s">
        <v>1048</v>
      </c>
      <c r="J267" t="s">
        <v>1031</v>
      </c>
      <c r="K267">
        <v>5</v>
      </c>
    </row>
    <row r="268" spans="1:11" x14ac:dyDescent="0.3">
      <c r="A268" t="s">
        <v>1312</v>
      </c>
      <c r="B268" t="s">
        <v>1036</v>
      </c>
      <c r="C268">
        <v>111</v>
      </c>
      <c r="D268" t="s">
        <v>1038</v>
      </c>
      <c r="E268" s="1">
        <v>45008</v>
      </c>
      <c r="F268">
        <v>86</v>
      </c>
      <c r="G268">
        <v>4.0999999999999996</v>
      </c>
      <c r="H268">
        <v>2023</v>
      </c>
      <c r="I268" t="s">
        <v>1052</v>
      </c>
      <c r="J268" t="s">
        <v>1019</v>
      </c>
      <c r="K268">
        <v>4</v>
      </c>
    </row>
    <row r="269" spans="1:11" x14ac:dyDescent="0.3">
      <c r="A269" t="s">
        <v>1313</v>
      </c>
      <c r="B269" t="s">
        <v>1068</v>
      </c>
      <c r="C269">
        <v>142</v>
      </c>
      <c r="D269" t="s">
        <v>1038</v>
      </c>
      <c r="E269" s="1">
        <v>45009</v>
      </c>
      <c r="F269">
        <v>31</v>
      </c>
      <c r="G269">
        <v>4.4000000000000004</v>
      </c>
      <c r="H269">
        <v>2023</v>
      </c>
      <c r="I269" t="s">
        <v>411</v>
      </c>
      <c r="J269" t="s">
        <v>1031</v>
      </c>
      <c r="K269">
        <v>4</v>
      </c>
    </row>
    <row r="270" spans="1:11" x14ac:dyDescent="0.3">
      <c r="A270" t="s">
        <v>1314</v>
      </c>
      <c r="B270" t="s">
        <v>1023</v>
      </c>
      <c r="C270">
        <v>93</v>
      </c>
      <c r="D270" t="s">
        <v>1042</v>
      </c>
      <c r="E270" s="1">
        <v>45009</v>
      </c>
      <c r="F270">
        <v>72</v>
      </c>
      <c r="G270">
        <v>4.4000000000000004</v>
      </c>
      <c r="H270">
        <v>2023</v>
      </c>
      <c r="I270" t="s">
        <v>411</v>
      </c>
      <c r="J270" t="s">
        <v>1019</v>
      </c>
      <c r="K270">
        <v>4</v>
      </c>
    </row>
    <row r="271" spans="1:11" x14ac:dyDescent="0.3">
      <c r="A271" t="s">
        <v>1315</v>
      </c>
      <c r="B271" t="s">
        <v>1068</v>
      </c>
      <c r="C271">
        <v>125</v>
      </c>
      <c r="D271" t="s">
        <v>1017</v>
      </c>
      <c r="E271" s="1">
        <v>45010</v>
      </c>
      <c r="F271">
        <v>27</v>
      </c>
      <c r="G271">
        <v>3</v>
      </c>
      <c r="H271">
        <v>2023</v>
      </c>
      <c r="I271" t="s">
        <v>1062</v>
      </c>
      <c r="J271" t="s">
        <v>1031</v>
      </c>
      <c r="K271">
        <v>3</v>
      </c>
    </row>
    <row r="272" spans="1:11" x14ac:dyDescent="0.3">
      <c r="A272" t="s">
        <v>1316</v>
      </c>
      <c r="B272" t="s">
        <v>1098</v>
      </c>
      <c r="C272">
        <v>76</v>
      </c>
      <c r="D272" t="s">
        <v>1024</v>
      </c>
      <c r="E272" s="1">
        <v>45010</v>
      </c>
      <c r="F272">
        <v>110</v>
      </c>
      <c r="G272">
        <v>4.4000000000000004</v>
      </c>
      <c r="H272">
        <v>2023</v>
      </c>
      <c r="I272" t="s">
        <v>1062</v>
      </c>
      <c r="J272" t="s">
        <v>1019</v>
      </c>
      <c r="K272">
        <v>4</v>
      </c>
    </row>
    <row r="273" spans="1:11" x14ac:dyDescent="0.3">
      <c r="A273" t="s">
        <v>1317</v>
      </c>
      <c r="B273" t="s">
        <v>1059</v>
      </c>
      <c r="C273">
        <v>69</v>
      </c>
      <c r="D273" t="s">
        <v>1042</v>
      </c>
      <c r="E273" s="1">
        <v>45010</v>
      </c>
      <c r="F273">
        <v>126</v>
      </c>
      <c r="G273">
        <v>3.7</v>
      </c>
      <c r="H273">
        <v>2023</v>
      </c>
      <c r="I273" t="s">
        <v>1062</v>
      </c>
      <c r="J273" t="s">
        <v>1019</v>
      </c>
      <c r="K273">
        <v>4</v>
      </c>
    </row>
    <row r="274" spans="1:11" x14ac:dyDescent="0.3">
      <c r="A274" t="s">
        <v>1318</v>
      </c>
      <c r="B274" t="s">
        <v>1055</v>
      </c>
      <c r="C274">
        <v>149</v>
      </c>
      <c r="D274" t="s">
        <v>1017</v>
      </c>
      <c r="E274" s="1">
        <v>45010</v>
      </c>
      <c r="F274">
        <v>60</v>
      </c>
      <c r="G274">
        <v>3.9</v>
      </c>
      <c r="H274">
        <v>2023</v>
      </c>
      <c r="I274" t="s">
        <v>1062</v>
      </c>
      <c r="J274" t="s">
        <v>1031</v>
      </c>
      <c r="K274">
        <v>4</v>
      </c>
    </row>
    <row r="275" spans="1:11" x14ac:dyDescent="0.3">
      <c r="A275" t="s">
        <v>1319</v>
      </c>
      <c r="B275" t="s">
        <v>1068</v>
      </c>
      <c r="C275">
        <v>57</v>
      </c>
      <c r="D275" t="s">
        <v>1042</v>
      </c>
      <c r="E275" s="1">
        <v>45010</v>
      </c>
      <c r="F275">
        <v>35</v>
      </c>
      <c r="G275">
        <v>3.5</v>
      </c>
      <c r="H275">
        <v>2023</v>
      </c>
      <c r="I275" t="s">
        <v>1062</v>
      </c>
      <c r="J275" t="s">
        <v>1034</v>
      </c>
      <c r="K275">
        <v>4</v>
      </c>
    </row>
    <row r="276" spans="1:11" x14ac:dyDescent="0.3">
      <c r="A276" t="s">
        <v>1320</v>
      </c>
      <c r="B276" t="s">
        <v>1021</v>
      </c>
      <c r="C276">
        <v>113</v>
      </c>
      <c r="D276" t="s">
        <v>1024</v>
      </c>
      <c r="E276" s="1">
        <v>45010</v>
      </c>
      <c r="F276">
        <v>81</v>
      </c>
      <c r="G276">
        <v>3.5</v>
      </c>
      <c r="H276">
        <v>2023</v>
      </c>
      <c r="I276" t="s">
        <v>1062</v>
      </c>
      <c r="J276" t="s">
        <v>1019</v>
      </c>
      <c r="K276">
        <v>4</v>
      </c>
    </row>
    <row r="277" spans="1:11" x14ac:dyDescent="0.3">
      <c r="A277" t="s">
        <v>1321</v>
      </c>
      <c r="B277" t="s">
        <v>1016</v>
      </c>
      <c r="C277">
        <v>160</v>
      </c>
      <c r="D277" t="s">
        <v>1017</v>
      </c>
      <c r="E277" s="1">
        <v>45010</v>
      </c>
      <c r="F277">
        <v>116</v>
      </c>
      <c r="G277">
        <v>3.4</v>
      </c>
      <c r="H277">
        <v>2023</v>
      </c>
      <c r="I277" t="s">
        <v>1062</v>
      </c>
      <c r="J277" t="s">
        <v>1031</v>
      </c>
      <c r="K277">
        <v>3</v>
      </c>
    </row>
    <row r="278" spans="1:11" x14ac:dyDescent="0.3">
      <c r="A278" t="s">
        <v>1322</v>
      </c>
      <c r="B278" t="s">
        <v>1028</v>
      </c>
      <c r="C278">
        <v>158</v>
      </c>
      <c r="D278" t="s">
        <v>1029</v>
      </c>
      <c r="E278" s="1">
        <v>45010</v>
      </c>
      <c r="F278">
        <v>60</v>
      </c>
      <c r="G278">
        <v>4.5</v>
      </c>
      <c r="H278">
        <v>2023</v>
      </c>
      <c r="I278" t="s">
        <v>1062</v>
      </c>
      <c r="J278" t="s">
        <v>1031</v>
      </c>
      <c r="K278">
        <v>5</v>
      </c>
    </row>
    <row r="279" spans="1:11" x14ac:dyDescent="0.3">
      <c r="A279" t="s">
        <v>1323</v>
      </c>
      <c r="B279" t="s">
        <v>1059</v>
      </c>
      <c r="C279">
        <v>77</v>
      </c>
      <c r="D279" t="s">
        <v>1017</v>
      </c>
      <c r="E279" s="1">
        <v>45011</v>
      </c>
      <c r="F279">
        <v>130</v>
      </c>
      <c r="G279">
        <v>4.2</v>
      </c>
      <c r="H279">
        <v>2023</v>
      </c>
      <c r="I279" t="s">
        <v>1018</v>
      </c>
      <c r="J279" t="s">
        <v>1019</v>
      </c>
      <c r="K279">
        <v>4</v>
      </c>
    </row>
    <row r="280" spans="1:11" x14ac:dyDescent="0.3">
      <c r="A280" t="s">
        <v>1324</v>
      </c>
      <c r="B280" t="s">
        <v>1045</v>
      </c>
      <c r="C280">
        <v>118</v>
      </c>
      <c r="D280" t="s">
        <v>1038</v>
      </c>
      <c r="E280" s="1">
        <v>45011</v>
      </c>
      <c r="F280">
        <v>99</v>
      </c>
      <c r="G280">
        <v>5</v>
      </c>
      <c r="H280">
        <v>2023</v>
      </c>
      <c r="I280" t="s">
        <v>1018</v>
      </c>
      <c r="J280" t="s">
        <v>1019</v>
      </c>
      <c r="K280">
        <v>5</v>
      </c>
    </row>
    <row r="281" spans="1:11" x14ac:dyDescent="0.3">
      <c r="A281" t="s">
        <v>1325</v>
      </c>
      <c r="B281" t="s">
        <v>1065</v>
      </c>
      <c r="C281">
        <v>75</v>
      </c>
      <c r="D281" t="s">
        <v>1024</v>
      </c>
      <c r="E281" s="1">
        <v>45011</v>
      </c>
      <c r="F281">
        <v>135</v>
      </c>
      <c r="G281">
        <v>4.7</v>
      </c>
      <c r="H281">
        <v>2023</v>
      </c>
      <c r="I281" t="s">
        <v>1018</v>
      </c>
      <c r="J281" t="s">
        <v>1019</v>
      </c>
      <c r="K281">
        <v>5</v>
      </c>
    </row>
    <row r="282" spans="1:11" x14ac:dyDescent="0.3">
      <c r="A282" t="s">
        <v>1326</v>
      </c>
      <c r="B282" t="s">
        <v>1021</v>
      </c>
      <c r="C282">
        <v>103</v>
      </c>
      <c r="D282" t="s">
        <v>1017</v>
      </c>
      <c r="E282" s="1">
        <v>45011</v>
      </c>
      <c r="F282">
        <v>42</v>
      </c>
      <c r="G282">
        <v>2.8</v>
      </c>
      <c r="H282">
        <v>2023</v>
      </c>
      <c r="I282" t="s">
        <v>1018</v>
      </c>
      <c r="J282" t="s">
        <v>1019</v>
      </c>
      <c r="K282">
        <v>3</v>
      </c>
    </row>
    <row r="283" spans="1:11" x14ac:dyDescent="0.3">
      <c r="A283" t="s">
        <v>1327</v>
      </c>
      <c r="B283" t="s">
        <v>1059</v>
      </c>
      <c r="C283">
        <v>116</v>
      </c>
      <c r="D283" t="s">
        <v>1038</v>
      </c>
      <c r="E283" s="1">
        <v>45012</v>
      </c>
      <c r="F283">
        <v>63</v>
      </c>
      <c r="G283">
        <v>3.4</v>
      </c>
      <c r="H283">
        <v>2023</v>
      </c>
      <c r="I283" t="s">
        <v>1030</v>
      </c>
      <c r="J283" t="s">
        <v>1019</v>
      </c>
      <c r="K283">
        <v>3</v>
      </c>
    </row>
    <row r="284" spans="1:11" x14ac:dyDescent="0.3">
      <c r="A284" t="s">
        <v>1328</v>
      </c>
      <c r="B284" t="s">
        <v>1036</v>
      </c>
      <c r="C284">
        <v>61</v>
      </c>
      <c r="D284" t="s">
        <v>1029</v>
      </c>
      <c r="E284" s="1">
        <v>45012</v>
      </c>
      <c r="F284">
        <v>140</v>
      </c>
      <c r="G284">
        <v>1.8</v>
      </c>
      <c r="H284">
        <v>2023</v>
      </c>
      <c r="I284" t="s">
        <v>1030</v>
      </c>
      <c r="J284" t="s">
        <v>1019</v>
      </c>
      <c r="K284">
        <v>2</v>
      </c>
    </row>
    <row r="285" spans="1:11" x14ac:dyDescent="0.3">
      <c r="A285" t="s">
        <v>1329</v>
      </c>
      <c r="B285" t="s">
        <v>1068</v>
      </c>
      <c r="C285">
        <v>126</v>
      </c>
      <c r="D285" t="s">
        <v>1024</v>
      </c>
      <c r="E285" s="1">
        <v>45012</v>
      </c>
      <c r="F285">
        <v>128</v>
      </c>
      <c r="G285">
        <v>4.2</v>
      </c>
      <c r="H285">
        <v>2023</v>
      </c>
      <c r="I285" t="s">
        <v>1030</v>
      </c>
      <c r="J285" t="s">
        <v>1031</v>
      </c>
      <c r="K285">
        <v>4</v>
      </c>
    </row>
    <row r="286" spans="1:11" x14ac:dyDescent="0.3">
      <c r="A286" t="s">
        <v>1330</v>
      </c>
      <c r="B286" t="s">
        <v>1047</v>
      </c>
      <c r="C286">
        <v>141</v>
      </c>
      <c r="D286" t="s">
        <v>1042</v>
      </c>
      <c r="E286" s="1">
        <v>45012</v>
      </c>
      <c r="F286">
        <v>80</v>
      </c>
      <c r="G286">
        <v>4.4000000000000004</v>
      </c>
      <c r="H286">
        <v>2023</v>
      </c>
      <c r="I286" t="s">
        <v>1030</v>
      </c>
      <c r="J286" t="s">
        <v>1031</v>
      </c>
      <c r="K286">
        <v>4</v>
      </c>
    </row>
    <row r="287" spans="1:11" x14ac:dyDescent="0.3">
      <c r="A287" t="s">
        <v>1331</v>
      </c>
      <c r="B287" t="s">
        <v>1028</v>
      </c>
      <c r="C287">
        <v>95</v>
      </c>
      <c r="D287" t="s">
        <v>1038</v>
      </c>
      <c r="E287" s="1">
        <v>45012</v>
      </c>
      <c r="F287">
        <v>28</v>
      </c>
      <c r="G287">
        <v>2.7</v>
      </c>
      <c r="H287">
        <v>2023</v>
      </c>
      <c r="I287" t="s">
        <v>1030</v>
      </c>
      <c r="J287" t="s">
        <v>1019</v>
      </c>
      <c r="K287">
        <v>3</v>
      </c>
    </row>
    <row r="288" spans="1:11" x14ac:dyDescent="0.3">
      <c r="A288" t="s">
        <v>1332</v>
      </c>
      <c r="B288" t="s">
        <v>1065</v>
      </c>
      <c r="C288">
        <v>39</v>
      </c>
      <c r="D288" t="s">
        <v>1029</v>
      </c>
      <c r="E288" s="1">
        <v>45013</v>
      </c>
      <c r="F288">
        <v>81</v>
      </c>
      <c r="G288">
        <v>5</v>
      </c>
      <c r="H288">
        <v>2023</v>
      </c>
      <c r="I288" t="s">
        <v>1033</v>
      </c>
      <c r="J288" t="s">
        <v>1034</v>
      </c>
      <c r="K288">
        <v>5</v>
      </c>
    </row>
    <row r="289" spans="1:11" x14ac:dyDescent="0.3">
      <c r="A289" t="s">
        <v>1333</v>
      </c>
      <c r="B289" t="s">
        <v>1021</v>
      </c>
      <c r="C289">
        <v>127</v>
      </c>
      <c r="D289" t="s">
        <v>1024</v>
      </c>
      <c r="E289" s="1">
        <v>45013</v>
      </c>
      <c r="F289">
        <v>99</v>
      </c>
      <c r="G289">
        <v>3.9</v>
      </c>
      <c r="H289">
        <v>2023</v>
      </c>
      <c r="I289" t="s">
        <v>1033</v>
      </c>
      <c r="J289" t="s">
        <v>1031</v>
      </c>
      <c r="K289">
        <v>4</v>
      </c>
    </row>
    <row r="290" spans="1:11" x14ac:dyDescent="0.3">
      <c r="A290" t="s">
        <v>1334</v>
      </c>
      <c r="B290" t="s">
        <v>1036</v>
      </c>
      <c r="C290">
        <v>78</v>
      </c>
      <c r="D290" t="s">
        <v>1024</v>
      </c>
      <c r="E290" s="1">
        <v>45013</v>
      </c>
      <c r="F290">
        <v>43</v>
      </c>
      <c r="G290">
        <v>3.8</v>
      </c>
      <c r="H290">
        <v>2023</v>
      </c>
      <c r="I290" t="s">
        <v>1033</v>
      </c>
      <c r="J290" t="s">
        <v>1019</v>
      </c>
      <c r="K290">
        <v>4</v>
      </c>
    </row>
    <row r="291" spans="1:11" x14ac:dyDescent="0.3">
      <c r="A291" t="s">
        <v>1335</v>
      </c>
      <c r="B291" t="s">
        <v>1045</v>
      </c>
      <c r="C291">
        <v>40</v>
      </c>
      <c r="D291" t="s">
        <v>1024</v>
      </c>
      <c r="E291" s="1">
        <v>45013</v>
      </c>
      <c r="F291">
        <v>34</v>
      </c>
      <c r="G291">
        <v>4.5999999999999996</v>
      </c>
      <c r="H291">
        <v>2023</v>
      </c>
      <c r="I291" t="s">
        <v>1033</v>
      </c>
      <c r="J291" t="s">
        <v>1034</v>
      </c>
      <c r="K291">
        <v>5</v>
      </c>
    </row>
    <row r="292" spans="1:11" x14ac:dyDescent="0.3">
      <c r="A292" t="s">
        <v>1336</v>
      </c>
      <c r="B292" t="s">
        <v>1036</v>
      </c>
      <c r="C292">
        <v>56</v>
      </c>
      <c r="D292" t="s">
        <v>1029</v>
      </c>
      <c r="E292" s="1">
        <v>45013</v>
      </c>
      <c r="F292">
        <v>225</v>
      </c>
      <c r="G292">
        <v>4.5999999999999996</v>
      </c>
      <c r="H292">
        <v>2023</v>
      </c>
      <c r="I292" t="s">
        <v>1033</v>
      </c>
      <c r="J292" t="s">
        <v>1034</v>
      </c>
      <c r="K292">
        <v>5</v>
      </c>
    </row>
    <row r="293" spans="1:11" x14ac:dyDescent="0.3">
      <c r="A293" t="s">
        <v>1337</v>
      </c>
      <c r="B293" t="s">
        <v>1065</v>
      </c>
      <c r="C293">
        <v>59</v>
      </c>
      <c r="D293" t="s">
        <v>1042</v>
      </c>
      <c r="E293" s="1">
        <v>45013</v>
      </c>
      <c r="F293">
        <v>210</v>
      </c>
      <c r="G293">
        <v>4.5</v>
      </c>
      <c r="H293">
        <v>2023</v>
      </c>
      <c r="I293" t="s">
        <v>1033</v>
      </c>
      <c r="J293" t="s">
        <v>1034</v>
      </c>
      <c r="K293">
        <v>5</v>
      </c>
    </row>
    <row r="294" spans="1:11" x14ac:dyDescent="0.3">
      <c r="A294" t="s">
        <v>1338</v>
      </c>
      <c r="B294" t="s">
        <v>1068</v>
      </c>
      <c r="C294">
        <v>30</v>
      </c>
      <c r="D294" t="s">
        <v>1024</v>
      </c>
      <c r="E294" s="1">
        <v>45013</v>
      </c>
      <c r="F294">
        <v>168</v>
      </c>
      <c r="G294">
        <v>4.2</v>
      </c>
      <c r="H294">
        <v>2023</v>
      </c>
      <c r="I294" t="s">
        <v>1033</v>
      </c>
      <c r="J294" t="s">
        <v>1056</v>
      </c>
      <c r="K294">
        <v>4</v>
      </c>
    </row>
    <row r="295" spans="1:11" x14ac:dyDescent="0.3">
      <c r="A295" t="s">
        <v>1339</v>
      </c>
      <c r="B295" t="s">
        <v>1045</v>
      </c>
      <c r="C295">
        <v>63</v>
      </c>
      <c r="D295" t="s">
        <v>1017</v>
      </c>
      <c r="E295" s="1">
        <v>45014</v>
      </c>
      <c r="F295">
        <v>82</v>
      </c>
      <c r="G295">
        <v>4.5</v>
      </c>
      <c r="H295">
        <v>2023</v>
      </c>
      <c r="I295" t="s">
        <v>1048</v>
      </c>
      <c r="J295" t="s">
        <v>1019</v>
      </c>
      <c r="K295">
        <v>5</v>
      </c>
    </row>
    <row r="296" spans="1:11" x14ac:dyDescent="0.3">
      <c r="A296" t="s">
        <v>1340</v>
      </c>
      <c r="B296" t="s">
        <v>1023</v>
      </c>
      <c r="C296">
        <v>56</v>
      </c>
      <c r="D296" t="s">
        <v>1038</v>
      </c>
      <c r="E296" s="1">
        <v>45014</v>
      </c>
      <c r="F296">
        <v>88</v>
      </c>
      <c r="G296">
        <v>4.0999999999999996</v>
      </c>
      <c r="H296">
        <v>2023</v>
      </c>
      <c r="I296" t="s">
        <v>1048</v>
      </c>
      <c r="J296" t="s">
        <v>1034</v>
      </c>
      <c r="K296">
        <v>4</v>
      </c>
    </row>
    <row r="297" spans="1:11" x14ac:dyDescent="0.3">
      <c r="A297" t="s">
        <v>1341</v>
      </c>
      <c r="B297" t="s">
        <v>1098</v>
      </c>
      <c r="C297">
        <v>95</v>
      </c>
      <c r="D297" t="s">
        <v>1017</v>
      </c>
      <c r="E297" s="1">
        <v>45014</v>
      </c>
      <c r="F297">
        <v>111</v>
      </c>
      <c r="G297">
        <v>3.3</v>
      </c>
      <c r="H297">
        <v>2023</v>
      </c>
      <c r="I297" t="s">
        <v>1048</v>
      </c>
      <c r="J297" t="s">
        <v>1019</v>
      </c>
      <c r="K297">
        <v>3</v>
      </c>
    </row>
    <row r="298" spans="1:11" x14ac:dyDescent="0.3">
      <c r="A298" t="s">
        <v>1342</v>
      </c>
      <c r="B298" t="s">
        <v>1078</v>
      </c>
      <c r="C298">
        <v>128</v>
      </c>
      <c r="D298" t="s">
        <v>1042</v>
      </c>
      <c r="E298" s="1">
        <v>45014</v>
      </c>
      <c r="F298">
        <v>60</v>
      </c>
      <c r="G298">
        <v>3.8</v>
      </c>
      <c r="H298">
        <v>2023</v>
      </c>
      <c r="I298" t="s">
        <v>1048</v>
      </c>
      <c r="J298" t="s">
        <v>1031</v>
      </c>
      <c r="K298">
        <v>4</v>
      </c>
    </row>
    <row r="299" spans="1:11" x14ac:dyDescent="0.3">
      <c r="A299" t="s">
        <v>1343</v>
      </c>
      <c r="B299" t="s">
        <v>1028</v>
      </c>
      <c r="C299">
        <v>49</v>
      </c>
      <c r="D299" t="s">
        <v>1017</v>
      </c>
      <c r="E299" s="1">
        <v>45014</v>
      </c>
      <c r="F299">
        <v>80</v>
      </c>
      <c r="G299">
        <v>3</v>
      </c>
      <c r="H299">
        <v>2023</v>
      </c>
      <c r="I299" t="s">
        <v>1048</v>
      </c>
      <c r="J299" t="s">
        <v>1034</v>
      </c>
      <c r="K299">
        <v>3</v>
      </c>
    </row>
    <row r="300" spans="1:11" x14ac:dyDescent="0.3">
      <c r="A300" t="s">
        <v>1344</v>
      </c>
      <c r="B300" t="s">
        <v>1078</v>
      </c>
      <c r="C300">
        <v>89</v>
      </c>
      <c r="D300" t="s">
        <v>1029</v>
      </c>
      <c r="E300" s="1">
        <v>45016</v>
      </c>
      <c r="F300">
        <v>90</v>
      </c>
      <c r="G300">
        <v>4.5999999999999996</v>
      </c>
      <c r="H300">
        <v>2023</v>
      </c>
      <c r="I300" t="s">
        <v>411</v>
      </c>
      <c r="J300" t="s">
        <v>1019</v>
      </c>
      <c r="K300">
        <v>5</v>
      </c>
    </row>
    <row r="301" spans="1:11" x14ac:dyDescent="0.3">
      <c r="A301" t="s">
        <v>1345</v>
      </c>
      <c r="B301" t="s">
        <v>1055</v>
      </c>
      <c r="C301">
        <v>87</v>
      </c>
      <c r="D301" t="s">
        <v>1017</v>
      </c>
      <c r="E301" s="1">
        <v>45016</v>
      </c>
      <c r="F301">
        <v>225</v>
      </c>
      <c r="G301">
        <v>2.9</v>
      </c>
      <c r="H301">
        <v>2023</v>
      </c>
      <c r="I301" t="s">
        <v>411</v>
      </c>
      <c r="J301" t="s">
        <v>1019</v>
      </c>
      <c r="K301">
        <v>3</v>
      </c>
    </row>
    <row r="302" spans="1:11" x14ac:dyDescent="0.3">
      <c r="A302" t="s">
        <v>1346</v>
      </c>
      <c r="B302" t="s">
        <v>1016</v>
      </c>
      <c r="C302">
        <v>60</v>
      </c>
      <c r="D302" t="s">
        <v>1024</v>
      </c>
      <c r="E302" s="1">
        <v>45017</v>
      </c>
      <c r="F302">
        <v>215</v>
      </c>
      <c r="G302">
        <v>3.2</v>
      </c>
      <c r="H302">
        <v>2023</v>
      </c>
      <c r="I302" t="s">
        <v>1062</v>
      </c>
      <c r="J302" t="s">
        <v>1034</v>
      </c>
      <c r="K302">
        <v>3</v>
      </c>
    </row>
    <row r="303" spans="1:11" x14ac:dyDescent="0.3">
      <c r="A303" t="s">
        <v>1347</v>
      </c>
      <c r="B303" t="s">
        <v>1026</v>
      </c>
      <c r="C303">
        <v>42</v>
      </c>
      <c r="D303" t="s">
        <v>1029</v>
      </c>
      <c r="E303" s="1">
        <v>45017</v>
      </c>
      <c r="F303">
        <v>45</v>
      </c>
      <c r="G303">
        <v>1.5</v>
      </c>
      <c r="H303">
        <v>2023</v>
      </c>
      <c r="I303" t="s">
        <v>1062</v>
      </c>
      <c r="J303" t="s">
        <v>1034</v>
      </c>
      <c r="K303">
        <v>2</v>
      </c>
    </row>
    <row r="304" spans="1:11" x14ac:dyDescent="0.3">
      <c r="A304" t="s">
        <v>1348</v>
      </c>
      <c r="B304" t="s">
        <v>1041</v>
      </c>
      <c r="C304">
        <v>99</v>
      </c>
      <c r="D304" t="s">
        <v>1024</v>
      </c>
      <c r="E304" s="1">
        <v>45017</v>
      </c>
      <c r="F304">
        <v>74</v>
      </c>
      <c r="G304">
        <v>4</v>
      </c>
      <c r="H304">
        <v>2023</v>
      </c>
      <c r="I304" t="s">
        <v>1062</v>
      </c>
      <c r="J304" t="s">
        <v>1019</v>
      </c>
      <c r="K304">
        <v>4</v>
      </c>
    </row>
    <row r="305" spans="1:11" x14ac:dyDescent="0.3">
      <c r="A305" t="s">
        <v>1349</v>
      </c>
      <c r="B305" t="s">
        <v>1023</v>
      </c>
      <c r="C305">
        <v>20</v>
      </c>
      <c r="D305" t="s">
        <v>1029</v>
      </c>
      <c r="E305" s="1">
        <v>45017</v>
      </c>
      <c r="F305">
        <v>60</v>
      </c>
      <c r="G305">
        <v>3.6</v>
      </c>
      <c r="H305">
        <v>2023</v>
      </c>
      <c r="I305" t="s">
        <v>1062</v>
      </c>
      <c r="J305" t="s">
        <v>1056</v>
      </c>
      <c r="K305">
        <v>4</v>
      </c>
    </row>
    <row r="306" spans="1:11" x14ac:dyDescent="0.3">
      <c r="A306" t="s">
        <v>1350</v>
      </c>
      <c r="B306" t="s">
        <v>1045</v>
      </c>
      <c r="C306">
        <v>65</v>
      </c>
      <c r="D306" t="s">
        <v>1024</v>
      </c>
      <c r="E306" s="1">
        <v>45017</v>
      </c>
      <c r="F306">
        <v>64</v>
      </c>
      <c r="G306">
        <v>3.7</v>
      </c>
      <c r="H306">
        <v>2023</v>
      </c>
      <c r="I306" t="s">
        <v>1062</v>
      </c>
      <c r="J306" t="s">
        <v>1019</v>
      </c>
      <c r="K306">
        <v>4</v>
      </c>
    </row>
    <row r="307" spans="1:11" x14ac:dyDescent="0.3">
      <c r="A307" t="s">
        <v>1351</v>
      </c>
      <c r="B307" t="s">
        <v>1068</v>
      </c>
      <c r="C307">
        <v>71</v>
      </c>
      <c r="D307" t="s">
        <v>1017</v>
      </c>
      <c r="E307" s="1">
        <v>45018</v>
      </c>
      <c r="F307">
        <v>110</v>
      </c>
      <c r="G307">
        <v>4.8</v>
      </c>
      <c r="H307">
        <v>2023</v>
      </c>
      <c r="I307" t="s">
        <v>1018</v>
      </c>
      <c r="J307" t="s">
        <v>1019</v>
      </c>
      <c r="K307">
        <v>5</v>
      </c>
    </row>
    <row r="308" spans="1:11" x14ac:dyDescent="0.3">
      <c r="A308" t="s">
        <v>1352</v>
      </c>
      <c r="B308" t="s">
        <v>1021</v>
      </c>
      <c r="C308">
        <v>95</v>
      </c>
      <c r="D308" t="s">
        <v>1042</v>
      </c>
      <c r="E308" s="1">
        <v>45018</v>
      </c>
      <c r="F308">
        <v>52</v>
      </c>
      <c r="G308">
        <v>1.2</v>
      </c>
      <c r="H308">
        <v>2023</v>
      </c>
      <c r="I308" t="s">
        <v>1018</v>
      </c>
      <c r="J308" t="s">
        <v>1019</v>
      </c>
      <c r="K308">
        <v>1</v>
      </c>
    </row>
    <row r="309" spans="1:11" x14ac:dyDescent="0.3">
      <c r="A309" t="s">
        <v>1353</v>
      </c>
      <c r="B309" t="s">
        <v>1023</v>
      </c>
      <c r="C309">
        <v>81</v>
      </c>
      <c r="D309" t="s">
        <v>1038</v>
      </c>
      <c r="E309" s="1">
        <v>45019</v>
      </c>
      <c r="F309">
        <v>160</v>
      </c>
      <c r="G309">
        <v>4.7</v>
      </c>
      <c r="H309">
        <v>2023</v>
      </c>
      <c r="I309" t="s">
        <v>1030</v>
      </c>
      <c r="J309" t="s">
        <v>1019</v>
      </c>
      <c r="K309">
        <v>5</v>
      </c>
    </row>
    <row r="310" spans="1:11" x14ac:dyDescent="0.3">
      <c r="A310" t="s">
        <v>1354</v>
      </c>
      <c r="B310" t="s">
        <v>1059</v>
      </c>
      <c r="C310">
        <v>137</v>
      </c>
      <c r="D310" t="s">
        <v>1038</v>
      </c>
      <c r="E310" s="1">
        <v>45019</v>
      </c>
      <c r="F310">
        <v>215</v>
      </c>
      <c r="G310">
        <v>4.7</v>
      </c>
      <c r="H310">
        <v>2023</v>
      </c>
      <c r="I310" t="s">
        <v>1030</v>
      </c>
      <c r="J310" t="s">
        <v>1031</v>
      </c>
      <c r="K310">
        <v>5</v>
      </c>
    </row>
    <row r="311" spans="1:11" x14ac:dyDescent="0.3">
      <c r="A311" t="s">
        <v>1355</v>
      </c>
      <c r="B311" t="s">
        <v>1059</v>
      </c>
      <c r="C311">
        <v>40</v>
      </c>
      <c r="D311" t="s">
        <v>1042</v>
      </c>
      <c r="E311" s="1">
        <v>45019</v>
      </c>
      <c r="F311">
        <v>220</v>
      </c>
      <c r="G311">
        <v>4.5</v>
      </c>
      <c r="H311">
        <v>2023</v>
      </c>
      <c r="I311" t="s">
        <v>1030</v>
      </c>
      <c r="J311" t="s">
        <v>1034</v>
      </c>
      <c r="K311">
        <v>5</v>
      </c>
    </row>
    <row r="312" spans="1:11" x14ac:dyDescent="0.3">
      <c r="A312" t="s">
        <v>1356</v>
      </c>
      <c r="B312" t="s">
        <v>1041</v>
      </c>
      <c r="C312">
        <v>111</v>
      </c>
      <c r="D312" t="s">
        <v>1024</v>
      </c>
      <c r="E312" s="1">
        <v>45020</v>
      </c>
      <c r="F312">
        <v>175</v>
      </c>
      <c r="G312">
        <v>3.5</v>
      </c>
      <c r="H312">
        <v>2023</v>
      </c>
      <c r="I312" t="s">
        <v>1033</v>
      </c>
      <c r="J312" t="s">
        <v>1019</v>
      </c>
      <c r="K312">
        <v>4</v>
      </c>
    </row>
    <row r="313" spans="1:11" x14ac:dyDescent="0.3">
      <c r="A313" t="s">
        <v>1357</v>
      </c>
      <c r="B313" t="s">
        <v>1068</v>
      </c>
      <c r="C313">
        <v>106</v>
      </c>
      <c r="D313" t="s">
        <v>1024</v>
      </c>
      <c r="E313" s="1">
        <v>45020</v>
      </c>
      <c r="F313">
        <v>145</v>
      </c>
      <c r="G313">
        <v>4.0999999999999996</v>
      </c>
      <c r="H313">
        <v>2023</v>
      </c>
      <c r="I313" t="s">
        <v>1033</v>
      </c>
      <c r="J313" t="s">
        <v>1019</v>
      </c>
      <c r="K313">
        <v>4</v>
      </c>
    </row>
    <row r="314" spans="1:11" x14ac:dyDescent="0.3">
      <c r="A314" t="s">
        <v>1358</v>
      </c>
      <c r="B314" t="s">
        <v>1026</v>
      </c>
      <c r="C314">
        <v>133</v>
      </c>
      <c r="D314" t="s">
        <v>1029</v>
      </c>
      <c r="E314" s="1">
        <v>45020</v>
      </c>
      <c r="F314">
        <v>72</v>
      </c>
      <c r="G314">
        <v>4.4000000000000004</v>
      </c>
      <c r="H314">
        <v>2023</v>
      </c>
      <c r="I314" t="s">
        <v>1033</v>
      </c>
      <c r="J314" t="s">
        <v>1031</v>
      </c>
      <c r="K314">
        <v>4</v>
      </c>
    </row>
    <row r="315" spans="1:11" x14ac:dyDescent="0.3">
      <c r="A315" t="s">
        <v>1359</v>
      </c>
      <c r="B315" t="s">
        <v>1036</v>
      </c>
      <c r="C315">
        <v>38</v>
      </c>
      <c r="D315" t="s">
        <v>1024</v>
      </c>
      <c r="E315" s="1">
        <v>45021</v>
      </c>
      <c r="F315">
        <v>81</v>
      </c>
      <c r="G315">
        <v>3.6</v>
      </c>
      <c r="H315">
        <v>2023</v>
      </c>
      <c r="I315" t="s">
        <v>1048</v>
      </c>
      <c r="J315" t="s">
        <v>1034</v>
      </c>
      <c r="K315">
        <v>4</v>
      </c>
    </row>
    <row r="316" spans="1:11" x14ac:dyDescent="0.3">
      <c r="A316" t="s">
        <v>1360</v>
      </c>
      <c r="B316" t="s">
        <v>1065</v>
      </c>
      <c r="C316">
        <v>130</v>
      </c>
      <c r="D316" t="s">
        <v>1042</v>
      </c>
      <c r="E316" s="1">
        <v>45021</v>
      </c>
      <c r="F316">
        <v>54</v>
      </c>
      <c r="G316">
        <v>4.0999999999999996</v>
      </c>
      <c r="H316">
        <v>2023</v>
      </c>
      <c r="I316" t="s">
        <v>1048</v>
      </c>
      <c r="J316" t="s">
        <v>1031</v>
      </c>
      <c r="K316">
        <v>4</v>
      </c>
    </row>
    <row r="317" spans="1:11" x14ac:dyDescent="0.3">
      <c r="A317" t="s">
        <v>1361</v>
      </c>
      <c r="B317" t="s">
        <v>1045</v>
      </c>
      <c r="C317">
        <v>23</v>
      </c>
      <c r="D317" t="s">
        <v>1029</v>
      </c>
      <c r="E317" s="1">
        <v>45021</v>
      </c>
      <c r="F317">
        <v>105</v>
      </c>
      <c r="G317">
        <v>4.8</v>
      </c>
      <c r="H317">
        <v>2023</v>
      </c>
      <c r="I317" t="s">
        <v>1048</v>
      </c>
      <c r="J317" t="s">
        <v>1056</v>
      </c>
      <c r="K317">
        <v>5</v>
      </c>
    </row>
    <row r="318" spans="1:11" x14ac:dyDescent="0.3">
      <c r="A318" t="s">
        <v>1362</v>
      </c>
      <c r="B318" t="s">
        <v>1065</v>
      </c>
      <c r="C318">
        <v>124</v>
      </c>
      <c r="D318" t="s">
        <v>1024</v>
      </c>
      <c r="E318" s="1">
        <v>45022</v>
      </c>
      <c r="F318">
        <v>176</v>
      </c>
      <c r="G318">
        <v>3.9</v>
      </c>
      <c r="H318">
        <v>2023</v>
      </c>
      <c r="I318" t="s">
        <v>1052</v>
      </c>
      <c r="J318" t="s">
        <v>1031</v>
      </c>
      <c r="K318">
        <v>4</v>
      </c>
    </row>
    <row r="319" spans="1:11" x14ac:dyDescent="0.3">
      <c r="A319" t="s">
        <v>1363</v>
      </c>
      <c r="B319" t="s">
        <v>1023</v>
      </c>
      <c r="C319">
        <v>107</v>
      </c>
      <c r="D319" t="s">
        <v>1024</v>
      </c>
      <c r="E319" s="1">
        <v>45022</v>
      </c>
      <c r="F319">
        <v>115</v>
      </c>
      <c r="G319">
        <v>3.8</v>
      </c>
      <c r="H319">
        <v>2023</v>
      </c>
      <c r="I319" t="s">
        <v>1052</v>
      </c>
      <c r="J319" t="s">
        <v>1019</v>
      </c>
      <c r="K319">
        <v>4</v>
      </c>
    </row>
    <row r="320" spans="1:11" x14ac:dyDescent="0.3">
      <c r="A320" t="s">
        <v>1364</v>
      </c>
      <c r="B320" t="s">
        <v>1059</v>
      </c>
      <c r="C320">
        <v>60</v>
      </c>
      <c r="D320" t="s">
        <v>1017</v>
      </c>
      <c r="E320" s="1">
        <v>45022</v>
      </c>
      <c r="F320">
        <v>116</v>
      </c>
      <c r="G320">
        <v>3.9</v>
      </c>
      <c r="H320">
        <v>2023</v>
      </c>
      <c r="I320" t="s">
        <v>1052</v>
      </c>
      <c r="J320" t="s">
        <v>1034</v>
      </c>
      <c r="K320">
        <v>4</v>
      </c>
    </row>
    <row r="321" spans="1:11" x14ac:dyDescent="0.3">
      <c r="A321" t="s">
        <v>1365</v>
      </c>
      <c r="B321" t="s">
        <v>1059</v>
      </c>
      <c r="C321">
        <v>158</v>
      </c>
      <c r="D321" t="s">
        <v>1042</v>
      </c>
      <c r="E321" s="1">
        <v>45022</v>
      </c>
      <c r="F321">
        <v>100</v>
      </c>
      <c r="G321">
        <v>4.0999999999999996</v>
      </c>
      <c r="H321">
        <v>2023</v>
      </c>
      <c r="I321" t="s">
        <v>1052</v>
      </c>
      <c r="J321" t="s">
        <v>1031</v>
      </c>
      <c r="K321">
        <v>4</v>
      </c>
    </row>
    <row r="322" spans="1:11" x14ac:dyDescent="0.3">
      <c r="A322" t="s">
        <v>1366</v>
      </c>
      <c r="B322" t="s">
        <v>1055</v>
      </c>
      <c r="C322">
        <v>110</v>
      </c>
      <c r="D322" t="s">
        <v>1042</v>
      </c>
      <c r="E322" s="1">
        <v>45023</v>
      </c>
      <c r="F322">
        <v>36</v>
      </c>
      <c r="G322">
        <v>2.2000000000000002</v>
      </c>
      <c r="H322">
        <v>2023</v>
      </c>
      <c r="I322" t="s">
        <v>411</v>
      </c>
      <c r="J322" t="s">
        <v>1019</v>
      </c>
      <c r="K322">
        <v>2</v>
      </c>
    </row>
    <row r="323" spans="1:11" x14ac:dyDescent="0.3">
      <c r="A323" t="s">
        <v>1367</v>
      </c>
      <c r="B323" t="s">
        <v>1078</v>
      </c>
      <c r="C323">
        <v>70</v>
      </c>
      <c r="D323" t="s">
        <v>1042</v>
      </c>
      <c r="E323" s="1">
        <v>45023</v>
      </c>
      <c r="F323">
        <v>114</v>
      </c>
      <c r="G323">
        <v>5</v>
      </c>
      <c r="H323">
        <v>2023</v>
      </c>
      <c r="I323" t="s">
        <v>411</v>
      </c>
      <c r="J323" t="s">
        <v>1019</v>
      </c>
      <c r="K323">
        <v>5</v>
      </c>
    </row>
    <row r="324" spans="1:11" x14ac:dyDescent="0.3">
      <c r="A324" t="s">
        <v>1368</v>
      </c>
      <c r="B324" t="s">
        <v>1078</v>
      </c>
      <c r="C324">
        <v>150</v>
      </c>
      <c r="D324" t="s">
        <v>1017</v>
      </c>
      <c r="E324" s="1">
        <v>45023</v>
      </c>
      <c r="F324">
        <v>24</v>
      </c>
      <c r="G324">
        <v>3.8</v>
      </c>
      <c r="H324">
        <v>2023</v>
      </c>
      <c r="I324" t="s">
        <v>411</v>
      </c>
      <c r="J324" t="s">
        <v>1031</v>
      </c>
      <c r="K324">
        <v>4</v>
      </c>
    </row>
    <row r="325" spans="1:11" x14ac:dyDescent="0.3">
      <c r="A325" t="s">
        <v>1369</v>
      </c>
      <c r="B325" t="s">
        <v>1036</v>
      </c>
      <c r="C325">
        <v>36</v>
      </c>
      <c r="D325" t="s">
        <v>1024</v>
      </c>
      <c r="E325" s="1">
        <v>45023</v>
      </c>
      <c r="F325">
        <v>135</v>
      </c>
      <c r="G325">
        <v>4.5999999999999996</v>
      </c>
      <c r="H325">
        <v>2023</v>
      </c>
      <c r="I325" t="s">
        <v>411</v>
      </c>
      <c r="J325" t="s">
        <v>1034</v>
      </c>
      <c r="K325">
        <v>5</v>
      </c>
    </row>
    <row r="326" spans="1:11" x14ac:dyDescent="0.3">
      <c r="A326" t="s">
        <v>1370</v>
      </c>
      <c r="B326" t="s">
        <v>1065</v>
      </c>
      <c r="C326">
        <v>74</v>
      </c>
      <c r="D326" t="s">
        <v>1024</v>
      </c>
      <c r="E326" s="1">
        <v>45023</v>
      </c>
      <c r="F326">
        <v>30</v>
      </c>
      <c r="G326">
        <v>4</v>
      </c>
      <c r="H326">
        <v>2023</v>
      </c>
      <c r="I326" t="s">
        <v>411</v>
      </c>
      <c r="J326" t="s">
        <v>1019</v>
      </c>
      <c r="K326">
        <v>4</v>
      </c>
    </row>
    <row r="327" spans="1:11" x14ac:dyDescent="0.3">
      <c r="A327" t="s">
        <v>1371</v>
      </c>
      <c r="B327" t="s">
        <v>1021</v>
      </c>
      <c r="C327">
        <v>75</v>
      </c>
      <c r="D327" t="s">
        <v>1024</v>
      </c>
      <c r="E327" s="1">
        <v>45023</v>
      </c>
      <c r="F327">
        <v>84</v>
      </c>
      <c r="G327">
        <v>2.8</v>
      </c>
      <c r="H327">
        <v>2023</v>
      </c>
      <c r="I327" t="s">
        <v>411</v>
      </c>
      <c r="J327" t="s">
        <v>1019</v>
      </c>
      <c r="K327">
        <v>3</v>
      </c>
    </row>
    <row r="328" spans="1:11" x14ac:dyDescent="0.3">
      <c r="A328" t="s">
        <v>1372</v>
      </c>
      <c r="B328" t="s">
        <v>1098</v>
      </c>
      <c r="C328">
        <v>70</v>
      </c>
      <c r="D328" t="s">
        <v>1038</v>
      </c>
      <c r="E328" s="1">
        <v>45023</v>
      </c>
      <c r="F328">
        <v>42</v>
      </c>
      <c r="G328">
        <v>4.4000000000000004</v>
      </c>
      <c r="H328">
        <v>2023</v>
      </c>
      <c r="I328" t="s">
        <v>411</v>
      </c>
      <c r="J328" t="s">
        <v>1019</v>
      </c>
      <c r="K328">
        <v>4</v>
      </c>
    </row>
    <row r="329" spans="1:11" x14ac:dyDescent="0.3">
      <c r="A329" t="s">
        <v>1373</v>
      </c>
      <c r="B329" t="s">
        <v>1055</v>
      </c>
      <c r="C329">
        <v>23</v>
      </c>
      <c r="D329" t="s">
        <v>1042</v>
      </c>
      <c r="E329" s="1">
        <v>45023</v>
      </c>
      <c r="F329">
        <v>117</v>
      </c>
      <c r="G329">
        <v>2.4</v>
      </c>
      <c r="H329">
        <v>2023</v>
      </c>
      <c r="I329" t="s">
        <v>411</v>
      </c>
      <c r="J329" t="s">
        <v>1056</v>
      </c>
      <c r="K329">
        <v>2</v>
      </c>
    </row>
    <row r="330" spans="1:11" x14ac:dyDescent="0.3">
      <c r="A330" t="s">
        <v>1374</v>
      </c>
      <c r="B330" t="s">
        <v>1041</v>
      </c>
      <c r="C330">
        <v>104</v>
      </c>
      <c r="D330" t="s">
        <v>1029</v>
      </c>
      <c r="E330" s="1">
        <v>45023</v>
      </c>
      <c r="F330">
        <v>164</v>
      </c>
      <c r="G330">
        <v>4</v>
      </c>
      <c r="H330">
        <v>2023</v>
      </c>
      <c r="I330" t="s">
        <v>411</v>
      </c>
      <c r="J330" t="s">
        <v>1019</v>
      </c>
      <c r="K330">
        <v>4</v>
      </c>
    </row>
    <row r="331" spans="1:11" x14ac:dyDescent="0.3">
      <c r="A331" t="s">
        <v>1375</v>
      </c>
      <c r="B331" t="s">
        <v>1078</v>
      </c>
      <c r="C331">
        <v>95</v>
      </c>
      <c r="D331" t="s">
        <v>1038</v>
      </c>
      <c r="E331" s="1">
        <v>45024</v>
      </c>
      <c r="F331">
        <v>123</v>
      </c>
      <c r="G331">
        <v>4.4000000000000004</v>
      </c>
      <c r="H331">
        <v>2023</v>
      </c>
      <c r="I331" t="s">
        <v>1062</v>
      </c>
      <c r="J331" t="s">
        <v>1019</v>
      </c>
      <c r="K331">
        <v>4</v>
      </c>
    </row>
    <row r="332" spans="1:11" x14ac:dyDescent="0.3">
      <c r="A332" t="s">
        <v>1376</v>
      </c>
      <c r="B332" t="s">
        <v>1028</v>
      </c>
      <c r="C332">
        <v>49</v>
      </c>
      <c r="D332" t="s">
        <v>1017</v>
      </c>
      <c r="E332" s="1">
        <v>45024</v>
      </c>
      <c r="F332">
        <v>172</v>
      </c>
      <c r="G332">
        <v>2.9</v>
      </c>
      <c r="H332">
        <v>2023</v>
      </c>
      <c r="I332" t="s">
        <v>1062</v>
      </c>
      <c r="J332" t="s">
        <v>1034</v>
      </c>
      <c r="K332">
        <v>3</v>
      </c>
    </row>
    <row r="333" spans="1:11" x14ac:dyDescent="0.3">
      <c r="A333" t="s">
        <v>1377</v>
      </c>
      <c r="B333" t="s">
        <v>1068</v>
      </c>
      <c r="C333">
        <v>8</v>
      </c>
      <c r="D333" t="s">
        <v>1042</v>
      </c>
      <c r="E333" s="1">
        <v>45024</v>
      </c>
      <c r="F333">
        <v>20</v>
      </c>
      <c r="G333">
        <v>4.8</v>
      </c>
      <c r="H333">
        <v>2023</v>
      </c>
      <c r="I333" t="s">
        <v>1062</v>
      </c>
      <c r="J333" t="s">
        <v>1186</v>
      </c>
      <c r="K333">
        <v>5</v>
      </c>
    </row>
    <row r="334" spans="1:11" x14ac:dyDescent="0.3">
      <c r="A334" t="s">
        <v>1378</v>
      </c>
      <c r="B334" t="s">
        <v>1078</v>
      </c>
      <c r="C334">
        <v>157</v>
      </c>
      <c r="D334" t="s">
        <v>1017</v>
      </c>
      <c r="E334" s="1">
        <v>45024</v>
      </c>
      <c r="F334">
        <v>72</v>
      </c>
      <c r="G334">
        <v>3.7</v>
      </c>
      <c r="H334">
        <v>2023</v>
      </c>
      <c r="I334" t="s">
        <v>1062</v>
      </c>
      <c r="J334" t="s">
        <v>1031</v>
      </c>
      <c r="K334">
        <v>4</v>
      </c>
    </row>
    <row r="335" spans="1:11" x14ac:dyDescent="0.3">
      <c r="A335" t="s">
        <v>1379</v>
      </c>
      <c r="B335" t="s">
        <v>1023</v>
      </c>
      <c r="C335">
        <v>74</v>
      </c>
      <c r="D335" t="s">
        <v>1024</v>
      </c>
      <c r="E335" s="1">
        <v>45024</v>
      </c>
      <c r="F335">
        <v>32</v>
      </c>
      <c r="G335">
        <v>4.8</v>
      </c>
      <c r="H335">
        <v>2023</v>
      </c>
      <c r="I335" t="s">
        <v>1062</v>
      </c>
      <c r="J335" t="s">
        <v>1019</v>
      </c>
      <c r="K335">
        <v>5</v>
      </c>
    </row>
    <row r="336" spans="1:11" x14ac:dyDescent="0.3">
      <c r="A336" t="s">
        <v>1380</v>
      </c>
      <c r="B336" t="s">
        <v>1055</v>
      </c>
      <c r="C336">
        <v>72</v>
      </c>
      <c r="D336" t="s">
        <v>1038</v>
      </c>
      <c r="E336" s="1">
        <v>45024</v>
      </c>
      <c r="F336">
        <v>140</v>
      </c>
      <c r="G336">
        <v>3.2</v>
      </c>
      <c r="H336">
        <v>2023</v>
      </c>
      <c r="I336" t="s">
        <v>1062</v>
      </c>
      <c r="J336" t="s">
        <v>1019</v>
      </c>
      <c r="K336">
        <v>3</v>
      </c>
    </row>
    <row r="337" spans="1:11" x14ac:dyDescent="0.3">
      <c r="A337" t="s">
        <v>1381</v>
      </c>
      <c r="B337" t="s">
        <v>1023</v>
      </c>
      <c r="C337">
        <v>79</v>
      </c>
      <c r="D337" t="s">
        <v>1024</v>
      </c>
      <c r="E337" s="1">
        <v>45025</v>
      </c>
      <c r="F337">
        <v>120</v>
      </c>
      <c r="G337">
        <v>4.9000000000000004</v>
      </c>
      <c r="H337">
        <v>2023</v>
      </c>
      <c r="I337" t="s">
        <v>1018</v>
      </c>
      <c r="J337" t="s">
        <v>1019</v>
      </c>
      <c r="K337">
        <v>5</v>
      </c>
    </row>
    <row r="338" spans="1:11" x14ac:dyDescent="0.3">
      <c r="A338" t="s">
        <v>1382</v>
      </c>
      <c r="B338" t="s">
        <v>1065</v>
      </c>
      <c r="C338">
        <v>23</v>
      </c>
      <c r="D338" t="s">
        <v>1024</v>
      </c>
      <c r="E338" s="1">
        <v>45025</v>
      </c>
      <c r="F338">
        <v>86</v>
      </c>
      <c r="G338">
        <v>2.2000000000000002</v>
      </c>
      <c r="H338">
        <v>2023</v>
      </c>
      <c r="I338" t="s">
        <v>1018</v>
      </c>
      <c r="J338" t="s">
        <v>1056</v>
      </c>
      <c r="K338">
        <v>2</v>
      </c>
    </row>
    <row r="339" spans="1:11" x14ac:dyDescent="0.3">
      <c r="A339" t="s">
        <v>1383</v>
      </c>
      <c r="B339" t="s">
        <v>1021</v>
      </c>
      <c r="C339">
        <v>69</v>
      </c>
      <c r="D339" t="s">
        <v>1024</v>
      </c>
      <c r="E339" s="1">
        <v>45025</v>
      </c>
      <c r="F339">
        <v>132</v>
      </c>
      <c r="G339">
        <v>5</v>
      </c>
      <c r="H339">
        <v>2023</v>
      </c>
      <c r="I339" t="s">
        <v>1018</v>
      </c>
      <c r="J339" t="s">
        <v>1019</v>
      </c>
      <c r="K339">
        <v>5</v>
      </c>
    </row>
    <row r="340" spans="1:11" x14ac:dyDescent="0.3">
      <c r="A340" t="s">
        <v>1384</v>
      </c>
      <c r="B340" t="s">
        <v>1059</v>
      </c>
      <c r="C340">
        <v>64</v>
      </c>
      <c r="D340" t="s">
        <v>1024</v>
      </c>
      <c r="E340" s="1">
        <v>45025</v>
      </c>
      <c r="F340">
        <v>80</v>
      </c>
      <c r="G340">
        <v>3.3</v>
      </c>
      <c r="H340">
        <v>2023</v>
      </c>
      <c r="I340" t="s">
        <v>1018</v>
      </c>
      <c r="J340" t="s">
        <v>1019</v>
      </c>
      <c r="K340">
        <v>3</v>
      </c>
    </row>
    <row r="341" spans="1:11" x14ac:dyDescent="0.3">
      <c r="A341" t="s">
        <v>1385</v>
      </c>
      <c r="B341" t="s">
        <v>1047</v>
      </c>
      <c r="C341">
        <v>47</v>
      </c>
      <c r="D341" t="s">
        <v>1017</v>
      </c>
      <c r="E341" s="1">
        <v>45025</v>
      </c>
      <c r="F341">
        <v>132</v>
      </c>
      <c r="G341">
        <v>3.7</v>
      </c>
      <c r="H341">
        <v>2023</v>
      </c>
      <c r="I341" t="s">
        <v>1018</v>
      </c>
      <c r="J341" t="s">
        <v>1034</v>
      </c>
      <c r="K341">
        <v>4</v>
      </c>
    </row>
    <row r="342" spans="1:11" x14ac:dyDescent="0.3">
      <c r="A342" t="s">
        <v>1386</v>
      </c>
      <c r="B342" t="s">
        <v>1023</v>
      </c>
      <c r="C342">
        <v>55</v>
      </c>
      <c r="D342" t="s">
        <v>1038</v>
      </c>
      <c r="E342" s="1">
        <v>45025</v>
      </c>
      <c r="F342">
        <v>27</v>
      </c>
      <c r="G342">
        <v>3.7</v>
      </c>
      <c r="H342">
        <v>2023</v>
      </c>
      <c r="I342" t="s">
        <v>1018</v>
      </c>
      <c r="J342" t="s">
        <v>1034</v>
      </c>
      <c r="K342">
        <v>4</v>
      </c>
    </row>
    <row r="343" spans="1:11" x14ac:dyDescent="0.3">
      <c r="A343" t="s">
        <v>1387</v>
      </c>
      <c r="B343" t="s">
        <v>1041</v>
      </c>
      <c r="C343">
        <v>104</v>
      </c>
      <c r="D343" t="s">
        <v>1038</v>
      </c>
      <c r="E343" s="1">
        <v>45026</v>
      </c>
      <c r="F343">
        <v>68</v>
      </c>
      <c r="G343">
        <v>3.6</v>
      </c>
      <c r="H343">
        <v>2023</v>
      </c>
      <c r="I343" t="s">
        <v>1030</v>
      </c>
      <c r="J343" t="s">
        <v>1019</v>
      </c>
      <c r="K343">
        <v>4</v>
      </c>
    </row>
    <row r="344" spans="1:11" x14ac:dyDescent="0.3">
      <c r="A344" t="s">
        <v>1388</v>
      </c>
      <c r="B344" t="s">
        <v>1047</v>
      </c>
      <c r="C344">
        <v>116</v>
      </c>
      <c r="D344" t="s">
        <v>1024</v>
      </c>
      <c r="E344" s="1">
        <v>45026</v>
      </c>
      <c r="F344">
        <v>22</v>
      </c>
      <c r="G344">
        <v>4.7</v>
      </c>
      <c r="H344">
        <v>2023</v>
      </c>
      <c r="I344" t="s">
        <v>1030</v>
      </c>
      <c r="J344" t="s">
        <v>1019</v>
      </c>
      <c r="K344">
        <v>5</v>
      </c>
    </row>
    <row r="345" spans="1:11" x14ac:dyDescent="0.3">
      <c r="A345" t="s">
        <v>1389</v>
      </c>
      <c r="B345" t="s">
        <v>1065</v>
      </c>
      <c r="C345">
        <v>99</v>
      </c>
      <c r="D345" t="s">
        <v>1038</v>
      </c>
      <c r="E345" s="1">
        <v>45026</v>
      </c>
      <c r="F345">
        <v>42</v>
      </c>
      <c r="G345">
        <v>3.1</v>
      </c>
      <c r="H345">
        <v>2023</v>
      </c>
      <c r="I345" t="s">
        <v>1030</v>
      </c>
      <c r="J345" t="s">
        <v>1019</v>
      </c>
      <c r="K345">
        <v>3</v>
      </c>
    </row>
    <row r="346" spans="1:11" x14ac:dyDescent="0.3">
      <c r="A346" t="s">
        <v>1390</v>
      </c>
      <c r="B346" t="s">
        <v>1041</v>
      </c>
      <c r="C346">
        <v>84</v>
      </c>
      <c r="D346" t="s">
        <v>1038</v>
      </c>
      <c r="E346" s="1">
        <v>45027</v>
      </c>
      <c r="F346">
        <v>38</v>
      </c>
      <c r="G346">
        <v>3.3</v>
      </c>
      <c r="H346">
        <v>2023</v>
      </c>
      <c r="I346" t="s">
        <v>1033</v>
      </c>
      <c r="J346" t="s">
        <v>1019</v>
      </c>
      <c r="K346">
        <v>3</v>
      </c>
    </row>
    <row r="347" spans="1:11" x14ac:dyDescent="0.3">
      <c r="A347" t="s">
        <v>1391</v>
      </c>
      <c r="B347" t="s">
        <v>1068</v>
      </c>
      <c r="C347">
        <v>159</v>
      </c>
      <c r="D347" t="s">
        <v>1038</v>
      </c>
      <c r="E347" s="1">
        <v>45027</v>
      </c>
      <c r="F347">
        <v>42</v>
      </c>
      <c r="G347">
        <v>4.5</v>
      </c>
      <c r="H347">
        <v>2023</v>
      </c>
      <c r="I347" t="s">
        <v>1033</v>
      </c>
      <c r="J347" t="s">
        <v>1031</v>
      </c>
      <c r="K347">
        <v>5</v>
      </c>
    </row>
    <row r="348" spans="1:11" x14ac:dyDescent="0.3">
      <c r="A348" t="s">
        <v>1392</v>
      </c>
      <c r="B348" t="s">
        <v>1036</v>
      </c>
      <c r="C348">
        <v>25</v>
      </c>
      <c r="D348" t="s">
        <v>1017</v>
      </c>
      <c r="E348" s="1">
        <v>45027</v>
      </c>
      <c r="F348">
        <v>75</v>
      </c>
      <c r="G348">
        <v>3.9</v>
      </c>
      <c r="H348">
        <v>2023</v>
      </c>
      <c r="I348" t="s">
        <v>1033</v>
      </c>
      <c r="J348" t="s">
        <v>1056</v>
      </c>
      <c r="K348">
        <v>4</v>
      </c>
    </row>
    <row r="349" spans="1:11" x14ac:dyDescent="0.3">
      <c r="A349" t="s">
        <v>1393</v>
      </c>
      <c r="B349" t="s">
        <v>1068</v>
      </c>
      <c r="C349">
        <v>53</v>
      </c>
      <c r="D349" t="s">
        <v>1042</v>
      </c>
      <c r="E349" s="1">
        <v>45028</v>
      </c>
      <c r="F349">
        <v>23</v>
      </c>
      <c r="G349">
        <v>4.9000000000000004</v>
      </c>
      <c r="H349">
        <v>2023</v>
      </c>
      <c r="I349" t="s">
        <v>1048</v>
      </c>
      <c r="J349" t="s">
        <v>1034</v>
      </c>
      <c r="K349">
        <v>5</v>
      </c>
    </row>
    <row r="350" spans="1:11" x14ac:dyDescent="0.3">
      <c r="A350" t="s">
        <v>1394</v>
      </c>
      <c r="B350" t="s">
        <v>1068</v>
      </c>
      <c r="C350">
        <v>89</v>
      </c>
      <c r="D350" t="s">
        <v>1017</v>
      </c>
      <c r="E350" s="1">
        <v>45028</v>
      </c>
      <c r="F350">
        <v>200</v>
      </c>
      <c r="G350">
        <v>4.8</v>
      </c>
      <c r="H350">
        <v>2023</v>
      </c>
      <c r="I350" t="s">
        <v>1048</v>
      </c>
      <c r="J350" t="s">
        <v>1019</v>
      </c>
      <c r="K350">
        <v>5</v>
      </c>
    </row>
    <row r="351" spans="1:11" x14ac:dyDescent="0.3">
      <c r="A351" t="s">
        <v>1395</v>
      </c>
      <c r="B351" t="s">
        <v>1026</v>
      </c>
      <c r="C351">
        <v>73</v>
      </c>
      <c r="D351" t="s">
        <v>1024</v>
      </c>
      <c r="E351" s="1">
        <v>45029</v>
      </c>
      <c r="F351">
        <v>45</v>
      </c>
      <c r="G351">
        <v>3.6</v>
      </c>
      <c r="H351">
        <v>2023</v>
      </c>
      <c r="I351" t="s">
        <v>1052</v>
      </c>
      <c r="J351" t="s">
        <v>1019</v>
      </c>
      <c r="K351">
        <v>4</v>
      </c>
    </row>
    <row r="352" spans="1:11" x14ac:dyDescent="0.3">
      <c r="A352" t="s">
        <v>1396</v>
      </c>
      <c r="B352" t="s">
        <v>1065</v>
      </c>
      <c r="C352">
        <v>50</v>
      </c>
      <c r="D352" t="s">
        <v>1024</v>
      </c>
      <c r="E352" s="1">
        <v>45029</v>
      </c>
      <c r="F352">
        <v>105</v>
      </c>
      <c r="G352">
        <v>3.5</v>
      </c>
      <c r="H352">
        <v>2023</v>
      </c>
      <c r="I352" t="s">
        <v>1052</v>
      </c>
      <c r="J352" t="s">
        <v>1034</v>
      </c>
      <c r="K352">
        <v>4</v>
      </c>
    </row>
    <row r="353" spans="1:11" x14ac:dyDescent="0.3">
      <c r="A353" t="s">
        <v>1397</v>
      </c>
      <c r="B353" t="s">
        <v>1028</v>
      </c>
      <c r="C353">
        <v>98</v>
      </c>
      <c r="D353" t="s">
        <v>1024</v>
      </c>
      <c r="E353" s="1">
        <v>45029</v>
      </c>
      <c r="F353">
        <v>22</v>
      </c>
      <c r="G353">
        <v>3.8</v>
      </c>
      <c r="H353">
        <v>2023</v>
      </c>
      <c r="I353" t="s">
        <v>1052</v>
      </c>
      <c r="J353" t="s">
        <v>1019</v>
      </c>
      <c r="K353">
        <v>4</v>
      </c>
    </row>
    <row r="354" spans="1:11" x14ac:dyDescent="0.3">
      <c r="A354" t="s">
        <v>1398</v>
      </c>
      <c r="B354" t="s">
        <v>1045</v>
      </c>
      <c r="C354">
        <v>114</v>
      </c>
      <c r="D354" t="s">
        <v>1038</v>
      </c>
      <c r="E354" s="1">
        <v>45030</v>
      </c>
      <c r="F354">
        <v>126</v>
      </c>
      <c r="G354">
        <v>4.4000000000000004</v>
      </c>
      <c r="H354">
        <v>2023</v>
      </c>
      <c r="I354" t="s">
        <v>411</v>
      </c>
      <c r="J354" t="s">
        <v>1019</v>
      </c>
      <c r="K354">
        <v>4</v>
      </c>
    </row>
    <row r="355" spans="1:11" x14ac:dyDescent="0.3">
      <c r="A355" t="s">
        <v>1399</v>
      </c>
      <c r="B355" t="s">
        <v>1059</v>
      </c>
      <c r="C355">
        <v>67</v>
      </c>
      <c r="D355" t="s">
        <v>1038</v>
      </c>
      <c r="E355" s="1">
        <v>45030</v>
      </c>
      <c r="F355">
        <v>35</v>
      </c>
      <c r="G355">
        <v>3</v>
      </c>
      <c r="H355">
        <v>2023</v>
      </c>
      <c r="I355" t="s">
        <v>411</v>
      </c>
      <c r="J355" t="s">
        <v>1019</v>
      </c>
      <c r="K355">
        <v>3</v>
      </c>
    </row>
    <row r="356" spans="1:11" x14ac:dyDescent="0.3">
      <c r="A356" t="s">
        <v>1400</v>
      </c>
      <c r="B356" t="s">
        <v>1023</v>
      </c>
      <c r="C356">
        <v>91</v>
      </c>
      <c r="D356" t="s">
        <v>1024</v>
      </c>
      <c r="E356" s="1">
        <v>45030</v>
      </c>
      <c r="F356">
        <v>84</v>
      </c>
      <c r="G356">
        <v>4.5</v>
      </c>
      <c r="H356">
        <v>2023</v>
      </c>
      <c r="I356" t="s">
        <v>411</v>
      </c>
      <c r="J356" t="s">
        <v>1019</v>
      </c>
      <c r="K356">
        <v>5</v>
      </c>
    </row>
    <row r="357" spans="1:11" x14ac:dyDescent="0.3">
      <c r="A357" t="s">
        <v>1401</v>
      </c>
      <c r="B357" t="s">
        <v>1098</v>
      </c>
      <c r="C357">
        <v>67</v>
      </c>
      <c r="D357" t="s">
        <v>1024</v>
      </c>
      <c r="E357" s="1">
        <v>45031</v>
      </c>
      <c r="F357">
        <v>172</v>
      </c>
      <c r="G357">
        <v>4.5</v>
      </c>
      <c r="H357">
        <v>2023</v>
      </c>
      <c r="I357" t="s">
        <v>1062</v>
      </c>
      <c r="J357" t="s">
        <v>1019</v>
      </c>
      <c r="K357">
        <v>5</v>
      </c>
    </row>
    <row r="358" spans="1:11" x14ac:dyDescent="0.3">
      <c r="A358" t="s">
        <v>1402</v>
      </c>
      <c r="B358" t="s">
        <v>1045</v>
      </c>
      <c r="C358">
        <v>139</v>
      </c>
      <c r="D358" t="s">
        <v>1017</v>
      </c>
      <c r="E358" s="1">
        <v>45031</v>
      </c>
      <c r="F358">
        <v>114</v>
      </c>
      <c r="G358">
        <v>4</v>
      </c>
      <c r="H358">
        <v>2023</v>
      </c>
      <c r="I358" t="s">
        <v>1062</v>
      </c>
      <c r="J358" t="s">
        <v>1031</v>
      </c>
      <c r="K358">
        <v>4</v>
      </c>
    </row>
    <row r="359" spans="1:11" x14ac:dyDescent="0.3">
      <c r="A359" t="s">
        <v>1403</v>
      </c>
      <c r="B359" t="s">
        <v>1098</v>
      </c>
      <c r="C359">
        <v>102</v>
      </c>
      <c r="D359" t="s">
        <v>1017</v>
      </c>
      <c r="E359" s="1">
        <v>45031</v>
      </c>
      <c r="F359">
        <v>60</v>
      </c>
      <c r="G359">
        <v>3.8</v>
      </c>
      <c r="H359">
        <v>2023</v>
      </c>
      <c r="I359" t="s">
        <v>1062</v>
      </c>
      <c r="J359" t="s">
        <v>1019</v>
      </c>
      <c r="K359">
        <v>4</v>
      </c>
    </row>
    <row r="360" spans="1:11" x14ac:dyDescent="0.3">
      <c r="A360" t="s">
        <v>1404</v>
      </c>
      <c r="B360" t="s">
        <v>1078</v>
      </c>
      <c r="C360">
        <v>108</v>
      </c>
      <c r="D360" t="s">
        <v>1029</v>
      </c>
      <c r="E360" s="1">
        <v>45031</v>
      </c>
      <c r="F360">
        <v>26</v>
      </c>
      <c r="G360">
        <v>3.3</v>
      </c>
      <c r="H360">
        <v>2023</v>
      </c>
      <c r="I360" t="s">
        <v>1062</v>
      </c>
      <c r="J360" t="s">
        <v>1019</v>
      </c>
      <c r="K360">
        <v>3</v>
      </c>
    </row>
    <row r="361" spans="1:11" x14ac:dyDescent="0.3">
      <c r="A361" t="s">
        <v>1405</v>
      </c>
      <c r="B361" t="s">
        <v>1036</v>
      </c>
      <c r="C361">
        <v>66</v>
      </c>
      <c r="D361" t="s">
        <v>1024</v>
      </c>
      <c r="E361" s="1">
        <v>45031</v>
      </c>
      <c r="F361">
        <v>210</v>
      </c>
      <c r="G361">
        <v>4.3</v>
      </c>
      <c r="H361">
        <v>2023</v>
      </c>
      <c r="I361" t="s">
        <v>1062</v>
      </c>
      <c r="J361" t="s">
        <v>1019</v>
      </c>
      <c r="K361">
        <v>4</v>
      </c>
    </row>
    <row r="362" spans="1:11" x14ac:dyDescent="0.3">
      <c r="A362" t="s">
        <v>1406</v>
      </c>
      <c r="B362" t="s">
        <v>1055</v>
      </c>
      <c r="C362">
        <v>85</v>
      </c>
      <c r="D362" t="s">
        <v>1017</v>
      </c>
      <c r="E362" s="1">
        <v>45031</v>
      </c>
      <c r="F362">
        <v>129</v>
      </c>
      <c r="G362">
        <v>4.2</v>
      </c>
      <c r="H362">
        <v>2023</v>
      </c>
      <c r="I362" t="s">
        <v>1062</v>
      </c>
      <c r="J362" t="s">
        <v>1019</v>
      </c>
      <c r="K362">
        <v>4</v>
      </c>
    </row>
    <row r="363" spans="1:11" x14ac:dyDescent="0.3">
      <c r="A363" t="s">
        <v>1407</v>
      </c>
      <c r="B363" t="s">
        <v>1059</v>
      </c>
      <c r="C363">
        <v>55</v>
      </c>
      <c r="D363" t="s">
        <v>1029</v>
      </c>
      <c r="E363" s="1">
        <v>45031</v>
      </c>
      <c r="F363">
        <v>215</v>
      </c>
      <c r="G363">
        <v>4.3</v>
      </c>
      <c r="H363">
        <v>2023</v>
      </c>
      <c r="I363" t="s">
        <v>1062</v>
      </c>
      <c r="J363" t="s">
        <v>1034</v>
      </c>
      <c r="K363">
        <v>4</v>
      </c>
    </row>
    <row r="364" spans="1:11" x14ac:dyDescent="0.3">
      <c r="A364" t="s">
        <v>1408</v>
      </c>
      <c r="B364" t="s">
        <v>1078</v>
      </c>
      <c r="C364">
        <v>17</v>
      </c>
      <c r="D364" t="s">
        <v>1042</v>
      </c>
      <c r="E364" s="1">
        <v>45031</v>
      </c>
      <c r="F364">
        <v>69</v>
      </c>
      <c r="G364">
        <v>4.5999999999999996</v>
      </c>
      <c r="H364">
        <v>2023</v>
      </c>
      <c r="I364" t="s">
        <v>1062</v>
      </c>
      <c r="J364" t="s">
        <v>1056</v>
      </c>
      <c r="K364">
        <v>5</v>
      </c>
    </row>
    <row r="365" spans="1:11" x14ac:dyDescent="0.3">
      <c r="A365" t="s">
        <v>1409</v>
      </c>
      <c r="B365" t="s">
        <v>1059</v>
      </c>
      <c r="C365">
        <v>128</v>
      </c>
      <c r="D365" t="s">
        <v>1042</v>
      </c>
      <c r="E365" s="1">
        <v>45031</v>
      </c>
      <c r="F365">
        <v>140</v>
      </c>
      <c r="G365">
        <v>3</v>
      </c>
      <c r="H365">
        <v>2023</v>
      </c>
      <c r="I365" t="s">
        <v>1062</v>
      </c>
      <c r="J365" t="s">
        <v>1031</v>
      </c>
      <c r="K365">
        <v>3</v>
      </c>
    </row>
    <row r="366" spans="1:11" x14ac:dyDescent="0.3">
      <c r="A366" t="s">
        <v>1410</v>
      </c>
      <c r="B366" t="s">
        <v>1065</v>
      </c>
      <c r="C366">
        <v>45</v>
      </c>
      <c r="D366" t="s">
        <v>1029</v>
      </c>
      <c r="E366" s="1">
        <v>45032</v>
      </c>
      <c r="F366">
        <v>156</v>
      </c>
      <c r="G366">
        <v>2.7</v>
      </c>
      <c r="H366">
        <v>2023</v>
      </c>
      <c r="I366" t="s">
        <v>1018</v>
      </c>
      <c r="J366" t="s">
        <v>1034</v>
      </c>
      <c r="K366">
        <v>3</v>
      </c>
    </row>
    <row r="367" spans="1:11" x14ac:dyDescent="0.3">
      <c r="A367" t="s">
        <v>1411</v>
      </c>
      <c r="B367" t="s">
        <v>1078</v>
      </c>
      <c r="C367">
        <v>41</v>
      </c>
      <c r="D367" t="s">
        <v>1042</v>
      </c>
      <c r="E367" s="1">
        <v>45032</v>
      </c>
      <c r="F367">
        <v>164</v>
      </c>
      <c r="G367">
        <v>3.1</v>
      </c>
      <c r="H367">
        <v>2023</v>
      </c>
      <c r="I367" t="s">
        <v>1018</v>
      </c>
      <c r="J367" t="s">
        <v>1034</v>
      </c>
      <c r="K367">
        <v>3</v>
      </c>
    </row>
    <row r="368" spans="1:11" x14ac:dyDescent="0.3">
      <c r="A368" t="s">
        <v>1412</v>
      </c>
      <c r="B368" t="s">
        <v>1047</v>
      </c>
      <c r="C368">
        <v>49</v>
      </c>
      <c r="D368" t="s">
        <v>1042</v>
      </c>
      <c r="E368" s="1">
        <v>45032</v>
      </c>
      <c r="F368">
        <v>195</v>
      </c>
      <c r="G368">
        <v>2.6</v>
      </c>
      <c r="H368">
        <v>2023</v>
      </c>
      <c r="I368" t="s">
        <v>1018</v>
      </c>
      <c r="J368" t="s">
        <v>1034</v>
      </c>
      <c r="K368">
        <v>3</v>
      </c>
    </row>
    <row r="369" spans="1:11" x14ac:dyDescent="0.3">
      <c r="A369" t="s">
        <v>1413</v>
      </c>
      <c r="B369" t="s">
        <v>1021</v>
      </c>
      <c r="C369">
        <v>21</v>
      </c>
      <c r="D369" t="s">
        <v>1038</v>
      </c>
      <c r="E369" s="1">
        <v>45032</v>
      </c>
      <c r="F369">
        <v>74</v>
      </c>
      <c r="G369">
        <v>4.5999999999999996</v>
      </c>
      <c r="H369">
        <v>2023</v>
      </c>
      <c r="I369" t="s">
        <v>1018</v>
      </c>
      <c r="J369" t="s">
        <v>1056</v>
      </c>
      <c r="K369">
        <v>5</v>
      </c>
    </row>
    <row r="370" spans="1:11" x14ac:dyDescent="0.3">
      <c r="A370" t="s">
        <v>1414</v>
      </c>
      <c r="B370" t="s">
        <v>1068</v>
      </c>
      <c r="C370">
        <v>133</v>
      </c>
      <c r="D370" t="s">
        <v>1029</v>
      </c>
      <c r="E370" s="1">
        <v>45032</v>
      </c>
      <c r="F370">
        <v>100</v>
      </c>
      <c r="G370">
        <v>4</v>
      </c>
      <c r="H370">
        <v>2023</v>
      </c>
      <c r="I370" t="s">
        <v>1018</v>
      </c>
      <c r="J370" t="s">
        <v>1031</v>
      </c>
      <c r="K370">
        <v>4</v>
      </c>
    </row>
    <row r="371" spans="1:11" x14ac:dyDescent="0.3">
      <c r="A371" t="s">
        <v>1415</v>
      </c>
      <c r="B371" t="s">
        <v>1016</v>
      </c>
      <c r="C371">
        <v>135</v>
      </c>
      <c r="D371" t="s">
        <v>1024</v>
      </c>
      <c r="E371" s="1">
        <v>45032</v>
      </c>
      <c r="F371">
        <v>185</v>
      </c>
      <c r="G371">
        <v>4.5</v>
      </c>
      <c r="H371">
        <v>2023</v>
      </c>
      <c r="I371" t="s">
        <v>1018</v>
      </c>
      <c r="J371" t="s">
        <v>1031</v>
      </c>
      <c r="K371">
        <v>5</v>
      </c>
    </row>
    <row r="372" spans="1:11" x14ac:dyDescent="0.3">
      <c r="A372" t="s">
        <v>1416</v>
      </c>
      <c r="B372" t="s">
        <v>1045</v>
      </c>
      <c r="C372">
        <v>69</v>
      </c>
      <c r="D372" t="s">
        <v>1029</v>
      </c>
      <c r="E372" s="1">
        <v>45032</v>
      </c>
      <c r="F372">
        <v>130</v>
      </c>
      <c r="G372">
        <v>1.9</v>
      </c>
      <c r="H372">
        <v>2023</v>
      </c>
      <c r="I372" t="s">
        <v>1018</v>
      </c>
      <c r="J372" t="s">
        <v>1019</v>
      </c>
      <c r="K372">
        <v>2</v>
      </c>
    </row>
    <row r="373" spans="1:11" x14ac:dyDescent="0.3">
      <c r="A373" t="s">
        <v>1417</v>
      </c>
      <c r="B373" t="s">
        <v>1041</v>
      </c>
      <c r="C373">
        <v>110</v>
      </c>
      <c r="D373" t="s">
        <v>1038</v>
      </c>
      <c r="E373" s="1">
        <v>45033</v>
      </c>
      <c r="F373">
        <v>21</v>
      </c>
      <c r="G373">
        <v>2.6</v>
      </c>
      <c r="H373">
        <v>2023</v>
      </c>
      <c r="I373" t="s">
        <v>1030</v>
      </c>
      <c r="J373" t="s">
        <v>1019</v>
      </c>
      <c r="K373">
        <v>3</v>
      </c>
    </row>
    <row r="374" spans="1:11" x14ac:dyDescent="0.3">
      <c r="A374" t="s">
        <v>1418</v>
      </c>
      <c r="B374" t="s">
        <v>1098</v>
      </c>
      <c r="C374">
        <v>64</v>
      </c>
      <c r="D374" t="s">
        <v>1017</v>
      </c>
      <c r="E374" s="1">
        <v>45033</v>
      </c>
      <c r="F374">
        <v>88</v>
      </c>
      <c r="G374">
        <v>4.3</v>
      </c>
      <c r="H374">
        <v>2023</v>
      </c>
      <c r="I374" t="s">
        <v>1030</v>
      </c>
      <c r="J374" t="s">
        <v>1019</v>
      </c>
      <c r="K374">
        <v>4</v>
      </c>
    </row>
    <row r="375" spans="1:11" x14ac:dyDescent="0.3">
      <c r="A375" t="s">
        <v>1419</v>
      </c>
      <c r="B375" t="s">
        <v>1023</v>
      </c>
      <c r="C375">
        <v>105</v>
      </c>
      <c r="D375" t="s">
        <v>1042</v>
      </c>
      <c r="E375" s="1">
        <v>45033</v>
      </c>
      <c r="F375">
        <v>35</v>
      </c>
      <c r="G375">
        <v>4.4000000000000004</v>
      </c>
      <c r="H375">
        <v>2023</v>
      </c>
      <c r="I375" t="s">
        <v>1030</v>
      </c>
      <c r="J375" t="s">
        <v>1019</v>
      </c>
      <c r="K375">
        <v>4</v>
      </c>
    </row>
    <row r="376" spans="1:11" x14ac:dyDescent="0.3">
      <c r="A376" t="s">
        <v>1420</v>
      </c>
      <c r="B376" t="s">
        <v>1098</v>
      </c>
      <c r="C376">
        <v>165</v>
      </c>
      <c r="D376" t="s">
        <v>1024</v>
      </c>
      <c r="E376" s="1">
        <v>45033</v>
      </c>
      <c r="F376">
        <v>68</v>
      </c>
      <c r="G376">
        <v>4.3</v>
      </c>
      <c r="H376">
        <v>2023</v>
      </c>
      <c r="I376" t="s">
        <v>1030</v>
      </c>
      <c r="J376" t="s">
        <v>1031</v>
      </c>
      <c r="K376">
        <v>4</v>
      </c>
    </row>
    <row r="377" spans="1:11" x14ac:dyDescent="0.3">
      <c r="A377" t="s">
        <v>1421</v>
      </c>
      <c r="B377" t="s">
        <v>1065</v>
      </c>
      <c r="C377">
        <v>125</v>
      </c>
      <c r="D377" t="s">
        <v>1024</v>
      </c>
      <c r="E377" s="1">
        <v>45033</v>
      </c>
      <c r="F377">
        <v>148</v>
      </c>
      <c r="G377">
        <v>4.5</v>
      </c>
      <c r="H377">
        <v>2023</v>
      </c>
      <c r="I377" t="s">
        <v>1030</v>
      </c>
      <c r="J377" t="s">
        <v>1031</v>
      </c>
      <c r="K377">
        <v>5</v>
      </c>
    </row>
    <row r="378" spans="1:11" x14ac:dyDescent="0.3">
      <c r="A378" t="s">
        <v>1422</v>
      </c>
      <c r="B378" t="s">
        <v>1023</v>
      </c>
      <c r="C378">
        <v>88</v>
      </c>
      <c r="D378" t="s">
        <v>1017</v>
      </c>
      <c r="E378" s="1">
        <v>45034</v>
      </c>
      <c r="F378">
        <v>81</v>
      </c>
      <c r="G378">
        <v>4.2</v>
      </c>
      <c r="H378">
        <v>2023</v>
      </c>
      <c r="I378" t="s">
        <v>1033</v>
      </c>
      <c r="J378" t="s">
        <v>1019</v>
      </c>
      <c r="K378">
        <v>4</v>
      </c>
    </row>
    <row r="379" spans="1:11" x14ac:dyDescent="0.3">
      <c r="A379" t="s">
        <v>1423</v>
      </c>
      <c r="B379" t="s">
        <v>1045</v>
      </c>
      <c r="C379">
        <v>6</v>
      </c>
      <c r="D379" t="s">
        <v>1017</v>
      </c>
      <c r="E379" s="1">
        <v>45034</v>
      </c>
      <c r="F379">
        <v>75</v>
      </c>
      <c r="G379">
        <v>3.9</v>
      </c>
      <c r="H379">
        <v>2023</v>
      </c>
      <c r="I379" t="s">
        <v>1033</v>
      </c>
      <c r="J379" t="s">
        <v>1186</v>
      </c>
      <c r="K379">
        <v>4</v>
      </c>
    </row>
    <row r="380" spans="1:11" x14ac:dyDescent="0.3">
      <c r="A380" t="s">
        <v>1424</v>
      </c>
      <c r="B380" t="s">
        <v>1055</v>
      </c>
      <c r="C380">
        <v>69</v>
      </c>
      <c r="D380" t="s">
        <v>1029</v>
      </c>
      <c r="E380" s="1">
        <v>45035</v>
      </c>
      <c r="F380">
        <v>32</v>
      </c>
      <c r="G380">
        <v>3.6</v>
      </c>
      <c r="H380">
        <v>2023</v>
      </c>
      <c r="I380" t="s">
        <v>1048</v>
      </c>
      <c r="J380" t="s">
        <v>1019</v>
      </c>
      <c r="K380">
        <v>4</v>
      </c>
    </row>
    <row r="381" spans="1:11" x14ac:dyDescent="0.3">
      <c r="A381" t="s">
        <v>1425</v>
      </c>
      <c r="B381" t="s">
        <v>1078</v>
      </c>
      <c r="C381">
        <v>107</v>
      </c>
      <c r="D381" t="s">
        <v>1029</v>
      </c>
      <c r="E381" s="1">
        <v>45035</v>
      </c>
      <c r="F381">
        <v>156</v>
      </c>
      <c r="G381">
        <v>3.8</v>
      </c>
      <c r="H381">
        <v>2023</v>
      </c>
      <c r="I381" t="s">
        <v>1048</v>
      </c>
      <c r="J381" t="s">
        <v>1019</v>
      </c>
      <c r="K381">
        <v>4</v>
      </c>
    </row>
    <row r="382" spans="1:11" x14ac:dyDescent="0.3">
      <c r="A382" t="s">
        <v>1426</v>
      </c>
      <c r="B382" t="s">
        <v>1021</v>
      </c>
      <c r="C382">
        <v>90</v>
      </c>
      <c r="D382" t="s">
        <v>1024</v>
      </c>
      <c r="E382" s="1">
        <v>45035</v>
      </c>
      <c r="F382">
        <v>99</v>
      </c>
      <c r="G382">
        <v>4.9000000000000004</v>
      </c>
      <c r="H382">
        <v>2023</v>
      </c>
      <c r="I382" t="s">
        <v>1048</v>
      </c>
      <c r="J382" t="s">
        <v>1019</v>
      </c>
      <c r="K382">
        <v>5</v>
      </c>
    </row>
    <row r="383" spans="1:11" x14ac:dyDescent="0.3">
      <c r="A383" t="s">
        <v>1427</v>
      </c>
      <c r="B383" t="s">
        <v>1016</v>
      </c>
      <c r="C383">
        <v>120</v>
      </c>
      <c r="D383" t="s">
        <v>1042</v>
      </c>
      <c r="E383" s="1">
        <v>45035</v>
      </c>
      <c r="F383">
        <v>26</v>
      </c>
      <c r="G383">
        <v>4</v>
      </c>
      <c r="H383">
        <v>2023</v>
      </c>
      <c r="I383" t="s">
        <v>1048</v>
      </c>
      <c r="J383" t="s">
        <v>1019</v>
      </c>
      <c r="K383">
        <v>4</v>
      </c>
    </row>
    <row r="384" spans="1:11" x14ac:dyDescent="0.3">
      <c r="A384" t="s">
        <v>1428</v>
      </c>
      <c r="B384" t="s">
        <v>1028</v>
      </c>
      <c r="C384">
        <v>47</v>
      </c>
      <c r="D384" t="s">
        <v>1029</v>
      </c>
      <c r="E384" s="1">
        <v>45035</v>
      </c>
      <c r="F384">
        <v>84</v>
      </c>
      <c r="G384">
        <v>4.0999999999999996</v>
      </c>
      <c r="H384">
        <v>2023</v>
      </c>
      <c r="I384" t="s">
        <v>1048</v>
      </c>
      <c r="J384" t="s">
        <v>1034</v>
      </c>
      <c r="K384">
        <v>4</v>
      </c>
    </row>
    <row r="385" spans="1:11" x14ac:dyDescent="0.3">
      <c r="A385" t="s">
        <v>1429</v>
      </c>
      <c r="B385" t="s">
        <v>1026</v>
      </c>
      <c r="C385">
        <v>60</v>
      </c>
      <c r="D385" t="s">
        <v>1042</v>
      </c>
      <c r="E385" s="1">
        <v>45035</v>
      </c>
      <c r="F385">
        <v>84</v>
      </c>
      <c r="G385">
        <v>4.8</v>
      </c>
      <c r="H385">
        <v>2023</v>
      </c>
      <c r="I385" t="s">
        <v>1048</v>
      </c>
      <c r="J385" t="s">
        <v>1034</v>
      </c>
      <c r="K385">
        <v>5</v>
      </c>
    </row>
    <row r="386" spans="1:11" x14ac:dyDescent="0.3">
      <c r="A386" t="s">
        <v>1430</v>
      </c>
      <c r="B386" t="s">
        <v>1059</v>
      </c>
      <c r="C386">
        <v>64</v>
      </c>
      <c r="D386" t="s">
        <v>1024</v>
      </c>
      <c r="E386" s="1">
        <v>45035</v>
      </c>
      <c r="F386">
        <v>170</v>
      </c>
      <c r="G386">
        <v>2.2999999999999998</v>
      </c>
      <c r="H386">
        <v>2023</v>
      </c>
      <c r="I386" t="s">
        <v>1048</v>
      </c>
      <c r="J386" t="s">
        <v>1019</v>
      </c>
      <c r="K386">
        <v>2</v>
      </c>
    </row>
    <row r="387" spans="1:11" x14ac:dyDescent="0.3">
      <c r="A387" t="s">
        <v>1431</v>
      </c>
      <c r="B387" t="s">
        <v>1098</v>
      </c>
      <c r="C387">
        <v>62</v>
      </c>
      <c r="D387" t="s">
        <v>1029</v>
      </c>
      <c r="E387" s="1">
        <v>45035</v>
      </c>
      <c r="F387">
        <v>35</v>
      </c>
      <c r="G387">
        <v>4.4000000000000004</v>
      </c>
      <c r="H387">
        <v>2023</v>
      </c>
      <c r="I387" t="s">
        <v>1048</v>
      </c>
      <c r="J387" t="s">
        <v>1019</v>
      </c>
      <c r="K387">
        <v>4</v>
      </c>
    </row>
    <row r="388" spans="1:11" x14ac:dyDescent="0.3">
      <c r="A388" t="s">
        <v>1432</v>
      </c>
      <c r="B388" t="s">
        <v>1041</v>
      </c>
      <c r="C388">
        <v>88</v>
      </c>
      <c r="D388" t="s">
        <v>1029</v>
      </c>
      <c r="E388" s="1">
        <v>45036</v>
      </c>
      <c r="F388">
        <v>35</v>
      </c>
      <c r="G388">
        <v>3.8</v>
      </c>
      <c r="H388">
        <v>2023</v>
      </c>
      <c r="I388" t="s">
        <v>1052</v>
      </c>
      <c r="J388" t="s">
        <v>1019</v>
      </c>
      <c r="K388">
        <v>4</v>
      </c>
    </row>
    <row r="389" spans="1:11" x14ac:dyDescent="0.3">
      <c r="A389" t="s">
        <v>1433</v>
      </c>
      <c r="B389" t="s">
        <v>1065</v>
      </c>
      <c r="C389">
        <v>116</v>
      </c>
      <c r="D389" t="s">
        <v>1029</v>
      </c>
      <c r="E389" s="1">
        <v>45036</v>
      </c>
      <c r="F389">
        <v>132</v>
      </c>
      <c r="G389">
        <v>5</v>
      </c>
      <c r="H389">
        <v>2023</v>
      </c>
      <c r="I389" t="s">
        <v>1052</v>
      </c>
      <c r="J389" t="s">
        <v>1019</v>
      </c>
      <c r="K389">
        <v>5</v>
      </c>
    </row>
    <row r="390" spans="1:11" x14ac:dyDescent="0.3">
      <c r="A390" t="s">
        <v>1434</v>
      </c>
      <c r="B390" t="s">
        <v>1021</v>
      </c>
      <c r="C390">
        <v>82</v>
      </c>
      <c r="D390" t="s">
        <v>1017</v>
      </c>
      <c r="E390" s="1">
        <v>45037</v>
      </c>
      <c r="F390">
        <v>144</v>
      </c>
      <c r="G390">
        <v>3.3</v>
      </c>
      <c r="H390">
        <v>2023</v>
      </c>
      <c r="I390" t="s">
        <v>411</v>
      </c>
      <c r="J390" t="s">
        <v>1019</v>
      </c>
      <c r="K390">
        <v>3</v>
      </c>
    </row>
    <row r="391" spans="1:11" x14ac:dyDescent="0.3">
      <c r="A391" t="s">
        <v>1435</v>
      </c>
      <c r="B391" t="s">
        <v>1098</v>
      </c>
      <c r="C391">
        <v>99</v>
      </c>
      <c r="D391" t="s">
        <v>1024</v>
      </c>
      <c r="E391" s="1">
        <v>45037</v>
      </c>
      <c r="F391">
        <v>48</v>
      </c>
      <c r="G391">
        <v>5</v>
      </c>
      <c r="H391">
        <v>2023</v>
      </c>
      <c r="I391" t="s">
        <v>411</v>
      </c>
      <c r="J391" t="s">
        <v>1019</v>
      </c>
      <c r="K391">
        <v>5</v>
      </c>
    </row>
    <row r="392" spans="1:11" x14ac:dyDescent="0.3">
      <c r="A392" t="s">
        <v>1436</v>
      </c>
      <c r="B392" t="s">
        <v>1098</v>
      </c>
      <c r="C392">
        <v>55</v>
      </c>
      <c r="D392" t="s">
        <v>1017</v>
      </c>
      <c r="E392" s="1">
        <v>45037</v>
      </c>
      <c r="F392">
        <v>200</v>
      </c>
      <c r="G392">
        <v>2.2999999999999998</v>
      </c>
      <c r="H392">
        <v>2023</v>
      </c>
      <c r="I392" t="s">
        <v>411</v>
      </c>
      <c r="J392" t="s">
        <v>1034</v>
      </c>
      <c r="K392">
        <v>2</v>
      </c>
    </row>
    <row r="393" spans="1:11" x14ac:dyDescent="0.3">
      <c r="A393" t="s">
        <v>1437</v>
      </c>
      <c r="B393" t="s">
        <v>1059</v>
      </c>
      <c r="C393">
        <v>61</v>
      </c>
      <c r="D393" t="s">
        <v>1042</v>
      </c>
      <c r="E393" s="1">
        <v>45037</v>
      </c>
      <c r="F393">
        <v>38</v>
      </c>
      <c r="G393">
        <v>4.8</v>
      </c>
      <c r="H393">
        <v>2023</v>
      </c>
      <c r="I393" t="s">
        <v>411</v>
      </c>
      <c r="J393" t="s">
        <v>1019</v>
      </c>
      <c r="K393">
        <v>5</v>
      </c>
    </row>
    <row r="394" spans="1:11" x14ac:dyDescent="0.3">
      <c r="A394" t="s">
        <v>1438</v>
      </c>
      <c r="B394" t="s">
        <v>1065</v>
      </c>
      <c r="C394">
        <v>36</v>
      </c>
      <c r="D394" t="s">
        <v>1038</v>
      </c>
      <c r="E394" s="1">
        <v>45037</v>
      </c>
      <c r="F394">
        <v>81</v>
      </c>
      <c r="G394">
        <v>3.7</v>
      </c>
      <c r="H394">
        <v>2023</v>
      </c>
      <c r="I394" t="s">
        <v>411</v>
      </c>
      <c r="J394" t="s">
        <v>1034</v>
      </c>
      <c r="K394">
        <v>4</v>
      </c>
    </row>
    <row r="395" spans="1:11" x14ac:dyDescent="0.3">
      <c r="A395" t="s">
        <v>1439</v>
      </c>
      <c r="B395" t="s">
        <v>1021</v>
      </c>
      <c r="C395">
        <v>123</v>
      </c>
      <c r="D395" t="s">
        <v>1029</v>
      </c>
      <c r="E395" s="1">
        <v>45037</v>
      </c>
      <c r="F395">
        <v>120</v>
      </c>
      <c r="G395">
        <v>4.2</v>
      </c>
      <c r="H395">
        <v>2023</v>
      </c>
      <c r="I395" t="s">
        <v>411</v>
      </c>
      <c r="J395" t="s">
        <v>1031</v>
      </c>
      <c r="K395">
        <v>4</v>
      </c>
    </row>
    <row r="396" spans="1:11" x14ac:dyDescent="0.3">
      <c r="A396" t="s">
        <v>1440</v>
      </c>
      <c r="B396" t="s">
        <v>1047</v>
      </c>
      <c r="C396">
        <v>24</v>
      </c>
      <c r="D396" t="s">
        <v>1042</v>
      </c>
      <c r="E396" s="1">
        <v>45037</v>
      </c>
      <c r="F396">
        <v>74</v>
      </c>
      <c r="G396">
        <v>4.8</v>
      </c>
      <c r="H396">
        <v>2023</v>
      </c>
      <c r="I396" t="s">
        <v>411</v>
      </c>
      <c r="J396" t="s">
        <v>1056</v>
      </c>
      <c r="K396">
        <v>5</v>
      </c>
    </row>
    <row r="397" spans="1:11" x14ac:dyDescent="0.3">
      <c r="A397" t="s">
        <v>1441</v>
      </c>
      <c r="B397" t="s">
        <v>1021</v>
      </c>
      <c r="C397">
        <v>43</v>
      </c>
      <c r="D397" t="s">
        <v>1029</v>
      </c>
      <c r="E397" s="1">
        <v>45038</v>
      </c>
      <c r="F397">
        <v>128</v>
      </c>
      <c r="G397">
        <v>4.7</v>
      </c>
      <c r="H397">
        <v>2023</v>
      </c>
      <c r="I397" t="s">
        <v>1062</v>
      </c>
      <c r="J397" t="s">
        <v>1034</v>
      </c>
      <c r="K397">
        <v>5</v>
      </c>
    </row>
    <row r="398" spans="1:11" x14ac:dyDescent="0.3">
      <c r="A398" t="s">
        <v>1442</v>
      </c>
      <c r="B398" t="s">
        <v>1026</v>
      </c>
      <c r="C398">
        <v>95</v>
      </c>
      <c r="D398" t="s">
        <v>1024</v>
      </c>
      <c r="E398" s="1">
        <v>45038</v>
      </c>
      <c r="F398">
        <v>21</v>
      </c>
      <c r="G398">
        <v>3.9</v>
      </c>
      <c r="H398">
        <v>2023</v>
      </c>
      <c r="I398" t="s">
        <v>1062</v>
      </c>
      <c r="J398" t="s">
        <v>1019</v>
      </c>
      <c r="K398">
        <v>4</v>
      </c>
    </row>
    <row r="399" spans="1:11" x14ac:dyDescent="0.3">
      <c r="A399" t="s">
        <v>1443</v>
      </c>
      <c r="B399" t="s">
        <v>1098</v>
      </c>
      <c r="C399">
        <v>53</v>
      </c>
      <c r="D399" t="s">
        <v>1029</v>
      </c>
      <c r="E399" s="1">
        <v>45038</v>
      </c>
      <c r="F399">
        <v>110</v>
      </c>
      <c r="G399">
        <v>4.3</v>
      </c>
      <c r="H399">
        <v>2023</v>
      </c>
      <c r="I399" t="s">
        <v>1062</v>
      </c>
      <c r="J399" t="s">
        <v>1034</v>
      </c>
      <c r="K399">
        <v>4</v>
      </c>
    </row>
    <row r="400" spans="1:11" x14ac:dyDescent="0.3">
      <c r="A400" t="s">
        <v>1444</v>
      </c>
      <c r="B400" t="s">
        <v>1021</v>
      </c>
      <c r="C400">
        <v>113</v>
      </c>
      <c r="D400" t="s">
        <v>1029</v>
      </c>
      <c r="E400" s="1">
        <v>45038</v>
      </c>
      <c r="F400">
        <v>145</v>
      </c>
      <c r="G400">
        <v>4</v>
      </c>
      <c r="H400">
        <v>2023</v>
      </c>
      <c r="I400" t="s">
        <v>1062</v>
      </c>
      <c r="J400" t="s">
        <v>1019</v>
      </c>
      <c r="K400">
        <v>4</v>
      </c>
    </row>
    <row r="401" spans="1:11" x14ac:dyDescent="0.3">
      <c r="A401" t="s">
        <v>1445</v>
      </c>
      <c r="B401" t="s">
        <v>1098</v>
      </c>
      <c r="C401">
        <v>89</v>
      </c>
      <c r="D401" t="s">
        <v>1038</v>
      </c>
      <c r="E401" s="1">
        <v>45038</v>
      </c>
      <c r="F401">
        <v>129</v>
      </c>
      <c r="G401">
        <v>4</v>
      </c>
      <c r="H401">
        <v>2023</v>
      </c>
      <c r="I401" t="s">
        <v>1062</v>
      </c>
      <c r="J401" t="s">
        <v>1019</v>
      </c>
      <c r="K401">
        <v>4</v>
      </c>
    </row>
    <row r="402" spans="1:11" x14ac:dyDescent="0.3">
      <c r="A402" t="s">
        <v>1446</v>
      </c>
      <c r="B402" t="s">
        <v>1041</v>
      </c>
      <c r="C402">
        <v>84</v>
      </c>
      <c r="D402" t="s">
        <v>1017</v>
      </c>
      <c r="E402" s="1">
        <v>45038</v>
      </c>
      <c r="F402">
        <v>156</v>
      </c>
      <c r="G402">
        <v>3.2</v>
      </c>
      <c r="H402">
        <v>2023</v>
      </c>
      <c r="I402" t="s">
        <v>1062</v>
      </c>
      <c r="J402" t="s">
        <v>1019</v>
      </c>
      <c r="K402">
        <v>3</v>
      </c>
    </row>
    <row r="403" spans="1:11" x14ac:dyDescent="0.3">
      <c r="A403" t="s">
        <v>1447</v>
      </c>
      <c r="B403" t="s">
        <v>1047</v>
      </c>
      <c r="C403">
        <v>130</v>
      </c>
      <c r="D403" t="s">
        <v>1029</v>
      </c>
      <c r="E403" s="1">
        <v>45039</v>
      </c>
      <c r="F403">
        <v>120</v>
      </c>
      <c r="G403">
        <v>3.8</v>
      </c>
      <c r="H403">
        <v>2023</v>
      </c>
      <c r="I403" t="s">
        <v>1018</v>
      </c>
      <c r="J403" t="s">
        <v>1031</v>
      </c>
      <c r="K403">
        <v>4</v>
      </c>
    </row>
    <row r="404" spans="1:11" x14ac:dyDescent="0.3">
      <c r="A404" t="s">
        <v>1448</v>
      </c>
      <c r="B404" t="s">
        <v>1026</v>
      </c>
      <c r="C404">
        <v>163</v>
      </c>
      <c r="D404" t="s">
        <v>1038</v>
      </c>
      <c r="E404" s="1">
        <v>45039</v>
      </c>
      <c r="F404">
        <v>62</v>
      </c>
      <c r="G404">
        <v>3.4</v>
      </c>
      <c r="H404">
        <v>2023</v>
      </c>
      <c r="I404" t="s">
        <v>1018</v>
      </c>
      <c r="J404" t="s">
        <v>1031</v>
      </c>
      <c r="K404">
        <v>3</v>
      </c>
    </row>
    <row r="405" spans="1:11" x14ac:dyDescent="0.3">
      <c r="A405" t="s">
        <v>1449</v>
      </c>
      <c r="B405" t="s">
        <v>1055</v>
      </c>
      <c r="C405">
        <v>127</v>
      </c>
      <c r="D405" t="s">
        <v>1029</v>
      </c>
      <c r="E405" s="1">
        <v>45039</v>
      </c>
      <c r="F405">
        <v>160</v>
      </c>
      <c r="G405">
        <v>3.2</v>
      </c>
      <c r="H405">
        <v>2023</v>
      </c>
      <c r="I405" t="s">
        <v>1018</v>
      </c>
      <c r="J405" t="s">
        <v>1031</v>
      </c>
      <c r="K405">
        <v>3</v>
      </c>
    </row>
    <row r="406" spans="1:11" x14ac:dyDescent="0.3">
      <c r="A406" t="s">
        <v>1450</v>
      </c>
      <c r="B406" t="s">
        <v>1021</v>
      </c>
      <c r="C406">
        <v>50</v>
      </c>
      <c r="D406" t="s">
        <v>1029</v>
      </c>
      <c r="E406" s="1">
        <v>45039</v>
      </c>
      <c r="F406">
        <v>56</v>
      </c>
      <c r="G406">
        <v>4.7</v>
      </c>
      <c r="H406">
        <v>2023</v>
      </c>
      <c r="I406" t="s">
        <v>1018</v>
      </c>
      <c r="J406" t="s">
        <v>1034</v>
      </c>
      <c r="K406">
        <v>5</v>
      </c>
    </row>
    <row r="407" spans="1:11" x14ac:dyDescent="0.3">
      <c r="A407" t="s">
        <v>1451</v>
      </c>
      <c r="B407" t="s">
        <v>1036</v>
      </c>
      <c r="C407">
        <v>88</v>
      </c>
      <c r="D407" t="s">
        <v>1042</v>
      </c>
      <c r="E407" s="1">
        <v>45039</v>
      </c>
      <c r="F407">
        <v>72</v>
      </c>
      <c r="G407">
        <v>4</v>
      </c>
      <c r="H407">
        <v>2023</v>
      </c>
      <c r="I407" t="s">
        <v>1018</v>
      </c>
      <c r="J407" t="s">
        <v>1019</v>
      </c>
      <c r="K407">
        <v>4</v>
      </c>
    </row>
    <row r="408" spans="1:11" x14ac:dyDescent="0.3">
      <c r="A408" t="s">
        <v>1452</v>
      </c>
      <c r="B408" t="s">
        <v>1021</v>
      </c>
      <c r="C408">
        <v>139</v>
      </c>
      <c r="D408" t="s">
        <v>1024</v>
      </c>
      <c r="E408" s="1">
        <v>45040</v>
      </c>
      <c r="F408">
        <v>81</v>
      </c>
      <c r="G408">
        <v>4.8</v>
      </c>
      <c r="H408">
        <v>2023</v>
      </c>
      <c r="I408" t="s">
        <v>1030</v>
      </c>
      <c r="J408" t="s">
        <v>1031</v>
      </c>
      <c r="K408">
        <v>5</v>
      </c>
    </row>
    <row r="409" spans="1:11" x14ac:dyDescent="0.3">
      <c r="A409" t="s">
        <v>1453</v>
      </c>
      <c r="B409" t="s">
        <v>1026</v>
      </c>
      <c r="C409">
        <v>111</v>
      </c>
      <c r="D409" t="s">
        <v>1029</v>
      </c>
      <c r="E409" s="1">
        <v>45040</v>
      </c>
      <c r="F409">
        <v>144</v>
      </c>
      <c r="G409">
        <v>3.9</v>
      </c>
      <c r="H409">
        <v>2023</v>
      </c>
      <c r="I409" t="s">
        <v>1030</v>
      </c>
      <c r="J409" t="s">
        <v>1019</v>
      </c>
      <c r="K409">
        <v>4</v>
      </c>
    </row>
    <row r="410" spans="1:11" x14ac:dyDescent="0.3">
      <c r="A410" t="s">
        <v>1454</v>
      </c>
      <c r="B410" t="s">
        <v>1023</v>
      </c>
      <c r="C410">
        <v>115</v>
      </c>
      <c r="D410" t="s">
        <v>1024</v>
      </c>
      <c r="E410" s="1">
        <v>45040</v>
      </c>
      <c r="F410">
        <v>111</v>
      </c>
      <c r="G410">
        <v>4.3</v>
      </c>
      <c r="H410">
        <v>2023</v>
      </c>
      <c r="I410" t="s">
        <v>1030</v>
      </c>
      <c r="J410" t="s">
        <v>1019</v>
      </c>
      <c r="K410">
        <v>4</v>
      </c>
    </row>
    <row r="411" spans="1:11" x14ac:dyDescent="0.3">
      <c r="A411" t="s">
        <v>1455</v>
      </c>
      <c r="B411" t="s">
        <v>1098</v>
      </c>
      <c r="C411">
        <v>26</v>
      </c>
      <c r="D411" t="s">
        <v>1038</v>
      </c>
      <c r="E411" s="1">
        <v>45040</v>
      </c>
      <c r="F411">
        <v>43</v>
      </c>
      <c r="G411">
        <v>4.2</v>
      </c>
      <c r="H411">
        <v>2023</v>
      </c>
      <c r="I411" t="s">
        <v>1030</v>
      </c>
      <c r="J411" t="s">
        <v>1056</v>
      </c>
      <c r="K411">
        <v>4</v>
      </c>
    </row>
    <row r="412" spans="1:11" x14ac:dyDescent="0.3">
      <c r="A412" t="s">
        <v>1456</v>
      </c>
      <c r="B412" t="s">
        <v>1041</v>
      </c>
      <c r="C412">
        <v>131</v>
      </c>
      <c r="D412" t="s">
        <v>1042</v>
      </c>
      <c r="E412" s="1">
        <v>45040</v>
      </c>
      <c r="F412">
        <v>41</v>
      </c>
      <c r="G412">
        <v>4.9000000000000004</v>
      </c>
      <c r="H412">
        <v>2023</v>
      </c>
      <c r="I412" t="s">
        <v>1030</v>
      </c>
      <c r="J412" t="s">
        <v>1031</v>
      </c>
      <c r="K412">
        <v>5</v>
      </c>
    </row>
    <row r="413" spans="1:11" x14ac:dyDescent="0.3">
      <c r="A413" t="s">
        <v>1457</v>
      </c>
      <c r="B413" t="s">
        <v>1023</v>
      </c>
      <c r="C413">
        <v>27</v>
      </c>
      <c r="D413" t="s">
        <v>1042</v>
      </c>
      <c r="E413" s="1">
        <v>45040</v>
      </c>
      <c r="F413">
        <v>74</v>
      </c>
      <c r="G413">
        <v>4</v>
      </c>
      <c r="H413">
        <v>2023</v>
      </c>
      <c r="I413" t="s">
        <v>1030</v>
      </c>
      <c r="J413" t="s">
        <v>1056</v>
      </c>
      <c r="K413">
        <v>4</v>
      </c>
    </row>
    <row r="414" spans="1:11" x14ac:dyDescent="0.3">
      <c r="A414" t="s">
        <v>1458</v>
      </c>
      <c r="B414" t="s">
        <v>1068</v>
      </c>
      <c r="C414">
        <v>75</v>
      </c>
      <c r="D414" t="s">
        <v>1029</v>
      </c>
      <c r="E414" s="1">
        <v>45040</v>
      </c>
      <c r="F414">
        <v>43</v>
      </c>
      <c r="G414">
        <v>4.9000000000000004</v>
      </c>
      <c r="H414">
        <v>2023</v>
      </c>
      <c r="I414" t="s">
        <v>1030</v>
      </c>
      <c r="J414" t="s">
        <v>1019</v>
      </c>
      <c r="K414">
        <v>5</v>
      </c>
    </row>
    <row r="415" spans="1:11" x14ac:dyDescent="0.3">
      <c r="A415" t="s">
        <v>1459</v>
      </c>
      <c r="B415" t="s">
        <v>1059</v>
      </c>
      <c r="C415">
        <v>123</v>
      </c>
      <c r="D415" t="s">
        <v>1042</v>
      </c>
      <c r="E415" s="1">
        <v>45040</v>
      </c>
      <c r="F415">
        <v>128</v>
      </c>
      <c r="G415">
        <v>3.6</v>
      </c>
      <c r="H415">
        <v>2023</v>
      </c>
      <c r="I415" t="s">
        <v>1030</v>
      </c>
      <c r="J415" t="s">
        <v>1031</v>
      </c>
      <c r="K415">
        <v>4</v>
      </c>
    </row>
    <row r="416" spans="1:11" x14ac:dyDescent="0.3">
      <c r="A416" t="s">
        <v>1460</v>
      </c>
      <c r="B416" t="s">
        <v>1016</v>
      </c>
      <c r="C416">
        <v>129</v>
      </c>
      <c r="D416" t="s">
        <v>1042</v>
      </c>
      <c r="E416" s="1">
        <v>45041</v>
      </c>
      <c r="F416">
        <v>144</v>
      </c>
      <c r="G416">
        <v>4.0999999999999996</v>
      </c>
      <c r="H416">
        <v>2023</v>
      </c>
      <c r="I416" t="s">
        <v>1033</v>
      </c>
      <c r="J416" t="s">
        <v>1031</v>
      </c>
      <c r="K416">
        <v>4</v>
      </c>
    </row>
    <row r="417" spans="1:11" x14ac:dyDescent="0.3">
      <c r="A417" t="s">
        <v>1461</v>
      </c>
      <c r="B417" t="s">
        <v>1068</v>
      </c>
      <c r="C417">
        <v>124</v>
      </c>
      <c r="D417" t="s">
        <v>1024</v>
      </c>
      <c r="E417" s="1">
        <v>45041</v>
      </c>
      <c r="F417">
        <v>132</v>
      </c>
      <c r="G417">
        <v>4.9000000000000004</v>
      </c>
      <c r="H417">
        <v>2023</v>
      </c>
      <c r="I417" t="s">
        <v>1033</v>
      </c>
      <c r="J417" t="s">
        <v>1031</v>
      </c>
      <c r="K417">
        <v>5</v>
      </c>
    </row>
    <row r="418" spans="1:11" x14ac:dyDescent="0.3">
      <c r="A418" t="s">
        <v>1462</v>
      </c>
      <c r="B418" t="s">
        <v>1023</v>
      </c>
      <c r="C418">
        <v>108</v>
      </c>
      <c r="D418" t="s">
        <v>1024</v>
      </c>
      <c r="E418" s="1">
        <v>45041</v>
      </c>
      <c r="F418">
        <v>180</v>
      </c>
      <c r="G418">
        <v>3.9</v>
      </c>
      <c r="H418">
        <v>2023</v>
      </c>
      <c r="I418" t="s">
        <v>1033</v>
      </c>
      <c r="J418" t="s">
        <v>1019</v>
      </c>
      <c r="K418">
        <v>4</v>
      </c>
    </row>
    <row r="419" spans="1:11" x14ac:dyDescent="0.3">
      <c r="A419" t="s">
        <v>1463</v>
      </c>
      <c r="B419" t="s">
        <v>1028</v>
      </c>
      <c r="C419">
        <v>15</v>
      </c>
      <c r="D419" t="s">
        <v>1024</v>
      </c>
      <c r="E419" s="1">
        <v>45041</v>
      </c>
      <c r="F419">
        <v>31</v>
      </c>
      <c r="G419">
        <v>4.0999999999999996</v>
      </c>
      <c r="H419">
        <v>2023</v>
      </c>
      <c r="I419" t="s">
        <v>1033</v>
      </c>
      <c r="J419" t="s">
        <v>1056</v>
      </c>
      <c r="K419">
        <v>4</v>
      </c>
    </row>
    <row r="420" spans="1:11" x14ac:dyDescent="0.3">
      <c r="A420" t="s">
        <v>1464</v>
      </c>
      <c r="B420" t="s">
        <v>1023</v>
      </c>
      <c r="C420">
        <v>66</v>
      </c>
      <c r="D420" t="s">
        <v>1024</v>
      </c>
      <c r="E420" s="1">
        <v>45041</v>
      </c>
      <c r="F420">
        <v>102</v>
      </c>
      <c r="G420">
        <v>3.8</v>
      </c>
      <c r="H420">
        <v>2023</v>
      </c>
      <c r="I420" t="s">
        <v>1033</v>
      </c>
      <c r="J420" t="s">
        <v>1019</v>
      </c>
      <c r="K420">
        <v>4</v>
      </c>
    </row>
    <row r="421" spans="1:11" x14ac:dyDescent="0.3">
      <c r="A421" t="s">
        <v>1465</v>
      </c>
      <c r="B421" t="s">
        <v>1036</v>
      </c>
      <c r="C421">
        <v>126</v>
      </c>
      <c r="D421" t="s">
        <v>1029</v>
      </c>
      <c r="E421" s="1">
        <v>45042</v>
      </c>
      <c r="F421">
        <v>175</v>
      </c>
      <c r="G421">
        <v>4.8</v>
      </c>
      <c r="H421">
        <v>2023</v>
      </c>
      <c r="I421" t="s">
        <v>1048</v>
      </c>
      <c r="J421" t="s">
        <v>1031</v>
      </c>
      <c r="K421">
        <v>5</v>
      </c>
    </row>
    <row r="422" spans="1:11" x14ac:dyDescent="0.3">
      <c r="A422" t="s">
        <v>1466</v>
      </c>
      <c r="B422" t="s">
        <v>1068</v>
      </c>
      <c r="C422">
        <v>26</v>
      </c>
      <c r="D422" t="s">
        <v>1017</v>
      </c>
      <c r="E422" s="1">
        <v>45042</v>
      </c>
      <c r="F422">
        <v>87</v>
      </c>
      <c r="G422">
        <v>4.7</v>
      </c>
      <c r="H422">
        <v>2023</v>
      </c>
      <c r="I422" t="s">
        <v>1048</v>
      </c>
      <c r="J422" t="s">
        <v>1056</v>
      </c>
      <c r="K422">
        <v>5</v>
      </c>
    </row>
    <row r="423" spans="1:11" x14ac:dyDescent="0.3">
      <c r="A423" t="s">
        <v>1467</v>
      </c>
      <c r="B423" t="s">
        <v>1047</v>
      </c>
      <c r="C423">
        <v>105</v>
      </c>
      <c r="D423" t="s">
        <v>1029</v>
      </c>
      <c r="E423" s="1">
        <v>45042</v>
      </c>
      <c r="F423">
        <v>66</v>
      </c>
      <c r="G423">
        <v>4.2</v>
      </c>
      <c r="H423">
        <v>2023</v>
      </c>
      <c r="I423" t="s">
        <v>1048</v>
      </c>
      <c r="J423" t="s">
        <v>1019</v>
      </c>
      <c r="K423">
        <v>4</v>
      </c>
    </row>
    <row r="424" spans="1:11" x14ac:dyDescent="0.3">
      <c r="A424" t="s">
        <v>1468</v>
      </c>
      <c r="B424" t="s">
        <v>1047</v>
      </c>
      <c r="C424">
        <v>31</v>
      </c>
      <c r="D424" t="s">
        <v>1029</v>
      </c>
      <c r="E424" s="1">
        <v>45042</v>
      </c>
      <c r="F424">
        <v>25</v>
      </c>
      <c r="G424">
        <v>3.2</v>
      </c>
      <c r="H424">
        <v>2023</v>
      </c>
      <c r="I424" t="s">
        <v>1048</v>
      </c>
      <c r="J424" t="s">
        <v>1034</v>
      </c>
      <c r="K424">
        <v>3</v>
      </c>
    </row>
    <row r="425" spans="1:11" x14ac:dyDescent="0.3">
      <c r="A425" t="s">
        <v>1469</v>
      </c>
      <c r="B425" t="s">
        <v>1023</v>
      </c>
      <c r="C425">
        <v>109</v>
      </c>
      <c r="D425" t="s">
        <v>1024</v>
      </c>
      <c r="E425" s="1">
        <v>45042</v>
      </c>
      <c r="F425">
        <v>126</v>
      </c>
      <c r="G425">
        <v>3.4</v>
      </c>
      <c r="H425">
        <v>2023</v>
      </c>
      <c r="I425" t="s">
        <v>1048</v>
      </c>
      <c r="J425" t="s">
        <v>1019</v>
      </c>
      <c r="K425">
        <v>3</v>
      </c>
    </row>
    <row r="426" spans="1:11" x14ac:dyDescent="0.3">
      <c r="A426" t="s">
        <v>1470</v>
      </c>
      <c r="B426" t="s">
        <v>1016</v>
      </c>
      <c r="C426">
        <v>113</v>
      </c>
      <c r="D426" t="s">
        <v>1038</v>
      </c>
      <c r="E426" s="1">
        <v>45043</v>
      </c>
      <c r="F426">
        <v>42</v>
      </c>
      <c r="G426">
        <v>4.5999999999999996</v>
      </c>
      <c r="H426">
        <v>2023</v>
      </c>
      <c r="I426" t="s">
        <v>1052</v>
      </c>
      <c r="J426" t="s">
        <v>1019</v>
      </c>
      <c r="K426">
        <v>5</v>
      </c>
    </row>
    <row r="427" spans="1:11" x14ac:dyDescent="0.3">
      <c r="A427" t="s">
        <v>1471</v>
      </c>
      <c r="B427" t="s">
        <v>1036</v>
      </c>
      <c r="C427">
        <v>101</v>
      </c>
      <c r="D427" t="s">
        <v>1017</v>
      </c>
      <c r="E427" s="1">
        <v>45043</v>
      </c>
      <c r="F427">
        <v>225</v>
      </c>
      <c r="G427">
        <v>1.9</v>
      </c>
      <c r="H427">
        <v>2023</v>
      </c>
      <c r="I427" t="s">
        <v>1052</v>
      </c>
      <c r="J427" t="s">
        <v>1019</v>
      </c>
      <c r="K427">
        <v>2</v>
      </c>
    </row>
    <row r="428" spans="1:11" x14ac:dyDescent="0.3">
      <c r="A428" t="s">
        <v>1472</v>
      </c>
      <c r="B428" t="s">
        <v>1026</v>
      </c>
      <c r="C428">
        <v>156</v>
      </c>
      <c r="D428" t="s">
        <v>1017</v>
      </c>
      <c r="E428" s="1">
        <v>45043</v>
      </c>
      <c r="F428">
        <v>42</v>
      </c>
      <c r="G428">
        <v>3.3</v>
      </c>
      <c r="H428">
        <v>2023</v>
      </c>
      <c r="I428" t="s">
        <v>1052</v>
      </c>
      <c r="J428" t="s">
        <v>1031</v>
      </c>
      <c r="K428">
        <v>3</v>
      </c>
    </row>
    <row r="429" spans="1:11" x14ac:dyDescent="0.3">
      <c r="A429" t="s">
        <v>1473</v>
      </c>
      <c r="B429" t="s">
        <v>1023</v>
      </c>
      <c r="C429">
        <v>145</v>
      </c>
      <c r="D429" t="s">
        <v>1038</v>
      </c>
      <c r="E429" s="1">
        <v>45044</v>
      </c>
      <c r="F429">
        <v>110</v>
      </c>
      <c r="G429">
        <v>3.1</v>
      </c>
      <c r="H429">
        <v>2023</v>
      </c>
      <c r="I429" t="s">
        <v>411</v>
      </c>
      <c r="J429" t="s">
        <v>1031</v>
      </c>
      <c r="K429">
        <v>3</v>
      </c>
    </row>
    <row r="430" spans="1:11" x14ac:dyDescent="0.3">
      <c r="A430" t="s">
        <v>1474</v>
      </c>
      <c r="B430" t="s">
        <v>1059</v>
      </c>
      <c r="C430">
        <v>36</v>
      </c>
      <c r="D430" t="s">
        <v>1024</v>
      </c>
      <c r="E430" s="1">
        <v>45044</v>
      </c>
      <c r="F430">
        <v>225</v>
      </c>
      <c r="G430">
        <v>4.8</v>
      </c>
      <c r="H430">
        <v>2023</v>
      </c>
      <c r="I430" t="s">
        <v>411</v>
      </c>
      <c r="J430" t="s">
        <v>1034</v>
      </c>
      <c r="K430">
        <v>5</v>
      </c>
    </row>
    <row r="431" spans="1:11" x14ac:dyDescent="0.3">
      <c r="A431" t="s">
        <v>1475</v>
      </c>
      <c r="B431" t="s">
        <v>1047</v>
      </c>
      <c r="C431">
        <v>135</v>
      </c>
      <c r="D431" t="s">
        <v>1042</v>
      </c>
      <c r="E431" s="1">
        <v>45045</v>
      </c>
      <c r="F431">
        <v>125</v>
      </c>
      <c r="G431">
        <v>3.3</v>
      </c>
      <c r="H431">
        <v>2023</v>
      </c>
      <c r="I431" t="s">
        <v>1062</v>
      </c>
      <c r="J431" t="s">
        <v>1031</v>
      </c>
      <c r="K431">
        <v>3</v>
      </c>
    </row>
    <row r="432" spans="1:11" x14ac:dyDescent="0.3">
      <c r="A432" t="s">
        <v>1476</v>
      </c>
      <c r="B432" t="s">
        <v>1036</v>
      </c>
      <c r="C432">
        <v>81</v>
      </c>
      <c r="D432" t="s">
        <v>1024</v>
      </c>
      <c r="E432" s="1">
        <v>45045</v>
      </c>
      <c r="F432">
        <v>78</v>
      </c>
      <c r="G432">
        <v>2.9</v>
      </c>
      <c r="H432">
        <v>2023</v>
      </c>
      <c r="I432" t="s">
        <v>1062</v>
      </c>
      <c r="J432" t="s">
        <v>1019</v>
      </c>
      <c r="K432">
        <v>3</v>
      </c>
    </row>
    <row r="433" spans="1:11" x14ac:dyDescent="0.3">
      <c r="A433" t="s">
        <v>1477</v>
      </c>
      <c r="B433" t="s">
        <v>1036</v>
      </c>
      <c r="C433">
        <v>81</v>
      </c>
      <c r="D433" t="s">
        <v>1038</v>
      </c>
      <c r="E433" s="1">
        <v>45045</v>
      </c>
      <c r="F433">
        <v>40</v>
      </c>
      <c r="G433">
        <v>2.4</v>
      </c>
      <c r="H433">
        <v>2023</v>
      </c>
      <c r="I433" t="s">
        <v>1062</v>
      </c>
      <c r="J433" t="s">
        <v>1019</v>
      </c>
      <c r="K433">
        <v>2</v>
      </c>
    </row>
    <row r="434" spans="1:11" x14ac:dyDescent="0.3">
      <c r="A434" t="s">
        <v>1478</v>
      </c>
      <c r="B434" t="s">
        <v>1055</v>
      </c>
      <c r="C434">
        <v>93</v>
      </c>
      <c r="D434" t="s">
        <v>1029</v>
      </c>
      <c r="E434" s="1">
        <v>45045</v>
      </c>
      <c r="F434">
        <v>150</v>
      </c>
      <c r="G434">
        <v>4.5999999999999996</v>
      </c>
      <c r="H434">
        <v>2023</v>
      </c>
      <c r="I434" t="s">
        <v>1062</v>
      </c>
      <c r="J434" t="s">
        <v>1019</v>
      </c>
      <c r="K434">
        <v>5</v>
      </c>
    </row>
    <row r="435" spans="1:11" x14ac:dyDescent="0.3">
      <c r="A435" t="s">
        <v>1479</v>
      </c>
      <c r="B435" t="s">
        <v>1023</v>
      </c>
      <c r="C435">
        <v>14</v>
      </c>
      <c r="D435" t="s">
        <v>1024</v>
      </c>
      <c r="E435" s="1">
        <v>45045</v>
      </c>
      <c r="F435">
        <v>96</v>
      </c>
      <c r="G435">
        <v>4.8</v>
      </c>
      <c r="H435">
        <v>2023</v>
      </c>
      <c r="I435" t="s">
        <v>1062</v>
      </c>
      <c r="J435" t="s">
        <v>1056</v>
      </c>
      <c r="K435">
        <v>5</v>
      </c>
    </row>
    <row r="436" spans="1:11" x14ac:dyDescent="0.3">
      <c r="A436" t="s">
        <v>1480</v>
      </c>
      <c r="B436" t="s">
        <v>1047</v>
      </c>
      <c r="C436">
        <v>95</v>
      </c>
      <c r="D436" t="s">
        <v>1038</v>
      </c>
      <c r="E436" s="1">
        <v>45046</v>
      </c>
      <c r="F436">
        <v>75</v>
      </c>
      <c r="G436">
        <v>4.8</v>
      </c>
      <c r="H436">
        <v>2023</v>
      </c>
      <c r="I436" t="s">
        <v>1018</v>
      </c>
      <c r="J436" t="s">
        <v>1019</v>
      </c>
      <c r="K436">
        <v>5</v>
      </c>
    </row>
    <row r="437" spans="1:11" x14ac:dyDescent="0.3">
      <c r="A437" t="s">
        <v>1481</v>
      </c>
      <c r="B437" t="s">
        <v>1055</v>
      </c>
      <c r="C437">
        <v>81</v>
      </c>
      <c r="D437" t="s">
        <v>1038</v>
      </c>
      <c r="E437" s="1">
        <v>45046</v>
      </c>
      <c r="F437">
        <v>60</v>
      </c>
      <c r="G437">
        <v>3.6</v>
      </c>
      <c r="H437">
        <v>2023</v>
      </c>
      <c r="I437" t="s">
        <v>1018</v>
      </c>
      <c r="J437" t="s">
        <v>1019</v>
      </c>
      <c r="K437">
        <v>4</v>
      </c>
    </row>
    <row r="438" spans="1:11" x14ac:dyDescent="0.3">
      <c r="A438" t="s">
        <v>1482</v>
      </c>
      <c r="B438" t="s">
        <v>1098</v>
      </c>
      <c r="C438">
        <v>60</v>
      </c>
      <c r="D438" t="s">
        <v>1024</v>
      </c>
      <c r="E438" s="1">
        <v>45047</v>
      </c>
      <c r="F438">
        <v>41</v>
      </c>
      <c r="G438">
        <v>4.8</v>
      </c>
      <c r="H438">
        <v>2023</v>
      </c>
      <c r="I438" t="s">
        <v>1030</v>
      </c>
      <c r="J438" t="s">
        <v>1034</v>
      </c>
      <c r="K438">
        <v>5</v>
      </c>
    </row>
    <row r="439" spans="1:11" x14ac:dyDescent="0.3">
      <c r="A439" t="s">
        <v>1483</v>
      </c>
      <c r="B439" t="s">
        <v>1045</v>
      </c>
      <c r="C439">
        <v>137</v>
      </c>
      <c r="D439" t="s">
        <v>1029</v>
      </c>
      <c r="E439" s="1">
        <v>45047</v>
      </c>
      <c r="F439">
        <v>20</v>
      </c>
      <c r="G439">
        <v>4.2</v>
      </c>
      <c r="H439">
        <v>2023</v>
      </c>
      <c r="I439" t="s">
        <v>1030</v>
      </c>
      <c r="J439" t="s">
        <v>1031</v>
      </c>
      <c r="K439">
        <v>4</v>
      </c>
    </row>
    <row r="440" spans="1:11" x14ac:dyDescent="0.3">
      <c r="A440" t="s">
        <v>1484</v>
      </c>
      <c r="B440" t="s">
        <v>1021</v>
      </c>
      <c r="C440">
        <v>112</v>
      </c>
      <c r="D440" t="s">
        <v>1042</v>
      </c>
      <c r="E440" s="1">
        <v>45047</v>
      </c>
      <c r="F440">
        <v>84</v>
      </c>
      <c r="G440">
        <v>2.6</v>
      </c>
      <c r="H440">
        <v>2023</v>
      </c>
      <c r="I440" t="s">
        <v>1030</v>
      </c>
      <c r="J440" t="s">
        <v>1019</v>
      </c>
      <c r="K440">
        <v>3</v>
      </c>
    </row>
    <row r="441" spans="1:11" x14ac:dyDescent="0.3">
      <c r="A441" t="s">
        <v>1485</v>
      </c>
      <c r="B441" t="s">
        <v>1047</v>
      </c>
      <c r="C441">
        <v>76</v>
      </c>
      <c r="D441" t="s">
        <v>1017</v>
      </c>
      <c r="E441" s="1">
        <v>45047</v>
      </c>
      <c r="F441">
        <v>140</v>
      </c>
      <c r="G441">
        <v>3.7</v>
      </c>
      <c r="H441">
        <v>2023</v>
      </c>
      <c r="I441" t="s">
        <v>1030</v>
      </c>
      <c r="J441" t="s">
        <v>1019</v>
      </c>
      <c r="K441">
        <v>4</v>
      </c>
    </row>
    <row r="442" spans="1:11" x14ac:dyDescent="0.3">
      <c r="A442" t="s">
        <v>1486</v>
      </c>
      <c r="B442" t="s">
        <v>1065</v>
      </c>
      <c r="C442">
        <v>73</v>
      </c>
      <c r="D442" t="s">
        <v>1024</v>
      </c>
      <c r="E442" s="1">
        <v>45047</v>
      </c>
      <c r="F442">
        <v>66</v>
      </c>
      <c r="G442">
        <v>4.8</v>
      </c>
      <c r="H442">
        <v>2023</v>
      </c>
      <c r="I442" t="s">
        <v>1030</v>
      </c>
      <c r="J442" t="s">
        <v>1019</v>
      </c>
      <c r="K442">
        <v>5</v>
      </c>
    </row>
    <row r="443" spans="1:11" x14ac:dyDescent="0.3">
      <c r="A443" t="s">
        <v>1487</v>
      </c>
      <c r="B443" t="s">
        <v>1041</v>
      </c>
      <c r="C443">
        <v>119</v>
      </c>
      <c r="D443" t="s">
        <v>1029</v>
      </c>
      <c r="E443" s="1">
        <v>45047</v>
      </c>
      <c r="F443">
        <v>105</v>
      </c>
      <c r="G443">
        <v>4.7</v>
      </c>
      <c r="H443">
        <v>2023</v>
      </c>
      <c r="I443" t="s">
        <v>1030</v>
      </c>
      <c r="J443" t="s">
        <v>1019</v>
      </c>
      <c r="K443">
        <v>5</v>
      </c>
    </row>
    <row r="444" spans="1:11" x14ac:dyDescent="0.3">
      <c r="A444" t="s">
        <v>1488</v>
      </c>
      <c r="B444" t="s">
        <v>1016</v>
      </c>
      <c r="C444">
        <v>135</v>
      </c>
      <c r="D444" t="s">
        <v>1038</v>
      </c>
      <c r="E444" s="1">
        <v>45048</v>
      </c>
      <c r="F444">
        <v>104</v>
      </c>
      <c r="G444">
        <v>4.0999999999999996</v>
      </c>
      <c r="H444">
        <v>2023</v>
      </c>
      <c r="I444" t="s">
        <v>1033</v>
      </c>
      <c r="J444" t="s">
        <v>1031</v>
      </c>
      <c r="K444">
        <v>4</v>
      </c>
    </row>
    <row r="445" spans="1:11" x14ac:dyDescent="0.3">
      <c r="A445" t="s">
        <v>1489</v>
      </c>
      <c r="B445" t="s">
        <v>1045</v>
      </c>
      <c r="C445">
        <v>41</v>
      </c>
      <c r="D445" t="s">
        <v>1042</v>
      </c>
      <c r="E445" s="1">
        <v>45048</v>
      </c>
      <c r="F445">
        <v>123</v>
      </c>
      <c r="G445">
        <v>3.2</v>
      </c>
      <c r="H445">
        <v>2023</v>
      </c>
      <c r="I445" t="s">
        <v>1033</v>
      </c>
      <c r="J445" t="s">
        <v>1034</v>
      </c>
      <c r="K445">
        <v>3</v>
      </c>
    </row>
    <row r="446" spans="1:11" x14ac:dyDescent="0.3">
      <c r="A446" t="s">
        <v>1490</v>
      </c>
      <c r="B446" t="s">
        <v>1023</v>
      </c>
      <c r="C446">
        <v>35</v>
      </c>
      <c r="D446" t="s">
        <v>1038</v>
      </c>
      <c r="E446" s="1">
        <v>45049</v>
      </c>
      <c r="F446">
        <v>215</v>
      </c>
      <c r="G446">
        <v>4.3</v>
      </c>
      <c r="H446">
        <v>2023</v>
      </c>
      <c r="I446" t="s">
        <v>1048</v>
      </c>
      <c r="J446" t="s">
        <v>1034</v>
      </c>
      <c r="K446">
        <v>4</v>
      </c>
    </row>
    <row r="447" spans="1:11" x14ac:dyDescent="0.3">
      <c r="A447" t="s">
        <v>1491</v>
      </c>
      <c r="B447" t="s">
        <v>1016</v>
      </c>
      <c r="C447">
        <v>96</v>
      </c>
      <c r="D447" t="s">
        <v>1024</v>
      </c>
      <c r="E447" s="1">
        <v>45049</v>
      </c>
      <c r="F447">
        <v>46</v>
      </c>
      <c r="G447">
        <v>0.7</v>
      </c>
      <c r="H447">
        <v>2023</v>
      </c>
      <c r="I447" t="s">
        <v>1048</v>
      </c>
      <c r="J447" t="s">
        <v>1019</v>
      </c>
      <c r="K447">
        <v>1</v>
      </c>
    </row>
    <row r="448" spans="1:11" x14ac:dyDescent="0.3">
      <c r="A448" t="s">
        <v>1492</v>
      </c>
      <c r="B448" t="s">
        <v>1055</v>
      </c>
      <c r="C448">
        <v>61</v>
      </c>
      <c r="D448" t="s">
        <v>1042</v>
      </c>
      <c r="E448" s="1">
        <v>45049</v>
      </c>
      <c r="F448">
        <v>115</v>
      </c>
      <c r="G448">
        <v>3.7</v>
      </c>
      <c r="H448">
        <v>2023</v>
      </c>
      <c r="I448" t="s">
        <v>1048</v>
      </c>
      <c r="J448" t="s">
        <v>1019</v>
      </c>
      <c r="K448">
        <v>4</v>
      </c>
    </row>
    <row r="449" spans="1:11" x14ac:dyDescent="0.3">
      <c r="A449" t="s">
        <v>1493</v>
      </c>
      <c r="B449" t="s">
        <v>1016</v>
      </c>
      <c r="C449">
        <v>91</v>
      </c>
      <c r="D449" t="s">
        <v>1042</v>
      </c>
      <c r="E449" s="1">
        <v>45049</v>
      </c>
      <c r="F449">
        <v>124</v>
      </c>
      <c r="G449">
        <v>3.9</v>
      </c>
      <c r="H449">
        <v>2023</v>
      </c>
      <c r="I449" t="s">
        <v>1048</v>
      </c>
      <c r="J449" t="s">
        <v>1019</v>
      </c>
      <c r="K449">
        <v>4</v>
      </c>
    </row>
    <row r="450" spans="1:11" x14ac:dyDescent="0.3">
      <c r="A450" t="s">
        <v>1494</v>
      </c>
      <c r="B450" t="s">
        <v>1078</v>
      </c>
      <c r="C450">
        <v>30</v>
      </c>
      <c r="D450" t="s">
        <v>1042</v>
      </c>
      <c r="E450" s="1">
        <v>45050</v>
      </c>
      <c r="F450">
        <v>205</v>
      </c>
      <c r="G450">
        <v>4.5</v>
      </c>
      <c r="H450">
        <v>2023</v>
      </c>
      <c r="I450" t="s">
        <v>1052</v>
      </c>
      <c r="J450" t="s">
        <v>1056</v>
      </c>
      <c r="K450">
        <v>5</v>
      </c>
    </row>
    <row r="451" spans="1:11" x14ac:dyDescent="0.3">
      <c r="A451" t="s">
        <v>1495</v>
      </c>
      <c r="B451" t="s">
        <v>1098</v>
      </c>
      <c r="C451">
        <v>111</v>
      </c>
      <c r="D451" t="s">
        <v>1029</v>
      </c>
      <c r="E451" s="1">
        <v>45050</v>
      </c>
      <c r="F451">
        <v>90</v>
      </c>
      <c r="G451">
        <v>2.8</v>
      </c>
      <c r="H451">
        <v>2023</v>
      </c>
      <c r="I451" t="s">
        <v>1052</v>
      </c>
      <c r="J451" t="s">
        <v>1019</v>
      </c>
      <c r="K451">
        <v>3</v>
      </c>
    </row>
    <row r="452" spans="1:11" x14ac:dyDescent="0.3">
      <c r="A452" t="s">
        <v>1496</v>
      </c>
      <c r="B452" t="s">
        <v>1055</v>
      </c>
      <c r="C452">
        <v>81</v>
      </c>
      <c r="D452" t="s">
        <v>1024</v>
      </c>
      <c r="E452" s="1">
        <v>45050</v>
      </c>
      <c r="F452">
        <v>92</v>
      </c>
      <c r="G452">
        <v>4.9000000000000004</v>
      </c>
      <c r="H452">
        <v>2023</v>
      </c>
      <c r="I452" t="s">
        <v>1052</v>
      </c>
      <c r="J452" t="s">
        <v>1019</v>
      </c>
      <c r="K452">
        <v>5</v>
      </c>
    </row>
    <row r="453" spans="1:11" x14ac:dyDescent="0.3">
      <c r="A453" t="s">
        <v>1497</v>
      </c>
      <c r="B453" t="s">
        <v>1047</v>
      </c>
      <c r="C453">
        <v>40</v>
      </c>
      <c r="D453" t="s">
        <v>1038</v>
      </c>
      <c r="E453" s="1">
        <v>45052</v>
      </c>
      <c r="F453">
        <v>108</v>
      </c>
      <c r="G453">
        <v>4.2</v>
      </c>
      <c r="H453">
        <v>2023</v>
      </c>
      <c r="I453" t="s">
        <v>1062</v>
      </c>
      <c r="J453" t="s">
        <v>1034</v>
      </c>
      <c r="K453">
        <v>4</v>
      </c>
    </row>
    <row r="454" spans="1:11" x14ac:dyDescent="0.3">
      <c r="A454" t="s">
        <v>1498</v>
      </c>
      <c r="B454" t="s">
        <v>1098</v>
      </c>
      <c r="C454">
        <v>143</v>
      </c>
      <c r="D454" t="s">
        <v>1038</v>
      </c>
      <c r="E454" s="1">
        <v>45052</v>
      </c>
      <c r="F454">
        <v>54</v>
      </c>
      <c r="G454">
        <v>4.4000000000000004</v>
      </c>
      <c r="H454">
        <v>2023</v>
      </c>
      <c r="I454" t="s">
        <v>1062</v>
      </c>
      <c r="J454" t="s">
        <v>1031</v>
      </c>
      <c r="K454">
        <v>4</v>
      </c>
    </row>
    <row r="455" spans="1:11" x14ac:dyDescent="0.3">
      <c r="A455" t="s">
        <v>1499</v>
      </c>
      <c r="B455" t="s">
        <v>1047</v>
      </c>
      <c r="C455">
        <v>70</v>
      </c>
      <c r="D455" t="s">
        <v>1038</v>
      </c>
      <c r="E455" s="1">
        <v>45053</v>
      </c>
      <c r="F455">
        <v>44</v>
      </c>
      <c r="G455">
        <v>3.5</v>
      </c>
      <c r="H455">
        <v>2023</v>
      </c>
      <c r="I455" t="s">
        <v>1018</v>
      </c>
      <c r="J455" t="s">
        <v>1019</v>
      </c>
      <c r="K455">
        <v>4</v>
      </c>
    </row>
    <row r="456" spans="1:11" x14ac:dyDescent="0.3">
      <c r="A456" t="s">
        <v>1500</v>
      </c>
      <c r="B456" t="s">
        <v>1065</v>
      </c>
      <c r="C456">
        <v>137</v>
      </c>
      <c r="D456" t="s">
        <v>1038</v>
      </c>
      <c r="E456" s="1">
        <v>45053</v>
      </c>
      <c r="F456">
        <v>44</v>
      </c>
      <c r="G456">
        <v>4.7</v>
      </c>
      <c r="H456">
        <v>2023</v>
      </c>
      <c r="I456" t="s">
        <v>1018</v>
      </c>
      <c r="J456" t="s">
        <v>1031</v>
      </c>
      <c r="K456">
        <v>5</v>
      </c>
    </row>
    <row r="457" spans="1:11" x14ac:dyDescent="0.3">
      <c r="A457" t="s">
        <v>1501</v>
      </c>
      <c r="B457" t="s">
        <v>1016</v>
      </c>
      <c r="C457">
        <v>52</v>
      </c>
      <c r="D457" t="s">
        <v>1024</v>
      </c>
      <c r="E457" s="1">
        <v>45054</v>
      </c>
      <c r="F457">
        <v>37</v>
      </c>
      <c r="G457">
        <v>4.9000000000000004</v>
      </c>
      <c r="H457">
        <v>2023</v>
      </c>
      <c r="I457" t="s">
        <v>1030</v>
      </c>
      <c r="J457" t="s">
        <v>1034</v>
      </c>
      <c r="K457">
        <v>5</v>
      </c>
    </row>
    <row r="458" spans="1:11" x14ac:dyDescent="0.3">
      <c r="A458" t="s">
        <v>1502</v>
      </c>
      <c r="B458" t="s">
        <v>1021</v>
      </c>
      <c r="C458">
        <v>31</v>
      </c>
      <c r="D458" t="s">
        <v>1029</v>
      </c>
      <c r="E458" s="1">
        <v>45054</v>
      </c>
      <c r="F458">
        <v>180</v>
      </c>
      <c r="G458">
        <v>4.5</v>
      </c>
      <c r="H458">
        <v>2023</v>
      </c>
      <c r="I458" t="s">
        <v>1030</v>
      </c>
      <c r="J458" t="s">
        <v>1034</v>
      </c>
      <c r="K458">
        <v>5</v>
      </c>
    </row>
    <row r="459" spans="1:11" x14ac:dyDescent="0.3">
      <c r="A459" t="s">
        <v>1503</v>
      </c>
      <c r="B459" t="s">
        <v>1016</v>
      </c>
      <c r="C459">
        <v>114</v>
      </c>
      <c r="D459" t="s">
        <v>1042</v>
      </c>
      <c r="E459" s="1">
        <v>45054</v>
      </c>
      <c r="F459">
        <v>105</v>
      </c>
      <c r="G459">
        <v>4.9000000000000004</v>
      </c>
      <c r="H459">
        <v>2023</v>
      </c>
      <c r="I459" t="s">
        <v>1030</v>
      </c>
      <c r="J459" t="s">
        <v>1019</v>
      </c>
      <c r="K459">
        <v>5</v>
      </c>
    </row>
    <row r="460" spans="1:11" x14ac:dyDescent="0.3">
      <c r="A460" t="s">
        <v>1504</v>
      </c>
      <c r="B460" t="s">
        <v>1065</v>
      </c>
      <c r="C460">
        <v>73</v>
      </c>
      <c r="D460" t="s">
        <v>1017</v>
      </c>
      <c r="E460" s="1">
        <v>45054</v>
      </c>
      <c r="F460">
        <v>87</v>
      </c>
      <c r="G460">
        <v>3.6</v>
      </c>
      <c r="H460">
        <v>2023</v>
      </c>
      <c r="I460" t="s">
        <v>1030</v>
      </c>
      <c r="J460" t="s">
        <v>1019</v>
      </c>
      <c r="K460">
        <v>4</v>
      </c>
    </row>
    <row r="461" spans="1:11" x14ac:dyDescent="0.3">
      <c r="A461" t="s">
        <v>1505</v>
      </c>
      <c r="B461" t="s">
        <v>1055</v>
      </c>
      <c r="C461">
        <v>25</v>
      </c>
      <c r="D461" t="s">
        <v>1029</v>
      </c>
      <c r="E461" s="1">
        <v>45054</v>
      </c>
      <c r="F461">
        <v>52</v>
      </c>
      <c r="G461">
        <v>3.8</v>
      </c>
      <c r="H461">
        <v>2023</v>
      </c>
      <c r="I461" t="s">
        <v>1030</v>
      </c>
      <c r="J461" t="s">
        <v>1056</v>
      </c>
      <c r="K461">
        <v>4</v>
      </c>
    </row>
    <row r="462" spans="1:11" x14ac:dyDescent="0.3">
      <c r="A462" t="s">
        <v>1506</v>
      </c>
      <c r="B462" t="s">
        <v>1028</v>
      </c>
      <c r="C462">
        <v>44</v>
      </c>
      <c r="D462" t="s">
        <v>1042</v>
      </c>
      <c r="E462" s="1">
        <v>45054</v>
      </c>
      <c r="F462">
        <v>63</v>
      </c>
      <c r="G462">
        <v>3.5</v>
      </c>
      <c r="H462">
        <v>2023</v>
      </c>
      <c r="I462" t="s">
        <v>1030</v>
      </c>
      <c r="J462" t="s">
        <v>1034</v>
      </c>
      <c r="K462">
        <v>4</v>
      </c>
    </row>
    <row r="463" spans="1:11" x14ac:dyDescent="0.3">
      <c r="A463" t="s">
        <v>1507</v>
      </c>
      <c r="B463" t="s">
        <v>1059</v>
      </c>
      <c r="C463">
        <v>34</v>
      </c>
      <c r="D463" t="s">
        <v>1024</v>
      </c>
      <c r="E463" s="1">
        <v>45055</v>
      </c>
      <c r="F463">
        <v>195</v>
      </c>
      <c r="G463">
        <v>4.8</v>
      </c>
      <c r="H463">
        <v>2023</v>
      </c>
      <c r="I463" t="s">
        <v>1033</v>
      </c>
      <c r="J463" t="s">
        <v>1034</v>
      </c>
      <c r="K463">
        <v>5</v>
      </c>
    </row>
    <row r="464" spans="1:11" x14ac:dyDescent="0.3">
      <c r="A464" t="s">
        <v>1508</v>
      </c>
      <c r="B464" t="s">
        <v>1098</v>
      </c>
      <c r="C464">
        <v>89</v>
      </c>
      <c r="D464" t="s">
        <v>1038</v>
      </c>
      <c r="E464" s="1">
        <v>45056</v>
      </c>
      <c r="F464">
        <v>176</v>
      </c>
      <c r="G464">
        <v>4.5</v>
      </c>
      <c r="H464">
        <v>2023</v>
      </c>
      <c r="I464" t="s">
        <v>1048</v>
      </c>
      <c r="J464" t="s">
        <v>1019</v>
      </c>
      <c r="K464">
        <v>5</v>
      </c>
    </row>
    <row r="465" spans="1:11" x14ac:dyDescent="0.3">
      <c r="A465" t="s">
        <v>1509</v>
      </c>
      <c r="B465" t="s">
        <v>1041</v>
      </c>
      <c r="C465">
        <v>54</v>
      </c>
      <c r="D465" t="s">
        <v>1029</v>
      </c>
      <c r="E465" s="1">
        <v>45057</v>
      </c>
      <c r="F465">
        <v>31</v>
      </c>
      <c r="G465">
        <v>3.3</v>
      </c>
      <c r="H465">
        <v>2023</v>
      </c>
      <c r="I465" t="s">
        <v>1052</v>
      </c>
      <c r="J465" t="s">
        <v>1034</v>
      </c>
      <c r="K465">
        <v>3</v>
      </c>
    </row>
    <row r="466" spans="1:11" x14ac:dyDescent="0.3">
      <c r="A466" t="s">
        <v>1510</v>
      </c>
      <c r="B466" t="s">
        <v>1023</v>
      </c>
      <c r="C466">
        <v>25</v>
      </c>
      <c r="D466" t="s">
        <v>1029</v>
      </c>
      <c r="E466" s="1">
        <v>45058</v>
      </c>
      <c r="F466">
        <v>27</v>
      </c>
      <c r="G466">
        <v>3.2</v>
      </c>
      <c r="H466">
        <v>2023</v>
      </c>
      <c r="I466" t="s">
        <v>411</v>
      </c>
      <c r="J466" t="s">
        <v>1056</v>
      </c>
      <c r="K466">
        <v>3</v>
      </c>
    </row>
    <row r="467" spans="1:11" x14ac:dyDescent="0.3">
      <c r="A467" t="s">
        <v>1511</v>
      </c>
      <c r="B467" t="s">
        <v>1045</v>
      </c>
      <c r="C467">
        <v>91</v>
      </c>
      <c r="D467" t="s">
        <v>1038</v>
      </c>
      <c r="E467" s="1">
        <v>45058</v>
      </c>
      <c r="F467">
        <v>76</v>
      </c>
      <c r="G467">
        <v>4.9000000000000004</v>
      </c>
      <c r="H467">
        <v>2023</v>
      </c>
      <c r="I467" t="s">
        <v>411</v>
      </c>
      <c r="J467" t="s">
        <v>1019</v>
      </c>
      <c r="K467">
        <v>5</v>
      </c>
    </row>
    <row r="468" spans="1:11" x14ac:dyDescent="0.3">
      <c r="A468" t="s">
        <v>1512</v>
      </c>
      <c r="B468" t="s">
        <v>1028</v>
      </c>
      <c r="C468">
        <v>144</v>
      </c>
      <c r="D468" t="s">
        <v>1042</v>
      </c>
      <c r="E468" s="1">
        <v>45058</v>
      </c>
      <c r="F468">
        <v>62</v>
      </c>
      <c r="G468">
        <v>4.8</v>
      </c>
      <c r="H468">
        <v>2023</v>
      </c>
      <c r="I468" t="s">
        <v>411</v>
      </c>
      <c r="J468" t="s">
        <v>1031</v>
      </c>
      <c r="K468">
        <v>5</v>
      </c>
    </row>
    <row r="469" spans="1:11" x14ac:dyDescent="0.3">
      <c r="A469" t="s">
        <v>1513</v>
      </c>
      <c r="B469" t="s">
        <v>1045</v>
      </c>
      <c r="C469">
        <v>81</v>
      </c>
      <c r="D469" t="s">
        <v>1024</v>
      </c>
      <c r="E469" s="1">
        <v>45060</v>
      </c>
      <c r="F469">
        <v>100</v>
      </c>
      <c r="G469">
        <v>1.3</v>
      </c>
      <c r="H469">
        <v>2023</v>
      </c>
      <c r="I469" t="s">
        <v>1018</v>
      </c>
      <c r="J469" t="s">
        <v>1019</v>
      </c>
      <c r="K469">
        <v>1</v>
      </c>
    </row>
    <row r="470" spans="1:11" x14ac:dyDescent="0.3">
      <c r="A470" t="s">
        <v>1514</v>
      </c>
      <c r="B470" t="s">
        <v>1078</v>
      </c>
      <c r="C470">
        <v>92</v>
      </c>
      <c r="D470" t="s">
        <v>1029</v>
      </c>
      <c r="E470" s="1">
        <v>45060</v>
      </c>
      <c r="F470">
        <v>44</v>
      </c>
      <c r="G470">
        <v>3.1</v>
      </c>
      <c r="H470">
        <v>2023</v>
      </c>
      <c r="I470" t="s">
        <v>1018</v>
      </c>
      <c r="J470" t="s">
        <v>1019</v>
      </c>
      <c r="K470">
        <v>3</v>
      </c>
    </row>
    <row r="471" spans="1:11" x14ac:dyDescent="0.3">
      <c r="A471" t="s">
        <v>1515</v>
      </c>
      <c r="B471" t="s">
        <v>1023</v>
      </c>
      <c r="C471">
        <v>115</v>
      </c>
      <c r="D471" t="s">
        <v>1038</v>
      </c>
      <c r="E471" s="1">
        <v>45060</v>
      </c>
      <c r="F471">
        <v>168</v>
      </c>
      <c r="G471">
        <v>3.4</v>
      </c>
      <c r="H471">
        <v>2023</v>
      </c>
      <c r="I471" t="s">
        <v>1018</v>
      </c>
      <c r="J471" t="s">
        <v>1019</v>
      </c>
      <c r="K471">
        <v>3</v>
      </c>
    </row>
    <row r="472" spans="1:11" x14ac:dyDescent="0.3">
      <c r="A472" t="s">
        <v>1516</v>
      </c>
      <c r="B472" t="s">
        <v>1036</v>
      </c>
      <c r="C472">
        <v>56</v>
      </c>
      <c r="D472" t="s">
        <v>1038</v>
      </c>
      <c r="E472" s="1">
        <v>45061</v>
      </c>
      <c r="F472">
        <v>200</v>
      </c>
      <c r="G472">
        <v>4.5999999999999996</v>
      </c>
      <c r="H472">
        <v>2023</v>
      </c>
      <c r="I472" t="s">
        <v>1030</v>
      </c>
      <c r="J472" t="s">
        <v>1034</v>
      </c>
      <c r="K472">
        <v>5</v>
      </c>
    </row>
    <row r="473" spans="1:11" x14ac:dyDescent="0.3">
      <c r="A473" t="s">
        <v>1517</v>
      </c>
      <c r="B473" t="s">
        <v>1021</v>
      </c>
      <c r="C473">
        <v>154</v>
      </c>
      <c r="D473" t="s">
        <v>1029</v>
      </c>
      <c r="E473" s="1">
        <v>45061</v>
      </c>
      <c r="F473">
        <v>84</v>
      </c>
      <c r="G473">
        <v>4.3</v>
      </c>
      <c r="H473">
        <v>2023</v>
      </c>
      <c r="I473" t="s">
        <v>1030</v>
      </c>
      <c r="J473" t="s">
        <v>1031</v>
      </c>
      <c r="K473">
        <v>4</v>
      </c>
    </row>
    <row r="474" spans="1:11" x14ac:dyDescent="0.3">
      <c r="A474" t="s">
        <v>1518</v>
      </c>
      <c r="B474" t="s">
        <v>1098</v>
      </c>
      <c r="C474">
        <v>51</v>
      </c>
      <c r="D474" t="s">
        <v>1038</v>
      </c>
      <c r="E474" s="1">
        <v>45062</v>
      </c>
      <c r="F474">
        <v>117</v>
      </c>
      <c r="G474">
        <v>2.7</v>
      </c>
      <c r="H474">
        <v>2023</v>
      </c>
      <c r="I474" t="s">
        <v>1033</v>
      </c>
      <c r="J474" t="s">
        <v>1034</v>
      </c>
      <c r="K474">
        <v>3</v>
      </c>
    </row>
    <row r="475" spans="1:11" x14ac:dyDescent="0.3">
      <c r="A475" t="s">
        <v>1519</v>
      </c>
      <c r="B475" t="s">
        <v>1059</v>
      </c>
      <c r="C475">
        <v>21</v>
      </c>
      <c r="D475" t="s">
        <v>1024</v>
      </c>
      <c r="E475" s="1">
        <v>45062</v>
      </c>
      <c r="F475">
        <v>63</v>
      </c>
      <c r="G475">
        <v>4.2</v>
      </c>
      <c r="H475">
        <v>2023</v>
      </c>
      <c r="I475" t="s">
        <v>1033</v>
      </c>
      <c r="J475" t="s">
        <v>1056</v>
      </c>
      <c r="K475">
        <v>4</v>
      </c>
    </row>
    <row r="476" spans="1:11" x14ac:dyDescent="0.3">
      <c r="A476" t="s">
        <v>1520</v>
      </c>
      <c r="B476" t="s">
        <v>1023</v>
      </c>
      <c r="C476">
        <v>80</v>
      </c>
      <c r="D476" t="s">
        <v>1038</v>
      </c>
      <c r="E476" s="1">
        <v>45063</v>
      </c>
      <c r="F476">
        <v>145</v>
      </c>
      <c r="G476">
        <v>4.9000000000000004</v>
      </c>
      <c r="H476">
        <v>2023</v>
      </c>
      <c r="I476" t="s">
        <v>1048</v>
      </c>
      <c r="J476" t="s">
        <v>1019</v>
      </c>
      <c r="K476">
        <v>5</v>
      </c>
    </row>
    <row r="477" spans="1:11" x14ac:dyDescent="0.3">
      <c r="A477" t="s">
        <v>1521</v>
      </c>
      <c r="B477" t="s">
        <v>1098</v>
      </c>
      <c r="C477">
        <v>139</v>
      </c>
      <c r="D477" t="s">
        <v>1029</v>
      </c>
      <c r="E477" s="1">
        <v>45063</v>
      </c>
      <c r="F477">
        <v>220</v>
      </c>
      <c r="G477">
        <v>3.2</v>
      </c>
      <c r="H477">
        <v>2023</v>
      </c>
      <c r="I477" t="s">
        <v>1048</v>
      </c>
      <c r="J477" t="s">
        <v>1031</v>
      </c>
      <c r="K477">
        <v>3</v>
      </c>
    </row>
    <row r="478" spans="1:11" x14ac:dyDescent="0.3">
      <c r="A478" t="s">
        <v>1522</v>
      </c>
      <c r="B478" t="s">
        <v>1047</v>
      </c>
      <c r="C478">
        <v>50</v>
      </c>
      <c r="D478" t="s">
        <v>1024</v>
      </c>
      <c r="E478" s="1">
        <v>45063</v>
      </c>
      <c r="F478">
        <v>26</v>
      </c>
      <c r="G478">
        <v>4.7</v>
      </c>
      <c r="H478">
        <v>2023</v>
      </c>
      <c r="I478" t="s">
        <v>1048</v>
      </c>
      <c r="J478" t="s">
        <v>1034</v>
      </c>
      <c r="K478">
        <v>5</v>
      </c>
    </row>
    <row r="479" spans="1:11" x14ac:dyDescent="0.3">
      <c r="A479" t="s">
        <v>1523</v>
      </c>
      <c r="B479" t="s">
        <v>1023</v>
      </c>
      <c r="C479">
        <v>88</v>
      </c>
      <c r="D479" t="s">
        <v>1038</v>
      </c>
      <c r="E479" s="1">
        <v>45063</v>
      </c>
      <c r="F479">
        <v>78</v>
      </c>
      <c r="G479">
        <v>4.3</v>
      </c>
      <c r="H479">
        <v>2023</v>
      </c>
      <c r="I479" t="s">
        <v>1048</v>
      </c>
      <c r="J479" t="s">
        <v>1019</v>
      </c>
      <c r="K479">
        <v>4</v>
      </c>
    </row>
    <row r="480" spans="1:11" x14ac:dyDescent="0.3">
      <c r="A480" t="s">
        <v>1524</v>
      </c>
      <c r="B480" t="s">
        <v>1041</v>
      </c>
      <c r="C480">
        <v>19</v>
      </c>
      <c r="D480" t="s">
        <v>1042</v>
      </c>
      <c r="E480" s="1">
        <v>45064</v>
      </c>
      <c r="F480">
        <v>132</v>
      </c>
      <c r="G480">
        <v>4.3</v>
      </c>
      <c r="H480">
        <v>2023</v>
      </c>
      <c r="I480" t="s">
        <v>1052</v>
      </c>
      <c r="J480" t="s">
        <v>1056</v>
      </c>
      <c r="K480">
        <v>4</v>
      </c>
    </row>
    <row r="481" spans="1:11" x14ac:dyDescent="0.3">
      <c r="A481" t="s">
        <v>1525</v>
      </c>
      <c r="B481" t="s">
        <v>1055</v>
      </c>
      <c r="C481">
        <v>104</v>
      </c>
      <c r="D481" t="s">
        <v>1042</v>
      </c>
      <c r="E481" s="1">
        <v>45065</v>
      </c>
      <c r="F481">
        <v>68</v>
      </c>
      <c r="G481">
        <v>3.7</v>
      </c>
      <c r="H481">
        <v>2023</v>
      </c>
      <c r="I481" t="s">
        <v>411</v>
      </c>
      <c r="J481" t="s">
        <v>1019</v>
      </c>
      <c r="K481">
        <v>4</v>
      </c>
    </row>
    <row r="482" spans="1:11" x14ac:dyDescent="0.3">
      <c r="A482" t="s">
        <v>1526</v>
      </c>
      <c r="B482" t="s">
        <v>1021</v>
      </c>
      <c r="C482">
        <v>67</v>
      </c>
      <c r="D482" t="s">
        <v>1029</v>
      </c>
      <c r="E482" s="1">
        <v>45067</v>
      </c>
      <c r="F482">
        <v>129</v>
      </c>
      <c r="G482">
        <v>4.7</v>
      </c>
      <c r="H482">
        <v>2023</v>
      </c>
      <c r="I482" t="s">
        <v>1018</v>
      </c>
      <c r="J482" t="s">
        <v>1019</v>
      </c>
      <c r="K482">
        <v>5</v>
      </c>
    </row>
    <row r="483" spans="1:11" x14ac:dyDescent="0.3">
      <c r="A483" t="s">
        <v>1527</v>
      </c>
      <c r="B483" t="s">
        <v>1068</v>
      </c>
      <c r="C483">
        <v>107</v>
      </c>
      <c r="D483" t="s">
        <v>1042</v>
      </c>
      <c r="E483" s="1">
        <v>45067</v>
      </c>
      <c r="F483">
        <v>115</v>
      </c>
      <c r="G483">
        <v>4.9000000000000004</v>
      </c>
      <c r="H483">
        <v>2023</v>
      </c>
      <c r="I483" t="s">
        <v>1018</v>
      </c>
      <c r="J483" t="s">
        <v>1019</v>
      </c>
      <c r="K483">
        <v>5</v>
      </c>
    </row>
    <row r="484" spans="1:11" x14ac:dyDescent="0.3">
      <c r="A484" t="s">
        <v>1528</v>
      </c>
      <c r="B484" t="s">
        <v>1068</v>
      </c>
      <c r="C484">
        <v>93</v>
      </c>
      <c r="D484" t="s">
        <v>1042</v>
      </c>
      <c r="E484" s="1">
        <v>45067</v>
      </c>
      <c r="F484">
        <v>128</v>
      </c>
      <c r="G484">
        <v>3.9</v>
      </c>
      <c r="H484">
        <v>2023</v>
      </c>
      <c r="I484" t="s">
        <v>1018</v>
      </c>
      <c r="J484" t="s">
        <v>1019</v>
      </c>
      <c r="K484">
        <v>4</v>
      </c>
    </row>
    <row r="485" spans="1:11" x14ac:dyDescent="0.3">
      <c r="A485" t="s">
        <v>1529</v>
      </c>
      <c r="B485" t="s">
        <v>1068</v>
      </c>
      <c r="C485">
        <v>117</v>
      </c>
      <c r="D485" t="s">
        <v>1029</v>
      </c>
      <c r="E485" s="1">
        <v>45067</v>
      </c>
      <c r="F485">
        <v>90</v>
      </c>
      <c r="G485">
        <v>4.5</v>
      </c>
      <c r="H485">
        <v>2023</v>
      </c>
      <c r="I485" t="s">
        <v>1018</v>
      </c>
      <c r="J485" t="s">
        <v>1019</v>
      </c>
      <c r="K485">
        <v>5</v>
      </c>
    </row>
    <row r="486" spans="1:11" x14ac:dyDescent="0.3">
      <c r="A486" t="s">
        <v>1530</v>
      </c>
      <c r="B486" t="s">
        <v>1047</v>
      </c>
      <c r="C486">
        <v>76</v>
      </c>
      <c r="D486" t="s">
        <v>1038</v>
      </c>
      <c r="E486" s="1">
        <v>45068</v>
      </c>
      <c r="F486">
        <v>39</v>
      </c>
      <c r="G486">
        <v>4.5999999999999996</v>
      </c>
      <c r="H486">
        <v>2023</v>
      </c>
      <c r="I486" t="s">
        <v>1030</v>
      </c>
      <c r="J486" t="s">
        <v>1019</v>
      </c>
      <c r="K486">
        <v>5</v>
      </c>
    </row>
    <row r="487" spans="1:11" x14ac:dyDescent="0.3">
      <c r="A487" t="s">
        <v>1531</v>
      </c>
      <c r="B487" t="s">
        <v>1041</v>
      </c>
      <c r="C487">
        <v>64</v>
      </c>
      <c r="D487" t="s">
        <v>1042</v>
      </c>
      <c r="E487" s="1">
        <v>45068</v>
      </c>
      <c r="F487">
        <v>132</v>
      </c>
      <c r="G487">
        <v>3.3</v>
      </c>
      <c r="H487">
        <v>2023</v>
      </c>
      <c r="I487" t="s">
        <v>1030</v>
      </c>
      <c r="J487" t="s">
        <v>1019</v>
      </c>
      <c r="K487">
        <v>3</v>
      </c>
    </row>
    <row r="488" spans="1:11" x14ac:dyDescent="0.3">
      <c r="A488" t="s">
        <v>1532</v>
      </c>
      <c r="B488" t="s">
        <v>1028</v>
      </c>
      <c r="C488">
        <v>33</v>
      </c>
      <c r="D488" t="s">
        <v>1042</v>
      </c>
      <c r="E488" s="1">
        <v>45068</v>
      </c>
      <c r="F488">
        <v>170</v>
      </c>
      <c r="G488">
        <v>3.8</v>
      </c>
      <c r="H488">
        <v>2023</v>
      </c>
      <c r="I488" t="s">
        <v>1030</v>
      </c>
      <c r="J488" t="s">
        <v>1034</v>
      </c>
      <c r="K488">
        <v>4</v>
      </c>
    </row>
    <row r="489" spans="1:11" x14ac:dyDescent="0.3">
      <c r="A489" t="s">
        <v>1533</v>
      </c>
      <c r="B489" t="s">
        <v>1068</v>
      </c>
      <c r="C489">
        <v>115</v>
      </c>
      <c r="D489" t="s">
        <v>1029</v>
      </c>
      <c r="E489" s="1">
        <v>45068</v>
      </c>
      <c r="F489">
        <v>42</v>
      </c>
      <c r="G489">
        <v>4.7</v>
      </c>
      <c r="H489">
        <v>2023</v>
      </c>
      <c r="I489" t="s">
        <v>1030</v>
      </c>
      <c r="J489" t="s">
        <v>1019</v>
      </c>
      <c r="K489">
        <v>5</v>
      </c>
    </row>
    <row r="490" spans="1:11" x14ac:dyDescent="0.3">
      <c r="A490" t="s">
        <v>1534</v>
      </c>
      <c r="B490" t="s">
        <v>1026</v>
      </c>
      <c r="C490">
        <v>155</v>
      </c>
      <c r="D490" t="s">
        <v>1038</v>
      </c>
      <c r="E490" s="1">
        <v>45069</v>
      </c>
      <c r="F490">
        <v>37</v>
      </c>
      <c r="G490">
        <v>4</v>
      </c>
      <c r="H490">
        <v>2023</v>
      </c>
      <c r="I490" t="s">
        <v>1033</v>
      </c>
      <c r="J490" t="s">
        <v>1031</v>
      </c>
      <c r="K490">
        <v>4</v>
      </c>
    </row>
    <row r="491" spans="1:11" x14ac:dyDescent="0.3">
      <c r="A491" t="s">
        <v>1535</v>
      </c>
      <c r="B491" t="s">
        <v>1021</v>
      </c>
      <c r="C491">
        <v>117</v>
      </c>
      <c r="D491" t="s">
        <v>1038</v>
      </c>
      <c r="E491" s="1">
        <v>45069</v>
      </c>
      <c r="F491">
        <v>88</v>
      </c>
      <c r="G491">
        <v>4.7</v>
      </c>
      <c r="H491">
        <v>2023</v>
      </c>
      <c r="I491" t="s">
        <v>1033</v>
      </c>
      <c r="J491" t="s">
        <v>1019</v>
      </c>
      <c r="K491">
        <v>5</v>
      </c>
    </row>
    <row r="492" spans="1:11" x14ac:dyDescent="0.3">
      <c r="A492" t="s">
        <v>1536</v>
      </c>
      <c r="B492" t="s">
        <v>1098</v>
      </c>
      <c r="C492">
        <v>63</v>
      </c>
      <c r="D492" t="s">
        <v>1038</v>
      </c>
      <c r="E492" s="1">
        <v>45069</v>
      </c>
      <c r="F492">
        <v>80</v>
      </c>
      <c r="G492">
        <v>2.5</v>
      </c>
      <c r="H492">
        <v>2023</v>
      </c>
      <c r="I492" t="s">
        <v>1033</v>
      </c>
      <c r="J492" t="s">
        <v>1019</v>
      </c>
      <c r="K492">
        <v>3</v>
      </c>
    </row>
    <row r="493" spans="1:11" x14ac:dyDescent="0.3">
      <c r="A493" t="s">
        <v>1537</v>
      </c>
      <c r="B493" t="s">
        <v>1041</v>
      </c>
      <c r="C493">
        <v>59</v>
      </c>
      <c r="D493" t="s">
        <v>1017</v>
      </c>
      <c r="E493" s="1">
        <v>45070</v>
      </c>
      <c r="F493">
        <v>123</v>
      </c>
      <c r="G493">
        <v>3.6</v>
      </c>
      <c r="H493">
        <v>2023</v>
      </c>
      <c r="I493" t="s">
        <v>1048</v>
      </c>
      <c r="J493" t="s">
        <v>1034</v>
      </c>
      <c r="K493">
        <v>4</v>
      </c>
    </row>
    <row r="494" spans="1:11" x14ac:dyDescent="0.3">
      <c r="A494" t="s">
        <v>1538</v>
      </c>
      <c r="B494" t="s">
        <v>1059</v>
      </c>
      <c r="C494">
        <v>133</v>
      </c>
      <c r="D494" t="s">
        <v>1042</v>
      </c>
      <c r="E494" s="1">
        <v>45070</v>
      </c>
      <c r="F494">
        <v>31</v>
      </c>
      <c r="G494">
        <v>3.7</v>
      </c>
      <c r="H494">
        <v>2023</v>
      </c>
      <c r="I494" t="s">
        <v>1048</v>
      </c>
      <c r="J494" t="s">
        <v>1031</v>
      </c>
      <c r="K494">
        <v>4</v>
      </c>
    </row>
    <row r="495" spans="1:11" x14ac:dyDescent="0.3">
      <c r="A495" t="s">
        <v>1539</v>
      </c>
      <c r="B495" t="s">
        <v>1078</v>
      </c>
      <c r="C495">
        <v>101</v>
      </c>
      <c r="D495" t="s">
        <v>1024</v>
      </c>
      <c r="E495" s="1">
        <v>45070</v>
      </c>
      <c r="F495">
        <v>205</v>
      </c>
      <c r="G495">
        <v>3.9</v>
      </c>
      <c r="H495">
        <v>2023</v>
      </c>
      <c r="I495" t="s">
        <v>1048</v>
      </c>
      <c r="J495" t="s">
        <v>1019</v>
      </c>
      <c r="K495">
        <v>4</v>
      </c>
    </row>
    <row r="496" spans="1:11" x14ac:dyDescent="0.3">
      <c r="A496" t="s">
        <v>1540</v>
      </c>
      <c r="B496" t="s">
        <v>1045</v>
      </c>
      <c r="C496">
        <v>151</v>
      </c>
      <c r="D496" t="s">
        <v>1038</v>
      </c>
      <c r="E496" s="1">
        <v>45071</v>
      </c>
      <c r="F496">
        <v>123</v>
      </c>
      <c r="G496">
        <v>3.7</v>
      </c>
      <c r="H496">
        <v>2023</v>
      </c>
      <c r="I496" t="s">
        <v>1052</v>
      </c>
      <c r="J496" t="s">
        <v>1031</v>
      </c>
      <c r="K496">
        <v>4</v>
      </c>
    </row>
    <row r="497" spans="1:11" x14ac:dyDescent="0.3">
      <c r="A497" t="s">
        <v>1541</v>
      </c>
      <c r="B497" t="s">
        <v>1028</v>
      </c>
      <c r="C497">
        <v>146</v>
      </c>
      <c r="D497" t="s">
        <v>1042</v>
      </c>
      <c r="E497" s="1">
        <v>45071</v>
      </c>
      <c r="F497">
        <v>123</v>
      </c>
      <c r="G497">
        <v>4.3</v>
      </c>
      <c r="H497">
        <v>2023</v>
      </c>
      <c r="I497" t="s">
        <v>1052</v>
      </c>
      <c r="J497" t="s">
        <v>1031</v>
      </c>
      <c r="K497">
        <v>4</v>
      </c>
    </row>
    <row r="498" spans="1:11" x14ac:dyDescent="0.3">
      <c r="A498" t="s">
        <v>1542</v>
      </c>
      <c r="B498" t="s">
        <v>1098</v>
      </c>
      <c r="C498">
        <v>148</v>
      </c>
      <c r="D498" t="s">
        <v>1042</v>
      </c>
      <c r="E498" s="1">
        <v>45071</v>
      </c>
      <c r="F498">
        <v>36</v>
      </c>
      <c r="G498">
        <v>2.9</v>
      </c>
      <c r="H498">
        <v>2023</v>
      </c>
      <c r="I498" t="s">
        <v>1052</v>
      </c>
      <c r="J498" t="s">
        <v>1031</v>
      </c>
      <c r="K498">
        <v>3</v>
      </c>
    </row>
    <row r="499" spans="1:11" x14ac:dyDescent="0.3">
      <c r="A499" t="s">
        <v>1543</v>
      </c>
      <c r="B499" t="s">
        <v>1045</v>
      </c>
      <c r="C499">
        <v>81</v>
      </c>
      <c r="D499" t="s">
        <v>1042</v>
      </c>
      <c r="E499" s="1">
        <v>45071</v>
      </c>
      <c r="F499">
        <v>116</v>
      </c>
      <c r="G499">
        <v>4.3</v>
      </c>
      <c r="H499">
        <v>2023</v>
      </c>
      <c r="I499" t="s">
        <v>1052</v>
      </c>
      <c r="J499" t="s">
        <v>1019</v>
      </c>
      <c r="K499">
        <v>4</v>
      </c>
    </row>
    <row r="500" spans="1:11" x14ac:dyDescent="0.3">
      <c r="A500" t="s">
        <v>1544</v>
      </c>
      <c r="B500" t="s">
        <v>1055</v>
      </c>
      <c r="C500">
        <v>115</v>
      </c>
      <c r="D500" t="s">
        <v>1042</v>
      </c>
      <c r="E500" s="1">
        <v>45071</v>
      </c>
      <c r="F500">
        <v>40</v>
      </c>
      <c r="G500">
        <v>4.9000000000000004</v>
      </c>
      <c r="H500">
        <v>2023</v>
      </c>
      <c r="I500" t="s">
        <v>1052</v>
      </c>
      <c r="J500" t="s">
        <v>1019</v>
      </c>
      <c r="K500">
        <v>5</v>
      </c>
    </row>
    <row r="501" spans="1:11" x14ac:dyDescent="0.3">
      <c r="A501" t="s">
        <v>1545</v>
      </c>
      <c r="B501" t="s">
        <v>1055</v>
      </c>
      <c r="C501">
        <v>117</v>
      </c>
      <c r="D501" t="s">
        <v>1038</v>
      </c>
      <c r="E501" s="1">
        <v>45071</v>
      </c>
      <c r="F501">
        <v>40</v>
      </c>
      <c r="G501">
        <v>4</v>
      </c>
      <c r="H501">
        <v>2023</v>
      </c>
      <c r="I501" t="s">
        <v>1052</v>
      </c>
      <c r="J501" t="s">
        <v>1019</v>
      </c>
      <c r="K501">
        <v>4</v>
      </c>
    </row>
    <row r="502" spans="1:11" x14ac:dyDescent="0.3">
      <c r="A502" t="s">
        <v>1546</v>
      </c>
      <c r="B502" t="s">
        <v>1078</v>
      </c>
      <c r="C502">
        <v>110</v>
      </c>
      <c r="D502" t="s">
        <v>1029</v>
      </c>
      <c r="E502" s="1">
        <v>45072</v>
      </c>
      <c r="F502">
        <v>82</v>
      </c>
      <c r="G502">
        <v>4</v>
      </c>
      <c r="H502">
        <v>2023</v>
      </c>
      <c r="I502" t="s">
        <v>411</v>
      </c>
      <c r="J502" t="s">
        <v>1019</v>
      </c>
      <c r="K502">
        <v>4</v>
      </c>
    </row>
    <row r="503" spans="1:11" x14ac:dyDescent="0.3">
      <c r="A503" t="s">
        <v>1547</v>
      </c>
      <c r="B503" t="s">
        <v>1047</v>
      </c>
      <c r="C503">
        <v>103</v>
      </c>
      <c r="D503" t="s">
        <v>1017</v>
      </c>
      <c r="E503" s="1">
        <v>45072</v>
      </c>
      <c r="F503">
        <v>62</v>
      </c>
      <c r="G503">
        <v>3.4</v>
      </c>
      <c r="H503">
        <v>2023</v>
      </c>
      <c r="I503" t="s">
        <v>411</v>
      </c>
      <c r="J503" t="s">
        <v>1019</v>
      </c>
      <c r="K503">
        <v>3</v>
      </c>
    </row>
    <row r="504" spans="1:11" x14ac:dyDescent="0.3">
      <c r="A504" t="s">
        <v>1548</v>
      </c>
      <c r="B504" t="s">
        <v>1026</v>
      </c>
      <c r="C504">
        <v>45</v>
      </c>
      <c r="D504" t="s">
        <v>1017</v>
      </c>
      <c r="E504" s="1">
        <v>45072</v>
      </c>
      <c r="F504">
        <v>135</v>
      </c>
      <c r="G504">
        <v>3.9</v>
      </c>
      <c r="H504">
        <v>2023</v>
      </c>
      <c r="I504" t="s">
        <v>411</v>
      </c>
      <c r="J504" t="s">
        <v>1034</v>
      </c>
      <c r="K504">
        <v>4</v>
      </c>
    </row>
    <row r="505" spans="1:11" x14ac:dyDescent="0.3">
      <c r="A505" t="s">
        <v>1549</v>
      </c>
      <c r="B505" t="s">
        <v>1078</v>
      </c>
      <c r="C505">
        <v>110</v>
      </c>
      <c r="D505" t="s">
        <v>1024</v>
      </c>
      <c r="E505" s="1">
        <v>45072</v>
      </c>
      <c r="F505">
        <v>155</v>
      </c>
      <c r="G505">
        <v>2.1</v>
      </c>
      <c r="H505">
        <v>2023</v>
      </c>
      <c r="I505" t="s">
        <v>411</v>
      </c>
      <c r="J505" t="s">
        <v>1019</v>
      </c>
      <c r="K505">
        <v>2</v>
      </c>
    </row>
    <row r="506" spans="1:11" x14ac:dyDescent="0.3">
      <c r="A506" t="s">
        <v>1550</v>
      </c>
      <c r="B506" t="s">
        <v>1041</v>
      </c>
      <c r="C506">
        <v>43</v>
      </c>
      <c r="D506" t="s">
        <v>1029</v>
      </c>
      <c r="E506" s="1">
        <v>45072</v>
      </c>
      <c r="F506">
        <v>37</v>
      </c>
      <c r="G506">
        <v>4.9000000000000004</v>
      </c>
      <c r="H506">
        <v>2023</v>
      </c>
      <c r="I506" t="s">
        <v>411</v>
      </c>
      <c r="J506" t="s">
        <v>1034</v>
      </c>
      <c r="K506">
        <v>5</v>
      </c>
    </row>
    <row r="507" spans="1:11" x14ac:dyDescent="0.3">
      <c r="A507" t="s">
        <v>1551</v>
      </c>
      <c r="B507" t="s">
        <v>1078</v>
      </c>
      <c r="C507">
        <v>104</v>
      </c>
      <c r="D507" t="s">
        <v>1038</v>
      </c>
      <c r="E507" s="1">
        <v>45073</v>
      </c>
      <c r="F507">
        <v>56</v>
      </c>
      <c r="G507">
        <v>3.4</v>
      </c>
      <c r="H507">
        <v>2023</v>
      </c>
      <c r="I507" t="s">
        <v>1062</v>
      </c>
      <c r="J507" t="s">
        <v>1019</v>
      </c>
      <c r="K507">
        <v>3</v>
      </c>
    </row>
    <row r="508" spans="1:11" x14ac:dyDescent="0.3">
      <c r="A508" t="s">
        <v>1552</v>
      </c>
      <c r="B508" t="s">
        <v>1078</v>
      </c>
      <c r="C508">
        <v>101</v>
      </c>
      <c r="D508" t="s">
        <v>1038</v>
      </c>
      <c r="E508" s="1">
        <v>45073</v>
      </c>
      <c r="F508">
        <v>185</v>
      </c>
      <c r="G508">
        <v>5</v>
      </c>
      <c r="H508">
        <v>2023</v>
      </c>
      <c r="I508" t="s">
        <v>1062</v>
      </c>
      <c r="J508" t="s">
        <v>1019</v>
      </c>
      <c r="K508">
        <v>5</v>
      </c>
    </row>
    <row r="509" spans="1:11" x14ac:dyDescent="0.3">
      <c r="A509" t="s">
        <v>1553</v>
      </c>
      <c r="B509" t="s">
        <v>1016</v>
      </c>
      <c r="C509">
        <v>55</v>
      </c>
      <c r="D509" t="s">
        <v>1029</v>
      </c>
      <c r="E509" s="1">
        <v>45074</v>
      </c>
      <c r="F509">
        <v>145</v>
      </c>
      <c r="G509">
        <v>4.5</v>
      </c>
      <c r="H509">
        <v>2023</v>
      </c>
      <c r="I509" t="s">
        <v>1018</v>
      </c>
      <c r="J509" t="s">
        <v>1034</v>
      </c>
      <c r="K509">
        <v>5</v>
      </c>
    </row>
    <row r="510" spans="1:11" x14ac:dyDescent="0.3">
      <c r="A510" t="s">
        <v>1554</v>
      </c>
      <c r="B510" t="s">
        <v>1045</v>
      </c>
      <c r="C510">
        <v>40</v>
      </c>
      <c r="D510" t="s">
        <v>1017</v>
      </c>
      <c r="E510" s="1">
        <v>45074</v>
      </c>
      <c r="F510">
        <v>116</v>
      </c>
      <c r="G510">
        <v>2.6</v>
      </c>
      <c r="H510">
        <v>2023</v>
      </c>
      <c r="I510" t="s">
        <v>1018</v>
      </c>
      <c r="J510" t="s">
        <v>1034</v>
      </c>
      <c r="K510">
        <v>3</v>
      </c>
    </row>
    <row r="511" spans="1:11" x14ac:dyDescent="0.3">
      <c r="A511" t="s">
        <v>1555</v>
      </c>
      <c r="B511" t="s">
        <v>1041</v>
      </c>
      <c r="C511">
        <v>122</v>
      </c>
      <c r="D511" t="s">
        <v>1042</v>
      </c>
      <c r="E511" s="1">
        <v>45074</v>
      </c>
      <c r="F511">
        <v>45</v>
      </c>
      <c r="G511">
        <v>4.2</v>
      </c>
      <c r="H511">
        <v>2023</v>
      </c>
      <c r="I511" t="s">
        <v>1018</v>
      </c>
      <c r="J511" t="s">
        <v>1031</v>
      </c>
      <c r="K511">
        <v>4</v>
      </c>
    </row>
    <row r="512" spans="1:11" x14ac:dyDescent="0.3">
      <c r="A512" t="s">
        <v>1556</v>
      </c>
      <c r="B512" t="s">
        <v>1028</v>
      </c>
      <c r="C512">
        <v>98</v>
      </c>
      <c r="D512" t="s">
        <v>1038</v>
      </c>
      <c r="E512" s="1">
        <v>45075</v>
      </c>
      <c r="F512">
        <v>35</v>
      </c>
      <c r="G512">
        <v>4.5</v>
      </c>
      <c r="H512">
        <v>2023</v>
      </c>
      <c r="I512" t="s">
        <v>1030</v>
      </c>
      <c r="J512" t="s">
        <v>1019</v>
      </c>
      <c r="K512">
        <v>5</v>
      </c>
    </row>
    <row r="513" spans="1:11" x14ac:dyDescent="0.3">
      <c r="A513" t="s">
        <v>1557</v>
      </c>
      <c r="B513" t="s">
        <v>1055</v>
      </c>
      <c r="C513">
        <v>110</v>
      </c>
      <c r="D513" t="s">
        <v>1017</v>
      </c>
      <c r="E513" s="1">
        <v>45075</v>
      </c>
      <c r="F513">
        <v>100</v>
      </c>
      <c r="G513">
        <v>4.4000000000000004</v>
      </c>
      <c r="H513">
        <v>2023</v>
      </c>
      <c r="I513" t="s">
        <v>1030</v>
      </c>
      <c r="J513" t="s">
        <v>1019</v>
      </c>
      <c r="K513">
        <v>4</v>
      </c>
    </row>
    <row r="514" spans="1:11" x14ac:dyDescent="0.3">
      <c r="A514" t="s">
        <v>1558</v>
      </c>
      <c r="B514" t="s">
        <v>1055</v>
      </c>
      <c r="C514">
        <v>62</v>
      </c>
      <c r="D514" t="s">
        <v>1029</v>
      </c>
      <c r="E514" s="1">
        <v>45076</v>
      </c>
      <c r="F514">
        <v>125</v>
      </c>
      <c r="G514">
        <v>3.5</v>
      </c>
      <c r="H514">
        <v>2023</v>
      </c>
      <c r="I514" t="s">
        <v>1033</v>
      </c>
      <c r="J514" t="s">
        <v>1019</v>
      </c>
      <c r="K514">
        <v>4</v>
      </c>
    </row>
    <row r="515" spans="1:11" x14ac:dyDescent="0.3">
      <c r="A515" t="s">
        <v>1559</v>
      </c>
      <c r="B515" t="s">
        <v>1041</v>
      </c>
      <c r="C515">
        <v>134</v>
      </c>
      <c r="D515" t="s">
        <v>1042</v>
      </c>
      <c r="E515" s="1">
        <v>45076</v>
      </c>
      <c r="F515">
        <v>120</v>
      </c>
      <c r="G515">
        <v>3</v>
      </c>
      <c r="H515">
        <v>2023</v>
      </c>
      <c r="I515" t="s">
        <v>1033</v>
      </c>
      <c r="J515" t="s">
        <v>1031</v>
      </c>
      <c r="K515">
        <v>3</v>
      </c>
    </row>
    <row r="516" spans="1:11" x14ac:dyDescent="0.3">
      <c r="A516" t="s">
        <v>1560</v>
      </c>
      <c r="B516" t="s">
        <v>1065</v>
      </c>
      <c r="C516">
        <v>94</v>
      </c>
      <c r="D516" t="s">
        <v>1024</v>
      </c>
      <c r="E516" s="1">
        <v>45076</v>
      </c>
      <c r="F516">
        <v>180</v>
      </c>
      <c r="G516">
        <v>4.7</v>
      </c>
      <c r="H516">
        <v>2023</v>
      </c>
      <c r="I516" t="s">
        <v>1033</v>
      </c>
      <c r="J516" t="s">
        <v>1019</v>
      </c>
      <c r="K516">
        <v>5</v>
      </c>
    </row>
    <row r="517" spans="1:11" x14ac:dyDescent="0.3">
      <c r="A517" t="s">
        <v>1561</v>
      </c>
      <c r="B517" t="s">
        <v>1036</v>
      </c>
      <c r="C517">
        <v>63</v>
      </c>
      <c r="D517" t="s">
        <v>1017</v>
      </c>
      <c r="E517" s="1">
        <v>45076</v>
      </c>
      <c r="F517">
        <v>44</v>
      </c>
      <c r="G517">
        <v>3</v>
      </c>
      <c r="H517">
        <v>2023</v>
      </c>
      <c r="I517" t="s">
        <v>1033</v>
      </c>
      <c r="J517" t="s">
        <v>1019</v>
      </c>
      <c r="K517">
        <v>3</v>
      </c>
    </row>
    <row r="518" spans="1:11" x14ac:dyDescent="0.3">
      <c r="A518" t="s">
        <v>1562</v>
      </c>
      <c r="B518" t="s">
        <v>1059</v>
      </c>
      <c r="C518">
        <v>95</v>
      </c>
      <c r="D518" t="s">
        <v>1042</v>
      </c>
      <c r="E518" s="1">
        <v>45076</v>
      </c>
      <c r="F518">
        <v>86</v>
      </c>
      <c r="G518">
        <v>3.6</v>
      </c>
      <c r="H518">
        <v>2023</v>
      </c>
      <c r="I518" t="s">
        <v>1033</v>
      </c>
      <c r="J518" t="s">
        <v>1019</v>
      </c>
      <c r="K518">
        <v>4</v>
      </c>
    </row>
    <row r="519" spans="1:11" x14ac:dyDescent="0.3">
      <c r="A519" t="s">
        <v>1563</v>
      </c>
      <c r="B519" t="s">
        <v>1041</v>
      </c>
      <c r="C519">
        <v>106</v>
      </c>
      <c r="D519" t="s">
        <v>1042</v>
      </c>
      <c r="E519" s="1">
        <v>45077</v>
      </c>
      <c r="F519">
        <v>120</v>
      </c>
      <c r="G519">
        <v>4.0999999999999996</v>
      </c>
      <c r="H519">
        <v>2023</v>
      </c>
      <c r="I519" t="s">
        <v>1048</v>
      </c>
      <c r="J519" t="s">
        <v>1019</v>
      </c>
      <c r="K519">
        <v>4</v>
      </c>
    </row>
    <row r="520" spans="1:11" x14ac:dyDescent="0.3">
      <c r="A520" t="s">
        <v>1564</v>
      </c>
      <c r="B520" t="s">
        <v>1026</v>
      </c>
      <c r="C520">
        <v>94</v>
      </c>
      <c r="D520" t="s">
        <v>1024</v>
      </c>
      <c r="E520" s="1">
        <v>45077</v>
      </c>
      <c r="F520">
        <v>100</v>
      </c>
      <c r="G520">
        <v>3.7</v>
      </c>
      <c r="H520">
        <v>2023</v>
      </c>
      <c r="I520" t="s">
        <v>1048</v>
      </c>
      <c r="J520" t="s">
        <v>1019</v>
      </c>
      <c r="K520">
        <v>4</v>
      </c>
    </row>
    <row r="521" spans="1:11" x14ac:dyDescent="0.3">
      <c r="A521" t="s">
        <v>1565</v>
      </c>
      <c r="B521" t="s">
        <v>1026</v>
      </c>
      <c r="C521">
        <v>51</v>
      </c>
      <c r="D521" t="s">
        <v>1024</v>
      </c>
      <c r="E521" s="1">
        <v>45078</v>
      </c>
      <c r="F521">
        <v>108</v>
      </c>
      <c r="G521">
        <v>4.5</v>
      </c>
      <c r="H521">
        <v>2023</v>
      </c>
      <c r="I521" t="s">
        <v>1052</v>
      </c>
      <c r="J521" t="s">
        <v>1034</v>
      </c>
      <c r="K521">
        <v>5</v>
      </c>
    </row>
    <row r="522" spans="1:11" x14ac:dyDescent="0.3">
      <c r="A522" t="s">
        <v>1566</v>
      </c>
      <c r="B522" t="s">
        <v>1098</v>
      </c>
      <c r="C522">
        <v>39</v>
      </c>
      <c r="D522" t="s">
        <v>1024</v>
      </c>
      <c r="E522" s="1">
        <v>45078</v>
      </c>
      <c r="F522">
        <v>46</v>
      </c>
      <c r="G522">
        <v>4.5999999999999996</v>
      </c>
      <c r="H522">
        <v>2023</v>
      </c>
      <c r="I522" t="s">
        <v>1052</v>
      </c>
      <c r="J522" t="s">
        <v>1034</v>
      </c>
      <c r="K522">
        <v>5</v>
      </c>
    </row>
    <row r="523" spans="1:11" x14ac:dyDescent="0.3">
      <c r="A523" t="s">
        <v>1567</v>
      </c>
      <c r="B523" t="s">
        <v>1045</v>
      </c>
      <c r="C523">
        <v>111</v>
      </c>
      <c r="D523" t="s">
        <v>1042</v>
      </c>
      <c r="E523" s="1">
        <v>45078</v>
      </c>
      <c r="F523">
        <v>210</v>
      </c>
      <c r="G523">
        <v>4.3</v>
      </c>
      <c r="H523">
        <v>2023</v>
      </c>
      <c r="I523" t="s">
        <v>1052</v>
      </c>
      <c r="J523" t="s">
        <v>1019</v>
      </c>
      <c r="K523">
        <v>4</v>
      </c>
    </row>
    <row r="524" spans="1:11" x14ac:dyDescent="0.3">
      <c r="A524" t="s">
        <v>1568</v>
      </c>
      <c r="B524" t="s">
        <v>1068</v>
      </c>
      <c r="C524">
        <v>141</v>
      </c>
      <c r="D524" t="s">
        <v>1029</v>
      </c>
      <c r="E524" s="1">
        <v>45080</v>
      </c>
      <c r="F524">
        <v>54</v>
      </c>
      <c r="G524">
        <v>4.8</v>
      </c>
      <c r="H524">
        <v>2023</v>
      </c>
      <c r="I524" t="s">
        <v>1062</v>
      </c>
      <c r="J524" t="s">
        <v>1031</v>
      </c>
      <c r="K524">
        <v>5</v>
      </c>
    </row>
    <row r="525" spans="1:11" x14ac:dyDescent="0.3">
      <c r="A525" t="s">
        <v>1569</v>
      </c>
      <c r="B525" t="s">
        <v>1036</v>
      </c>
      <c r="C525">
        <v>147</v>
      </c>
      <c r="D525" t="s">
        <v>1042</v>
      </c>
      <c r="E525" s="1">
        <v>45080</v>
      </c>
      <c r="F525">
        <v>115</v>
      </c>
      <c r="G525">
        <v>4.7</v>
      </c>
      <c r="H525">
        <v>2023</v>
      </c>
      <c r="I525" t="s">
        <v>1062</v>
      </c>
      <c r="J525" t="s">
        <v>1031</v>
      </c>
      <c r="K525">
        <v>5</v>
      </c>
    </row>
    <row r="526" spans="1:11" x14ac:dyDescent="0.3">
      <c r="A526" t="s">
        <v>1570</v>
      </c>
      <c r="B526" t="s">
        <v>1065</v>
      </c>
      <c r="C526">
        <v>49</v>
      </c>
      <c r="D526" t="s">
        <v>1024</v>
      </c>
      <c r="E526" s="1">
        <v>45081</v>
      </c>
      <c r="F526">
        <v>100</v>
      </c>
      <c r="G526">
        <v>2.2000000000000002</v>
      </c>
      <c r="H526">
        <v>2023</v>
      </c>
      <c r="I526" t="s">
        <v>1018</v>
      </c>
      <c r="J526" t="s">
        <v>1034</v>
      </c>
      <c r="K526">
        <v>2</v>
      </c>
    </row>
    <row r="527" spans="1:11" x14ac:dyDescent="0.3">
      <c r="A527" t="s">
        <v>1571</v>
      </c>
      <c r="B527" t="s">
        <v>1023</v>
      </c>
      <c r="C527">
        <v>75</v>
      </c>
      <c r="D527" t="s">
        <v>1042</v>
      </c>
      <c r="E527" s="1">
        <v>45081</v>
      </c>
      <c r="F527">
        <v>38</v>
      </c>
      <c r="G527">
        <v>4.4000000000000004</v>
      </c>
      <c r="H527">
        <v>2023</v>
      </c>
      <c r="I527" t="s">
        <v>1018</v>
      </c>
      <c r="J527" t="s">
        <v>1019</v>
      </c>
      <c r="K527">
        <v>4</v>
      </c>
    </row>
    <row r="528" spans="1:11" x14ac:dyDescent="0.3">
      <c r="A528" t="s">
        <v>1572</v>
      </c>
      <c r="B528" t="s">
        <v>1068</v>
      </c>
      <c r="C528">
        <v>48</v>
      </c>
      <c r="D528" t="s">
        <v>1029</v>
      </c>
      <c r="E528" s="1">
        <v>45082</v>
      </c>
      <c r="F528">
        <v>120</v>
      </c>
      <c r="G528">
        <v>4.0999999999999996</v>
      </c>
      <c r="H528">
        <v>2023</v>
      </c>
      <c r="I528" t="s">
        <v>1030</v>
      </c>
      <c r="J528" t="s">
        <v>1034</v>
      </c>
      <c r="K528">
        <v>4</v>
      </c>
    </row>
    <row r="529" spans="1:11" x14ac:dyDescent="0.3">
      <c r="A529" t="s">
        <v>1573</v>
      </c>
      <c r="B529" t="s">
        <v>1055</v>
      </c>
      <c r="C529">
        <v>48</v>
      </c>
      <c r="D529" t="s">
        <v>1029</v>
      </c>
      <c r="E529" s="1">
        <v>45082</v>
      </c>
      <c r="F529">
        <v>120</v>
      </c>
      <c r="G529">
        <v>4.0999999999999996</v>
      </c>
      <c r="H529">
        <v>2023</v>
      </c>
      <c r="I529" t="s">
        <v>1030</v>
      </c>
      <c r="J529" t="s">
        <v>1034</v>
      </c>
      <c r="K529">
        <v>4</v>
      </c>
    </row>
    <row r="530" spans="1:11" x14ac:dyDescent="0.3">
      <c r="A530" t="s">
        <v>1574</v>
      </c>
      <c r="B530" t="s">
        <v>1021</v>
      </c>
      <c r="C530">
        <v>138</v>
      </c>
      <c r="D530" t="s">
        <v>1024</v>
      </c>
      <c r="E530" s="1">
        <v>45082</v>
      </c>
      <c r="F530">
        <v>29</v>
      </c>
      <c r="G530">
        <v>4.4000000000000004</v>
      </c>
      <c r="H530">
        <v>2023</v>
      </c>
      <c r="I530" t="s">
        <v>1030</v>
      </c>
      <c r="J530" t="s">
        <v>1031</v>
      </c>
      <c r="K530">
        <v>4</v>
      </c>
    </row>
    <row r="531" spans="1:11" x14ac:dyDescent="0.3">
      <c r="A531" t="s">
        <v>1575</v>
      </c>
      <c r="B531" t="s">
        <v>1059</v>
      </c>
      <c r="C531">
        <v>144</v>
      </c>
      <c r="D531" t="s">
        <v>1024</v>
      </c>
      <c r="E531" s="1">
        <v>45083</v>
      </c>
      <c r="F531">
        <v>25</v>
      </c>
      <c r="G531">
        <v>3.7</v>
      </c>
      <c r="H531">
        <v>2023</v>
      </c>
      <c r="I531" t="s">
        <v>1033</v>
      </c>
      <c r="J531" t="s">
        <v>1031</v>
      </c>
      <c r="K531">
        <v>4</v>
      </c>
    </row>
    <row r="532" spans="1:11" x14ac:dyDescent="0.3">
      <c r="A532" t="s">
        <v>1576</v>
      </c>
      <c r="B532" t="s">
        <v>1078</v>
      </c>
      <c r="C532">
        <v>119</v>
      </c>
      <c r="D532" t="s">
        <v>1042</v>
      </c>
      <c r="E532" s="1">
        <v>45084</v>
      </c>
      <c r="F532">
        <v>116</v>
      </c>
      <c r="G532">
        <v>3.8</v>
      </c>
      <c r="H532">
        <v>2023</v>
      </c>
      <c r="I532" t="s">
        <v>1048</v>
      </c>
      <c r="J532" t="s">
        <v>1019</v>
      </c>
      <c r="K532">
        <v>4</v>
      </c>
    </row>
    <row r="533" spans="1:11" x14ac:dyDescent="0.3">
      <c r="A533" t="s">
        <v>1577</v>
      </c>
      <c r="B533" t="s">
        <v>1021</v>
      </c>
      <c r="C533">
        <v>101</v>
      </c>
      <c r="D533" t="s">
        <v>1029</v>
      </c>
      <c r="E533" s="1">
        <v>45085</v>
      </c>
      <c r="F533">
        <v>132</v>
      </c>
      <c r="G533">
        <v>4.3</v>
      </c>
      <c r="H533">
        <v>2023</v>
      </c>
      <c r="I533" t="s">
        <v>1052</v>
      </c>
      <c r="J533" t="s">
        <v>1019</v>
      </c>
      <c r="K533">
        <v>4</v>
      </c>
    </row>
    <row r="534" spans="1:11" x14ac:dyDescent="0.3">
      <c r="A534" t="s">
        <v>1578</v>
      </c>
      <c r="B534" t="s">
        <v>1059</v>
      </c>
      <c r="C534">
        <v>59</v>
      </c>
      <c r="D534" t="s">
        <v>1042</v>
      </c>
      <c r="E534" s="1">
        <v>45086</v>
      </c>
      <c r="F534">
        <v>90</v>
      </c>
      <c r="G534">
        <v>3.5</v>
      </c>
      <c r="H534">
        <v>2023</v>
      </c>
      <c r="I534" t="s">
        <v>411</v>
      </c>
      <c r="J534" t="s">
        <v>1034</v>
      </c>
      <c r="K534">
        <v>4</v>
      </c>
    </row>
    <row r="535" spans="1:11" x14ac:dyDescent="0.3">
      <c r="A535" t="s">
        <v>1579</v>
      </c>
      <c r="B535" t="s">
        <v>1045</v>
      </c>
      <c r="C535">
        <v>125</v>
      </c>
      <c r="D535" t="s">
        <v>1017</v>
      </c>
      <c r="E535" s="1">
        <v>45086</v>
      </c>
      <c r="F535">
        <v>87</v>
      </c>
      <c r="G535">
        <v>4.0999999999999996</v>
      </c>
      <c r="H535">
        <v>2023</v>
      </c>
      <c r="I535" t="s">
        <v>411</v>
      </c>
      <c r="J535" t="s">
        <v>1031</v>
      </c>
      <c r="K535">
        <v>4</v>
      </c>
    </row>
    <row r="536" spans="1:11" x14ac:dyDescent="0.3">
      <c r="A536" t="s">
        <v>1580</v>
      </c>
      <c r="B536" t="s">
        <v>1041</v>
      </c>
      <c r="C536">
        <v>147</v>
      </c>
      <c r="D536" t="s">
        <v>1042</v>
      </c>
      <c r="E536" s="1">
        <v>45086</v>
      </c>
      <c r="F536">
        <v>140</v>
      </c>
      <c r="G536">
        <v>4.2</v>
      </c>
      <c r="H536">
        <v>2023</v>
      </c>
      <c r="I536" t="s">
        <v>411</v>
      </c>
      <c r="J536" t="s">
        <v>1031</v>
      </c>
      <c r="K536">
        <v>4</v>
      </c>
    </row>
    <row r="537" spans="1:11" x14ac:dyDescent="0.3">
      <c r="A537" t="s">
        <v>1581</v>
      </c>
      <c r="B537" t="s">
        <v>1047</v>
      </c>
      <c r="C537">
        <v>76</v>
      </c>
      <c r="D537" t="s">
        <v>1042</v>
      </c>
      <c r="E537" s="1">
        <v>45086</v>
      </c>
      <c r="F537">
        <v>164</v>
      </c>
      <c r="G537">
        <v>4.5</v>
      </c>
      <c r="H537">
        <v>2023</v>
      </c>
      <c r="I537" t="s">
        <v>411</v>
      </c>
      <c r="J537" t="s">
        <v>1019</v>
      </c>
      <c r="K537">
        <v>5</v>
      </c>
    </row>
    <row r="538" spans="1:11" x14ac:dyDescent="0.3">
      <c r="A538" t="s">
        <v>1582</v>
      </c>
      <c r="B538" t="s">
        <v>1036</v>
      </c>
      <c r="C538">
        <v>99</v>
      </c>
      <c r="D538" t="s">
        <v>1029</v>
      </c>
      <c r="E538" s="1">
        <v>45087</v>
      </c>
      <c r="F538">
        <v>180</v>
      </c>
      <c r="G538">
        <v>3.8</v>
      </c>
      <c r="H538">
        <v>2023</v>
      </c>
      <c r="I538" t="s">
        <v>1062</v>
      </c>
      <c r="J538" t="s">
        <v>1019</v>
      </c>
      <c r="K538">
        <v>4</v>
      </c>
    </row>
    <row r="539" spans="1:11" x14ac:dyDescent="0.3">
      <c r="A539" t="s">
        <v>1583</v>
      </c>
      <c r="B539" t="s">
        <v>1098</v>
      </c>
      <c r="C539">
        <v>111</v>
      </c>
      <c r="D539" t="s">
        <v>1038</v>
      </c>
      <c r="E539" s="1">
        <v>45088</v>
      </c>
      <c r="F539">
        <v>22</v>
      </c>
      <c r="G539">
        <v>4.0999999999999996</v>
      </c>
      <c r="H539">
        <v>2023</v>
      </c>
      <c r="I539" t="s">
        <v>1018</v>
      </c>
      <c r="J539" t="s">
        <v>1019</v>
      </c>
      <c r="K539">
        <v>4</v>
      </c>
    </row>
    <row r="540" spans="1:11" x14ac:dyDescent="0.3">
      <c r="A540" t="s">
        <v>1584</v>
      </c>
      <c r="B540" t="s">
        <v>1028</v>
      </c>
      <c r="C540">
        <v>147</v>
      </c>
      <c r="D540" t="s">
        <v>1017</v>
      </c>
      <c r="E540" s="1">
        <v>45088</v>
      </c>
      <c r="F540">
        <v>82</v>
      </c>
      <c r="G540">
        <v>4.4000000000000004</v>
      </c>
      <c r="H540">
        <v>2023</v>
      </c>
      <c r="I540" t="s">
        <v>1018</v>
      </c>
      <c r="J540" t="s">
        <v>1031</v>
      </c>
      <c r="K540">
        <v>4</v>
      </c>
    </row>
    <row r="541" spans="1:11" x14ac:dyDescent="0.3">
      <c r="A541" t="s">
        <v>1585</v>
      </c>
      <c r="B541" t="s">
        <v>1016</v>
      </c>
      <c r="C541">
        <v>141</v>
      </c>
      <c r="D541" t="s">
        <v>1029</v>
      </c>
      <c r="E541" s="1">
        <v>45088</v>
      </c>
      <c r="F541">
        <v>100</v>
      </c>
      <c r="G541">
        <v>4.5999999999999996</v>
      </c>
      <c r="H541">
        <v>2023</v>
      </c>
      <c r="I541" t="s">
        <v>1018</v>
      </c>
      <c r="J541" t="s">
        <v>1031</v>
      </c>
      <c r="K541">
        <v>5</v>
      </c>
    </row>
    <row r="542" spans="1:11" x14ac:dyDescent="0.3">
      <c r="A542" t="s">
        <v>1586</v>
      </c>
      <c r="B542" t="s">
        <v>1047</v>
      </c>
      <c r="C542">
        <v>71</v>
      </c>
      <c r="D542" t="s">
        <v>1042</v>
      </c>
      <c r="E542" s="1">
        <v>45089</v>
      </c>
      <c r="F542">
        <v>52</v>
      </c>
      <c r="G542">
        <v>3.4</v>
      </c>
      <c r="H542">
        <v>2023</v>
      </c>
      <c r="I542" t="s">
        <v>1030</v>
      </c>
      <c r="J542" t="s">
        <v>1019</v>
      </c>
      <c r="K542">
        <v>3</v>
      </c>
    </row>
    <row r="543" spans="1:11" x14ac:dyDescent="0.3">
      <c r="A543" t="s">
        <v>1587</v>
      </c>
      <c r="B543" t="s">
        <v>1047</v>
      </c>
      <c r="C543">
        <v>121</v>
      </c>
      <c r="D543" t="s">
        <v>1017</v>
      </c>
      <c r="E543" s="1">
        <v>45090</v>
      </c>
      <c r="F543">
        <v>84</v>
      </c>
      <c r="G543">
        <v>4.5999999999999996</v>
      </c>
      <c r="H543">
        <v>2023</v>
      </c>
      <c r="I543" t="s">
        <v>1033</v>
      </c>
      <c r="J543" t="s">
        <v>1031</v>
      </c>
      <c r="K543">
        <v>5</v>
      </c>
    </row>
    <row r="544" spans="1:11" x14ac:dyDescent="0.3">
      <c r="A544" t="s">
        <v>1588</v>
      </c>
      <c r="B544" t="s">
        <v>1047</v>
      </c>
      <c r="C544">
        <v>60</v>
      </c>
      <c r="D544" t="s">
        <v>1017</v>
      </c>
      <c r="E544" s="1">
        <v>45090</v>
      </c>
      <c r="F544">
        <v>37</v>
      </c>
      <c r="G544">
        <v>3.9</v>
      </c>
      <c r="H544">
        <v>2023</v>
      </c>
      <c r="I544" t="s">
        <v>1033</v>
      </c>
      <c r="J544" t="s">
        <v>1034</v>
      </c>
      <c r="K544">
        <v>4</v>
      </c>
    </row>
    <row r="545" spans="1:11" x14ac:dyDescent="0.3">
      <c r="A545" t="s">
        <v>1589</v>
      </c>
      <c r="B545" t="s">
        <v>1065</v>
      </c>
      <c r="C545">
        <v>158</v>
      </c>
      <c r="D545" t="s">
        <v>1029</v>
      </c>
      <c r="E545" s="1">
        <v>45091</v>
      </c>
      <c r="F545">
        <v>190</v>
      </c>
      <c r="G545">
        <v>4</v>
      </c>
      <c r="H545">
        <v>2023</v>
      </c>
      <c r="I545" t="s">
        <v>1048</v>
      </c>
      <c r="J545" t="s">
        <v>1031</v>
      </c>
      <c r="K545">
        <v>4</v>
      </c>
    </row>
    <row r="546" spans="1:11" x14ac:dyDescent="0.3">
      <c r="A546" t="s">
        <v>1590</v>
      </c>
      <c r="B546" t="s">
        <v>1041</v>
      </c>
      <c r="C546">
        <v>159</v>
      </c>
      <c r="D546" t="s">
        <v>1024</v>
      </c>
      <c r="E546" s="1">
        <v>45091</v>
      </c>
      <c r="F546">
        <v>66</v>
      </c>
      <c r="G546">
        <v>3.4</v>
      </c>
      <c r="H546">
        <v>2023</v>
      </c>
      <c r="I546" t="s">
        <v>1048</v>
      </c>
      <c r="J546" t="s">
        <v>1031</v>
      </c>
      <c r="K546">
        <v>3</v>
      </c>
    </row>
    <row r="547" spans="1:11" x14ac:dyDescent="0.3">
      <c r="A547" t="s">
        <v>1591</v>
      </c>
      <c r="B547" t="s">
        <v>1021</v>
      </c>
      <c r="C547">
        <v>70</v>
      </c>
      <c r="D547" t="s">
        <v>1042</v>
      </c>
      <c r="E547" s="1">
        <v>45092</v>
      </c>
      <c r="F547">
        <v>116</v>
      </c>
      <c r="G547">
        <v>3.2</v>
      </c>
      <c r="H547">
        <v>2023</v>
      </c>
      <c r="I547" t="s">
        <v>1052</v>
      </c>
      <c r="J547" t="s">
        <v>1019</v>
      </c>
      <c r="K547">
        <v>3</v>
      </c>
    </row>
    <row r="548" spans="1:11" x14ac:dyDescent="0.3">
      <c r="A548" t="s">
        <v>1592</v>
      </c>
      <c r="B548" t="s">
        <v>1068</v>
      </c>
      <c r="C548">
        <v>78</v>
      </c>
      <c r="D548" t="s">
        <v>1038</v>
      </c>
      <c r="E548" s="1">
        <v>45092</v>
      </c>
      <c r="F548">
        <v>28</v>
      </c>
      <c r="G548">
        <v>3.9</v>
      </c>
      <c r="H548">
        <v>2023</v>
      </c>
      <c r="I548" t="s">
        <v>1052</v>
      </c>
      <c r="J548" t="s">
        <v>1019</v>
      </c>
      <c r="K548">
        <v>4</v>
      </c>
    </row>
    <row r="549" spans="1:11" x14ac:dyDescent="0.3">
      <c r="A549" t="s">
        <v>1593</v>
      </c>
      <c r="B549" t="s">
        <v>1028</v>
      </c>
      <c r="C549">
        <v>103</v>
      </c>
      <c r="D549" t="s">
        <v>1042</v>
      </c>
      <c r="E549" s="1">
        <v>45092</v>
      </c>
      <c r="F549">
        <v>120</v>
      </c>
      <c r="G549">
        <v>5</v>
      </c>
      <c r="H549">
        <v>2023</v>
      </c>
      <c r="I549" t="s">
        <v>1052</v>
      </c>
      <c r="J549" t="s">
        <v>1019</v>
      </c>
      <c r="K549">
        <v>5</v>
      </c>
    </row>
    <row r="550" spans="1:11" x14ac:dyDescent="0.3">
      <c r="A550" t="s">
        <v>1594</v>
      </c>
      <c r="B550" t="s">
        <v>1023</v>
      </c>
      <c r="C550">
        <v>108</v>
      </c>
      <c r="D550" t="s">
        <v>1029</v>
      </c>
      <c r="E550" s="1">
        <v>45092</v>
      </c>
      <c r="F550">
        <v>56</v>
      </c>
      <c r="G550">
        <v>3.5</v>
      </c>
      <c r="H550">
        <v>2023</v>
      </c>
      <c r="I550" t="s">
        <v>1052</v>
      </c>
      <c r="J550" t="s">
        <v>1019</v>
      </c>
      <c r="K550">
        <v>4</v>
      </c>
    </row>
    <row r="551" spans="1:11" x14ac:dyDescent="0.3">
      <c r="A551" t="s">
        <v>1595</v>
      </c>
      <c r="B551" t="s">
        <v>1023</v>
      </c>
      <c r="C551">
        <v>44</v>
      </c>
      <c r="D551" t="s">
        <v>1017</v>
      </c>
      <c r="E551" s="1">
        <v>45092</v>
      </c>
      <c r="F551">
        <v>170</v>
      </c>
      <c r="G551">
        <v>3.8</v>
      </c>
      <c r="H551">
        <v>2023</v>
      </c>
      <c r="I551" t="s">
        <v>1052</v>
      </c>
      <c r="J551" t="s">
        <v>1034</v>
      </c>
      <c r="K551">
        <v>4</v>
      </c>
    </row>
    <row r="552" spans="1:11" x14ac:dyDescent="0.3">
      <c r="A552" t="s">
        <v>1596</v>
      </c>
      <c r="B552" t="s">
        <v>1068</v>
      </c>
      <c r="C552">
        <v>127</v>
      </c>
      <c r="D552" t="s">
        <v>1029</v>
      </c>
      <c r="E552" s="1">
        <v>45093</v>
      </c>
      <c r="F552">
        <v>200</v>
      </c>
      <c r="G552">
        <v>4.8</v>
      </c>
      <c r="H552">
        <v>2023</v>
      </c>
      <c r="I552" t="s">
        <v>411</v>
      </c>
      <c r="J552" t="s">
        <v>1031</v>
      </c>
      <c r="K552">
        <v>5</v>
      </c>
    </row>
    <row r="553" spans="1:11" x14ac:dyDescent="0.3">
      <c r="A553" t="s">
        <v>1597</v>
      </c>
      <c r="B553" t="s">
        <v>1028</v>
      </c>
      <c r="C553">
        <v>132</v>
      </c>
      <c r="D553" t="s">
        <v>1042</v>
      </c>
      <c r="E553" s="1">
        <v>45094</v>
      </c>
      <c r="F553">
        <v>50</v>
      </c>
      <c r="G553">
        <v>4.2</v>
      </c>
      <c r="H553">
        <v>2023</v>
      </c>
      <c r="I553" t="s">
        <v>1062</v>
      </c>
      <c r="J553" t="s">
        <v>1031</v>
      </c>
      <c r="K553">
        <v>4</v>
      </c>
    </row>
    <row r="554" spans="1:11" x14ac:dyDescent="0.3">
      <c r="A554" t="s">
        <v>1598</v>
      </c>
      <c r="B554" t="s">
        <v>1016</v>
      </c>
      <c r="C554">
        <v>106</v>
      </c>
      <c r="D554" t="s">
        <v>1038</v>
      </c>
      <c r="E554" s="1">
        <v>45094</v>
      </c>
      <c r="F554">
        <v>112</v>
      </c>
      <c r="G554">
        <v>3.7</v>
      </c>
      <c r="H554">
        <v>2023</v>
      </c>
      <c r="I554" t="s">
        <v>1062</v>
      </c>
      <c r="J554" t="s">
        <v>1019</v>
      </c>
      <c r="K554">
        <v>4</v>
      </c>
    </row>
    <row r="555" spans="1:11" x14ac:dyDescent="0.3">
      <c r="A555" t="s">
        <v>1599</v>
      </c>
      <c r="B555" t="s">
        <v>1098</v>
      </c>
      <c r="C555">
        <v>107</v>
      </c>
      <c r="D555" t="s">
        <v>1042</v>
      </c>
      <c r="E555" s="1">
        <v>45095</v>
      </c>
      <c r="F555">
        <v>39</v>
      </c>
      <c r="G555">
        <v>4.8</v>
      </c>
      <c r="H555">
        <v>2023</v>
      </c>
      <c r="I555" t="s">
        <v>1018</v>
      </c>
      <c r="J555" t="s">
        <v>1019</v>
      </c>
      <c r="K555">
        <v>5</v>
      </c>
    </row>
    <row r="556" spans="1:11" x14ac:dyDescent="0.3">
      <c r="A556" t="s">
        <v>1600</v>
      </c>
      <c r="B556" t="s">
        <v>1041</v>
      </c>
      <c r="C556">
        <v>85</v>
      </c>
      <c r="D556" t="s">
        <v>1038</v>
      </c>
      <c r="E556" s="1">
        <v>45095</v>
      </c>
      <c r="F556">
        <v>38</v>
      </c>
      <c r="G556">
        <v>4.8</v>
      </c>
      <c r="H556">
        <v>2023</v>
      </c>
      <c r="I556" t="s">
        <v>1018</v>
      </c>
      <c r="J556" t="s">
        <v>1019</v>
      </c>
      <c r="K556">
        <v>5</v>
      </c>
    </row>
    <row r="557" spans="1:11" x14ac:dyDescent="0.3">
      <c r="A557" t="s">
        <v>1601</v>
      </c>
      <c r="B557" t="s">
        <v>1036</v>
      </c>
      <c r="C557">
        <v>49</v>
      </c>
      <c r="D557" t="s">
        <v>1042</v>
      </c>
      <c r="E557" s="1">
        <v>45096</v>
      </c>
      <c r="F557">
        <v>84</v>
      </c>
      <c r="G557">
        <v>2.9</v>
      </c>
      <c r="H557">
        <v>2023</v>
      </c>
      <c r="I557" t="s">
        <v>1030</v>
      </c>
      <c r="J557" t="s">
        <v>1034</v>
      </c>
      <c r="K557">
        <v>3</v>
      </c>
    </row>
    <row r="558" spans="1:11" x14ac:dyDescent="0.3">
      <c r="A558" t="s">
        <v>1602</v>
      </c>
      <c r="B558" t="s">
        <v>1047</v>
      </c>
      <c r="C558">
        <v>117</v>
      </c>
      <c r="D558" t="s">
        <v>1029</v>
      </c>
      <c r="E558" s="1">
        <v>45097</v>
      </c>
      <c r="F558">
        <v>82</v>
      </c>
      <c r="G558">
        <v>3.5</v>
      </c>
      <c r="H558">
        <v>2023</v>
      </c>
      <c r="I558" t="s">
        <v>1033</v>
      </c>
      <c r="J558" t="s">
        <v>1019</v>
      </c>
      <c r="K558">
        <v>4</v>
      </c>
    </row>
    <row r="559" spans="1:11" x14ac:dyDescent="0.3">
      <c r="A559" t="s">
        <v>1603</v>
      </c>
      <c r="B559" t="s">
        <v>1098</v>
      </c>
      <c r="C559">
        <v>136</v>
      </c>
      <c r="D559" t="s">
        <v>1038</v>
      </c>
      <c r="E559" s="1">
        <v>45097</v>
      </c>
      <c r="F559">
        <v>37</v>
      </c>
      <c r="G559">
        <v>0.9</v>
      </c>
      <c r="H559">
        <v>2023</v>
      </c>
      <c r="I559" t="s">
        <v>1033</v>
      </c>
      <c r="J559" t="s">
        <v>1031</v>
      </c>
      <c r="K559">
        <v>1</v>
      </c>
    </row>
    <row r="560" spans="1:11" x14ac:dyDescent="0.3">
      <c r="A560" t="s">
        <v>1604</v>
      </c>
      <c r="B560" t="s">
        <v>1023</v>
      </c>
      <c r="C560">
        <v>130</v>
      </c>
      <c r="D560" t="s">
        <v>1024</v>
      </c>
      <c r="E560" s="1">
        <v>45098</v>
      </c>
      <c r="F560">
        <v>87</v>
      </c>
      <c r="G560">
        <v>3.4</v>
      </c>
      <c r="H560">
        <v>2023</v>
      </c>
      <c r="I560" t="s">
        <v>1048</v>
      </c>
      <c r="J560" t="s">
        <v>1031</v>
      </c>
      <c r="K560">
        <v>3</v>
      </c>
    </row>
    <row r="561" spans="1:11" x14ac:dyDescent="0.3">
      <c r="A561" t="s">
        <v>1605</v>
      </c>
      <c r="B561" t="s">
        <v>1023</v>
      </c>
      <c r="C561">
        <v>73</v>
      </c>
      <c r="D561" t="s">
        <v>1024</v>
      </c>
      <c r="E561" s="1">
        <v>45098</v>
      </c>
      <c r="F561">
        <v>75</v>
      </c>
      <c r="G561">
        <v>2.7</v>
      </c>
      <c r="H561">
        <v>2023</v>
      </c>
      <c r="I561" t="s">
        <v>1048</v>
      </c>
      <c r="J561" t="s">
        <v>1019</v>
      </c>
      <c r="K561">
        <v>3</v>
      </c>
    </row>
    <row r="562" spans="1:11" x14ac:dyDescent="0.3">
      <c r="A562" t="s">
        <v>1606</v>
      </c>
      <c r="B562" t="s">
        <v>1036</v>
      </c>
      <c r="C562">
        <v>80</v>
      </c>
      <c r="D562" t="s">
        <v>1042</v>
      </c>
      <c r="E562" s="1">
        <v>45098</v>
      </c>
      <c r="F562">
        <v>32</v>
      </c>
      <c r="G562">
        <v>4.7</v>
      </c>
      <c r="H562">
        <v>2023</v>
      </c>
      <c r="I562" t="s">
        <v>1048</v>
      </c>
      <c r="J562" t="s">
        <v>1019</v>
      </c>
      <c r="K562">
        <v>5</v>
      </c>
    </row>
    <row r="563" spans="1:11" x14ac:dyDescent="0.3">
      <c r="A563" t="s">
        <v>1607</v>
      </c>
      <c r="B563" t="s">
        <v>1078</v>
      </c>
      <c r="C563">
        <v>44</v>
      </c>
      <c r="D563" t="s">
        <v>1029</v>
      </c>
      <c r="E563" s="1">
        <v>45098</v>
      </c>
      <c r="F563">
        <v>33</v>
      </c>
      <c r="G563">
        <v>3</v>
      </c>
      <c r="H563">
        <v>2023</v>
      </c>
      <c r="I563" t="s">
        <v>1048</v>
      </c>
      <c r="J563" t="s">
        <v>1034</v>
      </c>
      <c r="K563">
        <v>3</v>
      </c>
    </row>
    <row r="564" spans="1:11" x14ac:dyDescent="0.3">
      <c r="A564" t="s">
        <v>1608</v>
      </c>
      <c r="B564" t="s">
        <v>1078</v>
      </c>
      <c r="C564">
        <v>102</v>
      </c>
      <c r="D564" t="s">
        <v>1017</v>
      </c>
      <c r="E564" s="1">
        <v>45098</v>
      </c>
      <c r="F564">
        <v>76</v>
      </c>
      <c r="G564">
        <v>4.2</v>
      </c>
      <c r="H564">
        <v>2023</v>
      </c>
      <c r="I564" t="s">
        <v>1048</v>
      </c>
      <c r="J564" t="s">
        <v>1019</v>
      </c>
      <c r="K564">
        <v>4</v>
      </c>
    </row>
    <row r="565" spans="1:11" x14ac:dyDescent="0.3">
      <c r="A565" t="s">
        <v>1609</v>
      </c>
      <c r="B565" t="s">
        <v>1065</v>
      </c>
      <c r="C565">
        <v>74</v>
      </c>
      <c r="D565" t="s">
        <v>1017</v>
      </c>
      <c r="E565" s="1">
        <v>45098</v>
      </c>
      <c r="F565">
        <v>117</v>
      </c>
      <c r="G565">
        <v>4.8</v>
      </c>
      <c r="H565">
        <v>2023</v>
      </c>
      <c r="I565" t="s">
        <v>1048</v>
      </c>
      <c r="J565" t="s">
        <v>1019</v>
      </c>
      <c r="K565">
        <v>5</v>
      </c>
    </row>
    <row r="566" spans="1:11" x14ac:dyDescent="0.3">
      <c r="A566" t="s">
        <v>1610</v>
      </c>
      <c r="B566" t="s">
        <v>1036</v>
      </c>
      <c r="C566">
        <v>52</v>
      </c>
      <c r="D566" t="s">
        <v>1029</v>
      </c>
      <c r="E566" s="1">
        <v>45100</v>
      </c>
      <c r="F566">
        <v>70</v>
      </c>
      <c r="G566">
        <v>4.0999999999999996</v>
      </c>
      <c r="H566">
        <v>2023</v>
      </c>
      <c r="I566" t="s">
        <v>411</v>
      </c>
      <c r="J566" t="s">
        <v>1034</v>
      </c>
      <c r="K566">
        <v>4</v>
      </c>
    </row>
    <row r="567" spans="1:11" x14ac:dyDescent="0.3">
      <c r="A567" t="s">
        <v>1611</v>
      </c>
      <c r="B567" t="s">
        <v>1036</v>
      </c>
      <c r="C567">
        <v>74</v>
      </c>
      <c r="D567" t="s">
        <v>1024</v>
      </c>
      <c r="E567" s="1">
        <v>45100</v>
      </c>
      <c r="F567">
        <v>37</v>
      </c>
      <c r="G567">
        <v>2.7</v>
      </c>
      <c r="H567">
        <v>2023</v>
      </c>
      <c r="I567" t="s">
        <v>411</v>
      </c>
      <c r="J567" t="s">
        <v>1019</v>
      </c>
      <c r="K567">
        <v>3</v>
      </c>
    </row>
    <row r="568" spans="1:11" x14ac:dyDescent="0.3">
      <c r="A568" t="s">
        <v>1612</v>
      </c>
      <c r="B568" t="s">
        <v>1023</v>
      </c>
      <c r="C568">
        <v>96</v>
      </c>
      <c r="D568" t="s">
        <v>1017</v>
      </c>
      <c r="E568" s="1">
        <v>45100</v>
      </c>
      <c r="F568">
        <v>46</v>
      </c>
      <c r="G568">
        <v>2.9</v>
      </c>
      <c r="H568">
        <v>2023</v>
      </c>
      <c r="I568" t="s">
        <v>411</v>
      </c>
      <c r="J568" t="s">
        <v>1019</v>
      </c>
      <c r="K568">
        <v>3</v>
      </c>
    </row>
    <row r="569" spans="1:11" x14ac:dyDescent="0.3">
      <c r="A569" t="s">
        <v>1613</v>
      </c>
      <c r="B569" t="s">
        <v>1045</v>
      </c>
      <c r="C569">
        <v>104</v>
      </c>
      <c r="D569" t="s">
        <v>1042</v>
      </c>
      <c r="E569" s="1">
        <v>45100</v>
      </c>
      <c r="F569">
        <v>136</v>
      </c>
      <c r="G569">
        <v>5</v>
      </c>
      <c r="H569">
        <v>2023</v>
      </c>
      <c r="I569" t="s">
        <v>411</v>
      </c>
      <c r="J569" t="s">
        <v>1019</v>
      </c>
      <c r="K569">
        <v>5</v>
      </c>
    </row>
    <row r="570" spans="1:11" x14ac:dyDescent="0.3">
      <c r="A570" t="s">
        <v>1614</v>
      </c>
      <c r="B570" t="s">
        <v>1023</v>
      </c>
      <c r="C570">
        <v>123</v>
      </c>
      <c r="D570" t="s">
        <v>1017</v>
      </c>
      <c r="E570" s="1">
        <v>45101</v>
      </c>
      <c r="F570">
        <v>44</v>
      </c>
      <c r="G570">
        <v>4.5999999999999996</v>
      </c>
      <c r="H570">
        <v>2023</v>
      </c>
      <c r="I570" t="s">
        <v>1062</v>
      </c>
      <c r="J570" t="s">
        <v>1031</v>
      </c>
      <c r="K570">
        <v>5</v>
      </c>
    </row>
    <row r="571" spans="1:11" x14ac:dyDescent="0.3">
      <c r="A571" t="s">
        <v>1615</v>
      </c>
      <c r="B571" t="s">
        <v>1055</v>
      </c>
      <c r="C571">
        <v>100</v>
      </c>
      <c r="D571" t="s">
        <v>1038</v>
      </c>
      <c r="E571" s="1">
        <v>45101</v>
      </c>
      <c r="F571">
        <v>69</v>
      </c>
      <c r="G571">
        <v>3</v>
      </c>
      <c r="H571">
        <v>2023</v>
      </c>
      <c r="I571" t="s">
        <v>1062</v>
      </c>
      <c r="J571" t="s">
        <v>1019</v>
      </c>
      <c r="K571">
        <v>3</v>
      </c>
    </row>
    <row r="572" spans="1:11" x14ac:dyDescent="0.3">
      <c r="A572" t="s">
        <v>1616</v>
      </c>
      <c r="B572" t="s">
        <v>1045</v>
      </c>
      <c r="C572">
        <v>35</v>
      </c>
      <c r="D572" t="s">
        <v>1029</v>
      </c>
      <c r="E572" s="1">
        <v>45102</v>
      </c>
      <c r="F572">
        <v>86</v>
      </c>
      <c r="G572">
        <v>4.5999999999999996</v>
      </c>
      <c r="H572">
        <v>2023</v>
      </c>
      <c r="I572" t="s">
        <v>1018</v>
      </c>
      <c r="J572" t="s">
        <v>1034</v>
      </c>
      <c r="K572">
        <v>5</v>
      </c>
    </row>
    <row r="573" spans="1:11" x14ac:dyDescent="0.3">
      <c r="A573" t="s">
        <v>1617</v>
      </c>
      <c r="B573" t="s">
        <v>1036</v>
      </c>
      <c r="C573">
        <v>123</v>
      </c>
      <c r="D573" t="s">
        <v>1042</v>
      </c>
      <c r="E573" s="1">
        <v>45102</v>
      </c>
      <c r="F573">
        <v>68</v>
      </c>
      <c r="G573">
        <v>4.5</v>
      </c>
      <c r="H573">
        <v>2023</v>
      </c>
      <c r="I573" t="s">
        <v>1018</v>
      </c>
      <c r="J573" t="s">
        <v>1031</v>
      </c>
      <c r="K573">
        <v>5</v>
      </c>
    </row>
    <row r="574" spans="1:11" x14ac:dyDescent="0.3">
      <c r="A574" t="s">
        <v>1618</v>
      </c>
      <c r="B574" t="s">
        <v>1047</v>
      </c>
      <c r="C574">
        <v>133</v>
      </c>
      <c r="D574" t="s">
        <v>1029</v>
      </c>
      <c r="E574" s="1">
        <v>45103</v>
      </c>
      <c r="F574">
        <v>21</v>
      </c>
      <c r="G574">
        <v>3.7</v>
      </c>
      <c r="H574">
        <v>2023</v>
      </c>
      <c r="I574" t="s">
        <v>1030</v>
      </c>
      <c r="J574" t="s">
        <v>1031</v>
      </c>
      <c r="K574">
        <v>4</v>
      </c>
    </row>
    <row r="575" spans="1:11" x14ac:dyDescent="0.3">
      <c r="A575" t="s">
        <v>1619</v>
      </c>
      <c r="B575" t="s">
        <v>1023</v>
      </c>
      <c r="C575">
        <v>126</v>
      </c>
      <c r="D575" t="s">
        <v>1024</v>
      </c>
      <c r="E575" s="1">
        <v>45103</v>
      </c>
      <c r="F575">
        <v>190</v>
      </c>
      <c r="G575">
        <v>2.4</v>
      </c>
      <c r="H575">
        <v>2023</v>
      </c>
      <c r="I575" t="s">
        <v>1030</v>
      </c>
      <c r="J575" t="s">
        <v>1031</v>
      </c>
      <c r="K575">
        <v>2</v>
      </c>
    </row>
    <row r="576" spans="1:11" x14ac:dyDescent="0.3">
      <c r="A576" t="s">
        <v>1620</v>
      </c>
      <c r="B576" t="s">
        <v>1036</v>
      </c>
      <c r="C576">
        <v>39</v>
      </c>
      <c r="D576" t="s">
        <v>1017</v>
      </c>
      <c r="E576" s="1">
        <v>45103</v>
      </c>
      <c r="F576">
        <v>176</v>
      </c>
      <c r="G576">
        <v>4.3</v>
      </c>
      <c r="H576">
        <v>2023</v>
      </c>
      <c r="I576" t="s">
        <v>1030</v>
      </c>
      <c r="J576" t="s">
        <v>1034</v>
      </c>
      <c r="K576">
        <v>4</v>
      </c>
    </row>
    <row r="577" spans="1:11" x14ac:dyDescent="0.3">
      <c r="A577" t="s">
        <v>1621</v>
      </c>
      <c r="B577" t="s">
        <v>1065</v>
      </c>
      <c r="C577">
        <v>31</v>
      </c>
      <c r="D577" t="s">
        <v>1042</v>
      </c>
      <c r="E577" s="1">
        <v>45103</v>
      </c>
      <c r="F577">
        <v>172</v>
      </c>
      <c r="G577">
        <v>3.9</v>
      </c>
      <c r="H577">
        <v>2023</v>
      </c>
      <c r="I577" t="s">
        <v>1030</v>
      </c>
      <c r="J577" t="s">
        <v>1034</v>
      </c>
      <c r="K577">
        <v>4</v>
      </c>
    </row>
    <row r="578" spans="1:11" x14ac:dyDescent="0.3">
      <c r="A578" t="s">
        <v>1622</v>
      </c>
      <c r="B578" t="s">
        <v>1028</v>
      </c>
      <c r="C578">
        <v>25</v>
      </c>
      <c r="D578" t="s">
        <v>1029</v>
      </c>
      <c r="E578" s="1">
        <v>45103</v>
      </c>
      <c r="F578">
        <v>84</v>
      </c>
      <c r="G578">
        <v>4.5</v>
      </c>
      <c r="H578">
        <v>2023</v>
      </c>
      <c r="I578" t="s">
        <v>1030</v>
      </c>
      <c r="J578" t="s">
        <v>1056</v>
      </c>
      <c r="K578">
        <v>5</v>
      </c>
    </row>
    <row r="579" spans="1:11" x14ac:dyDescent="0.3">
      <c r="A579" t="s">
        <v>1623</v>
      </c>
      <c r="B579" t="s">
        <v>1021</v>
      </c>
      <c r="C579">
        <v>132</v>
      </c>
      <c r="D579" t="s">
        <v>1038</v>
      </c>
      <c r="E579" s="1">
        <v>45104</v>
      </c>
      <c r="F579">
        <v>42</v>
      </c>
      <c r="G579">
        <v>5</v>
      </c>
      <c r="H579">
        <v>2023</v>
      </c>
      <c r="I579" t="s">
        <v>1033</v>
      </c>
      <c r="J579" t="s">
        <v>1031</v>
      </c>
      <c r="K579">
        <v>5</v>
      </c>
    </row>
    <row r="580" spans="1:11" x14ac:dyDescent="0.3">
      <c r="A580" t="s">
        <v>1624</v>
      </c>
      <c r="B580" t="s">
        <v>1045</v>
      </c>
      <c r="C580">
        <v>63</v>
      </c>
      <c r="D580" t="s">
        <v>1024</v>
      </c>
      <c r="E580" s="1">
        <v>45104</v>
      </c>
      <c r="F580">
        <v>70</v>
      </c>
      <c r="G580">
        <v>1.6</v>
      </c>
      <c r="H580">
        <v>2023</v>
      </c>
      <c r="I580" t="s">
        <v>1033</v>
      </c>
      <c r="J580" t="s">
        <v>1019</v>
      </c>
      <c r="K580">
        <v>2</v>
      </c>
    </row>
    <row r="581" spans="1:11" x14ac:dyDescent="0.3">
      <c r="A581" t="s">
        <v>1625</v>
      </c>
      <c r="B581" t="s">
        <v>1055</v>
      </c>
      <c r="C581">
        <v>135</v>
      </c>
      <c r="D581" t="s">
        <v>1038</v>
      </c>
      <c r="E581" s="1">
        <v>45104</v>
      </c>
      <c r="F581">
        <v>60</v>
      </c>
      <c r="G581">
        <v>4.3</v>
      </c>
      <c r="H581">
        <v>2023</v>
      </c>
      <c r="I581" t="s">
        <v>1033</v>
      </c>
      <c r="J581" t="s">
        <v>1031</v>
      </c>
      <c r="K581">
        <v>4</v>
      </c>
    </row>
    <row r="582" spans="1:11" x14ac:dyDescent="0.3">
      <c r="A582" t="s">
        <v>1626</v>
      </c>
      <c r="B582" t="s">
        <v>1041</v>
      </c>
      <c r="C582">
        <v>101</v>
      </c>
      <c r="D582" t="s">
        <v>1024</v>
      </c>
      <c r="E582" s="1">
        <v>45104</v>
      </c>
      <c r="F582">
        <v>84</v>
      </c>
      <c r="G582">
        <v>3.5</v>
      </c>
      <c r="H582">
        <v>2023</v>
      </c>
      <c r="I582" t="s">
        <v>1033</v>
      </c>
      <c r="J582" t="s">
        <v>1019</v>
      </c>
      <c r="K582">
        <v>4</v>
      </c>
    </row>
    <row r="583" spans="1:11" x14ac:dyDescent="0.3">
      <c r="A583" t="s">
        <v>1627</v>
      </c>
      <c r="B583" t="s">
        <v>1047</v>
      </c>
      <c r="C583">
        <v>80</v>
      </c>
      <c r="D583" t="s">
        <v>1017</v>
      </c>
      <c r="E583" s="1">
        <v>45105</v>
      </c>
      <c r="F583">
        <v>68</v>
      </c>
      <c r="G583">
        <v>3.1</v>
      </c>
      <c r="H583">
        <v>2023</v>
      </c>
      <c r="I583" t="s">
        <v>1048</v>
      </c>
      <c r="J583" t="s">
        <v>1019</v>
      </c>
      <c r="K583">
        <v>3</v>
      </c>
    </row>
    <row r="584" spans="1:11" x14ac:dyDescent="0.3">
      <c r="A584" t="s">
        <v>1628</v>
      </c>
      <c r="B584" t="s">
        <v>1078</v>
      </c>
      <c r="C584">
        <v>28</v>
      </c>
      <c r="D584" t="s">
        <v>1017</v>
      </c>
      <c r="E584" s="1">
        <v>45105</v>
      </c>
      <c r="F584">
        <v>44</v>
      </c>
      <c r="G584">
        <v>2.9</v>
      </c>
      <c r="H584">
        <v>2023</v>
      </c>
      <c r="I584" t="s">
        <v>1048</v>
      </c>
      <c r="J584" t="s">
        <v>1056</v>
      </c>
      <c r="K584">
        <v>3</v>
      </c>
    </row>
    <row r="585" spans="1:11" x14ac:dyDescent="0.3">
      <c r="A585" t="s">
        <v>1629</v>
      </c>
      <c r="B585" t="s">
        <v>1041</v>
      </c>
      <c r="C585">
        <v>102</v>
      </c>
      <c r="D585" t="s">
        <v>1038</v>
      </c>
      <c r="E585" s="1">
        <v>45106</v>
      </c>
      <c r="F585">
        <v>99</v>
      </c>
      <c r="G585">
        <v>3.2</v>
      </c>
      <c r="H585">
        <v>2023</v>
      </c>
      <c r="I585" t="s">
        <v>1052</v>
      </c>
      <c r="J585" t="s">
        <v>1019</v>
      </c>
      <c r="K585">
        <v>3</v>
      </c>
    </row>
    <row r="586" spans="1:11" x14ac:dyDescent="0.3">
      <c r="A586" t="s">
        <v>1630</v>
      </c>
      <c r="B586" t="s">
        <v>1045</v>
      </c>
      <c r="C586">
        <v>60</v>
      </c>
      <c r="D586" t="s">
        <v>1038</v>
      </c>
      <c r="E586" s="1">
        <v>45107</v>
      </c>
      <c r="F586">
        <v>66</v>
      </c>
      <c r="G586">
        <v>3.2</v>
      </c>
      <c r="H586">
        <v>2023</v>
      </c>
      <c r="I586" t="s">
        <v>411</v>
      </c>
      <c r="J586" t="s">
        <v>1034</v>
      </c>
      <c r="K586">
        <v>3</v>
      </c>
    </row>
    <row r="587" spans="1:11" x14ac:dyDescent="0.3">
      <c r="A587" t="s">
        <v>1631</v>
      </c>
      <c r="B587" t="s">
        <v>1026</v>
      </c>
      <c r="C587">
        <v>103</v>
      </c>
      <c r="D587" t="s">
        <v>1038</v>
      </c>
      <c r="E587" s="1">
        <v>45107</v>
      </c>
      <c r="F587">
        <v>102</v>
      </c>
      <c r="G587">
        <v>4.5</v>
      </c>
      <c r="H587">
        <v>2023</v>
      </c>
      <c r="I587" t="s">
        <v>411</v>
      </c>
      <c r="J587" t="s">
        <v>1019</v>
      </c>
      <c r="K587">
        <v>5</v>
      </c>
    </row>
    <row r="588" spans="1:11" x14ac:dyDescent="0.3">
      <c r="A588" t="s">
        <v>1632</v>
      </c>
      <c r="B588" t="s">
        <v>1047</v>
      </c>
      <c r="C588">
        <v>90</v>
      </c>
      <c r="D588" t="s">
        <v>1017</v>
      </c>
      <c r="E588" s="1">
        <v>45108</v>
      </c>
      <c r="F588">
        <v>129</v>
      </c>
      <c r="G588">
        <v>3.9</v>
      </c>
      <c r="H588">
        <v>2024</v>
      </c>
      <c r="I588" t="s">
        <v>1062</v>
      </c>
      <c r="J588" t="s">
        <v>1019</v>
      </c>
      <c r="K588">
        <v>4</v>
      </c>
    </row>
    <row r="589" spans="1:11" x14ac:dyDescent="0.3">
      <c r="A589" t="s">
        <v>1633</v>
      </c>
      <c r="B589" t="s">
        <v>1068</v>
      </c>
      <c r="C589">
        <v>88</v>
      </c>
      <c r="D589" t="s">
        <v>1038</v>
      </c>
      <c r="E589" s="1">
        <v>45108</v>
      </c>
      <c r="F589">
        <v>80</v>
      </c>
      <c r="G589">
        <v>4.2</v>
      </c>
      <c r="H589">
        <v>2024</v>
      </c>
      <c r="I589" t="s">
        <v>1062</v>
      </c>
      <c r="J589" t="s">
        <v>1019</v>
      </c>
      <c r="K589">
        <v>4</v>
      </c>
    </row>
    <row r="590" spans="1:11" x14ac:dyDescent="0.3">
      <c r="A590" t="s">
        <v>1634</v>
      </c>
      <c r="B590" t="s">
        <v>1026</v>
      </c>
      <c r="C590">
        <v>37</v>
      </c>
      <c r="D590" t="s">
        <v>1038</v>
      </c>
      <c r="E590" s="1">
        <v>45108</v>
      </c>
      <c r="F590">
        <v>54</v>
      </c>
      <c r="G590">
        <v>1.8</v>
      </c>
      <c r="H590">
        <v>2024</v>
      </c>
      <c r="I590" t="s">
        <v>1062</v>
      </c>
      <c r="J590" t="s">
        <v>1034</v>
      </c>
      <c r="K590">
        <v>2</v>
      </c>
    </row>
    <row r="591" spans="1:11" x14ac:dyDescent="0.3">
      <c r="A591" t="s">
        <v>1635</v>
      </c>
      <c r="B591" t="s">
        <v>1078</v>
      </c>
      <c r="C591">
        <v>142</v>
      </c>
      <c r="D591" t="s">
        <v>1017</v>
      </c>
      <c r="E591" s="1">
        <v>45108</v>
      </c>
      <c r="F591">
        <v>116</v>
      </c>
      <c r="G591">
        <v>4.2</v>
      </c>
      <c r="H591">
        <v>2024</v>
      </c>
      <c r="I591" t="s">
        <v>1062</v>
      </c>
      <c r="J591" t="s">
        <v>1031</v>
      </c>
      <c r="K591">
        <v>4</v>
      </c>
    </row>
    <row r="592" spans="1:11" x14ac:dyDescent="0.3">
      <c r="A592" t="s">
        <v>1636</v>
      </c>
      <c r="B592" t="s">
        <v>1078</v>
      </c>
      <c r="C592">
        <v>153</v>
      </c>
      <c r="D592" t="s">
        <v>1029</v>
      </c>
      <c r="E592" s="1">
        <v>45108</v>
      </c>
      <c r="F592">
        <v>102</v>
      </c>
      <c r="G592">
        <v>3.1</v>
      </c>
      <c r="H592">
        <v>2024</v>
      </c>
      <c r="I592" t="s">
        <v>1062</v>
      </c>
      <c r="J592" t="s">
        <v>1031</v>
      </c>
      <c r="K592">
        <v>3</v>
      </c>
    </row>
    <row r="593" spans="1:11" x14ac:dyDescent="0.3">
      <c r="A593" t="s">
        <v>1637</v>
      </c>
      <c r="B593" t="s">
        <v>1059</v>
      </c>
      <c r="C593">
        <v>128</v>
      </c>
      <c r="D593" t="s">
        <v>1024</v>
      </c>
      <c r="E593" s="1">
        <v>45108</v>
      </c>
      <c r="F593">
        <v>140</v>
      </c>
      <c r="G593">
        <v>4.3</v>
      </c>
      <c r="H593">
        <v>2024</v>
      </c>
      <c r="I593" t="s">
        <v>1062</v>
      </c>
      <c r="J593" t="s">
        <v>1031</v>
      </c>
      <c r="K593">
        <v>4</v>
      </c>
    </row>
    <row r="594" spans="1:11" x14ac:dyDescent="0.3">
      <c r="A594" t="s">
        <v>1638</v>
      </c>
      <c r="B594" t="s">
        <v>1045</v>
      </c>
      <c r="C594">
        <v>110</v>
      </c>
      <c r="D594" t="s">
        <v>1024</v>
      </c>
      <c r="E594" s="1">
        <v>45109</v>
      </c>
      <c r="F594">
        <v>104</v>
      </c>
      <c r="G594">
        <v>4.4000000000000004</v>
      </c>
      <c r="H594">
        <v>2024</v>
      </c>
      <c r="I594" t="s">
        <v>1018</v>
      </c>
      <c r="J594" t="s">
        <v>1019</v>
      </c>
      <c r="K594">
        <v>4</v>
      </c>
    </row>
    <row r="595" spans="1:11" x14ac:dyDescent="0.3">
      <c r="A595" t="s">
        <v>1639</v>
      </c>
      <c r="B595" t="s">
        <v>1059</v>
      </c>
      <c r="C595">
        <v>139</v>
      </c>
      <c r="D595" t="s">
        <v>1038</v>
      </c>
      <c r="E595" s="1">
        <v>45109</v>
      </c>
      <c r="F595">
        <v>81</v>
      </c>
      <c r="G595">
        <v>4.4000000000000004</v>
      </c>
      <c r="H595">
        <v>2024</v>
      </c>
      <c r="I595" t="s">
        <v>1018</v>
      </c>
      <c r="J595" t="s">
        <v>1031</v>
      </c>
      <c r="K595">
        <v>4</v>
      </c>
    </row>
    <row r="596" spans="1:11" x14ac:dyDescent="0.3">
      <c r="A596" t="s">
        <v>1640</v>
      </c>
      <c r="B596" t="s">
        <v>1041</v>
      </c>
      <c r="C596">
        <v>109</v>
      </c>
      <c r="D596" t="s">
        <v>1042</v>
      </c>
      <c r="E596" s="1">
        <v>45111</v>
      </c>
      <c r="F596">
        <v>140</v>
      </c>
      <c r="G596">
        <v>2.4</v>
      </c>
      <c r="H596">
        <v>2024</v>
      </c>
      <c r="I596" t="s">
        <v>1033</v>
      </c>
      <c r="J596" t="s">
        <v>1019</v>
      </c>
      <c r="K596">
        <v>2</v>
      </c>
    </row>
    <row r="597" spans="1:11" x14ac:dyDescent="0.3">
      <c r="A597" t="s">
        <v>1641</v>
      </c>
      <c r="B597" t="s">
        <v>1021</v>
      </c>
      <c r="C597">
        <v>57</v>
      </c>
      <c r="D597" t="s">
        <v>1017</v>
      </c>
      <c r="E597" s="1">
        <v>45112</v>
      </c>
      <c r="F597">
        <v>120</v>
      </c>
      <c r="G597">
        <v>3.5</v>
      </c>
      <c r="H597">
        <v>2024</v>
      </c>
      <c r="I597" t="s">
        <v>1048</v>
      </c>
      <c r="J597" t="s">
        <v>1034</v>
      </c>
      <c r="K597">
        <v>4</v>
      </c>
    </row>
    <row r="598" spans="1:11" x14ac:dyDescent="0.3">
      <c r="A598" t="s">
        <v>1642</v>
      </c>
      <c r="B598" t="s">
        <v>1041</v>
      </c>
      <c r="C598">
        <v>68</v>
      </c>
      <c r="D598" t="s">
        <v>1038</v>
      </c>
      <c r="E598" s="1">
        <v>45112</v>
      </c>
      <c r="F598">
        <v>41</v>
      </c>
      <c r="G598">
        <v>3.1</v>
      </c>
      <c r="H598">
        <v>2024</v>
      </c>
      <c r="I598" t="s">
        <v>1048</v>
      </c>
      <c r="J598" t="s">
        <v>1019</v>
      </c>
      <c r="K598">
        <v>3</v>
      </c>
    </row>
    <row r="599" spans="1:11" x14ac:dyDescent="0.3">
      <c r="A599" t="s">
        <v>1643</v>
      </c>
      <c r="B599" t="s">
        <v>1028</v>
      </c>
      <c r="C599">
        <v>128</v>
      </c>
      <c r="D599" t="s">
        <v>1038</v>
      </c>
      <c r="E599" s="1">
        <v>45112</v>
      </c>
      <c r="F599">
        <v>116</v>
      </c>
      <c r="G599">
        <v>2.2999999999999998</v>
      </c>
      <c r="H599">
        <v>2024</v>
      </c>
      <c r="I599" t="s">
        <v>1048</v>
      </c>
      <c r="J599" t="s">
        <v>1031</v>
      </c>
      <c r="K599">
        <v>2</v>
      </c>
    </row>
    <row r="600" spans="1:11" x14ac:dyDescent="0.3">
      <c r="A600" t="s">
        <v>1644</v>
      </c>
      <c r="B600" t="s">
        <v>1016</v>
      </c>
      <c r="C600">
        <v>102</v>
      </c>
      <c r="D600" t="s">
        <v>1017</v>
      </c>
      <c r="E600" s="1">
        <v>45113</v>
      </c>
      <c r="F600">
        <v>70</v>
      </c>
      <c r="G600">
        <v>2.8</v>
      </c>
      <c r="H600">
        <v>2024</v>
      </c>
      <c r="I600" t="s">
        <v>1052</v>
      </c>
      <c r="J600" t="s">
        <v>1019</v>
      </c>
      <c r="K600">
        <v>3</v>
      </c>
    </row>
    <row r="601" spans="1:11" x14ac:dyDescent="0.3">
      <c r="A601" t="s">
        <v>1645</v>
      </c>
      <c r="B601" t="s">
        <v>1059</v>
      </c>
      <c r="C601">
        <v>52</v>
      </c>
      <c r="D601" t="s">
        <v>1029</v>
      </c>
      <c r="E601" s="1">
        <v>45113</v>
      </c>
      <c r="F601">
        <v>42</v>
      </c>
      <c r="G601">
        <v>4.5</v>
      </c>
      <c r="H601">
        <v>2024</v>
      </c>
      <c r="I601" t="s">
        <v>1052</v>
      </c>
      <c r="J601" t="s">
        <v>1034</v>
      </c>
      <c r="K601">
        <v>5</v>
      </c>
    </row>
    <row r="602" spans="1:11" x14ac:dyDescent="0.3">
      <c r="A602" t="s">
        <v>1646</v>
      </c>
      <c r="B602" t="s">
        <v>1028</v>
      </c>
      <c r="C602">
        <v>55</v>
      </c>
      <c r="D602" t="s">
        <v>1024</v>
      </c>
      <c r="E602" s="1">
        <v>45114</v>
      </c>
      <c r="F602">
        <v>112</v>
      </c>
      <c r="G602">
        <v>4.5</v>
      </c>
      <c r="H602">
        <v>2024</v>
      </c>
      <c r="I602" t="s">
        <v>411</v>
      </c>
      <c r="J602" t="s">
        <v>1034</v>
      </c>
      <c r="K602">
        <v>5</v>
      </c>
    </row>
    <row r="603" spans="1:11" x14ac:dyDescent="0.3">
      <c r="A603" t="s">
        <v>1647</v>
      </c>
      <c r="B603" t="s">
        <v>1026</v>
      </c>
      <c r="C603">
        <v>107</v>
      </c>
      <c r="D603" t="s">
        <v>1038</v>
      </c>
      <c r="E603" s="1">
        <v>45114</v>
      </c>
      <c r="F603">
        <v>20</v>
      </c>
      <c r="G603">
        <v>4.5</v>
      </c>
      <c r="H603">
        <v>2024</v>
      </c>
      <c r="I603" t="s">
        <v>411</v>
      </c>
      <c r="J603" t="s">
        <v>1019</v>
      </c>
      <c r="K603">
        <v>5</v>
      </c>
    </row>
    <row r="604" spans="1:11" x14ac:dyDescent="0.3">
      <c r="A604" t="s">
        <v>1648</v>
      </c>
      <c r="B604" t="s">
        <v>1047</v>
      </c>
      <c r="C604">
        <v>88</v>
      </c>
      <c r="D604" t="s">
        <v>1029</v>
      </c>
      <c r="E604" s="1">
        <v>45115</v>
      </c>
      <c r="F604">
        <v>110</v>
      </c>
      <c r="G604">
        <v>4.8</v>
      </c>
      <c r="H604">
        <v>2024</v>
      </c>
      <c r="I604" t="s">
        <v>1062</v>
      </c>
      <c r="J604" t="s">
        <v>1019</v>
      </c>
      <c r="K604">
        <v>5</v>
      </c>
    </row>
    <row r="605" spans="1:11" x14ac:dyDescent="0.3">
      <c r="A605" t="s">
        <v>1649</v>
      </c>
      <c r="B605" t="s">
        <v>1036</v>
      </c>
      <c r="C605">
        <v>49</v>
      </c>
      <c r="D605" t="s">
        <v>1029</v>
      </c>
      <c r="E605" s="1">
        <v>45115</v>
      </c>
      <c r="F605">
        <v>39</v>
      </c>
      <c r="G605">
        <v>4.5999999999999996</v>
      </c>
      <c r="H605">
        <v>2024</v>
      </c>
      <c r="I605" t="s">
        <v>1062</v>
      </c>
      <c r="J605" t="s">
        <v>1034</v>
      </c>
      <c r="K605">
        <v>5</v>
      </c>
    </row>
    <row r="606" spans="1:11" x14ac:dyDescent="0.3">
      <c r="A606" t="s">
        <v>1650</v>
      </c>
      <c r="B606" t="s">
        <v>1047</v>
      </c>
      <c r="C606">
        <v>72</v>
      </c>
      <c r="D606" t="s">
        <v>1017</v>
      </c>
      <c r="E606" s="1">
        <v>45115</v>
      </c>
      <c r="F606">
        <v>76</v>
      </c>
      <c r="G606">
        <v>4.5</v>
      </c>
      <c r="H606">
        <v>2024</v>
      </c>
      <c r="I606" t="s">
        <v>1062</v>
      </c>
      <c r="J606" t="s">
        <v>1019</v>
      </c>
      <c r="K606">
        <v>5</v>
      </c>
    </row>
    <row r="607" spans="1:11" x14ac:dyDescent="0.3">
      <c r="A607" t="s">
        <v>1651</v>
      </c>
      <c r="B607" t="s">
        <v>1021</v>
      </c>
      <c r="C607">
        <v>50</v>
      </c>
      <c r="D607" t="s">
        <v>1017</v>
      </c>
      <c r="E607" s="1">
        <v>45115</v>
      </c>
      <c r="F607">
        <v>40</v>
      </c>
      <c r="G607">
        <v>5</v>
      </c>
      <c r="H607">
        <v>2024</v>
      </c>
      <c r="I607" t="s">
        <v>1062</v>
      </c>
      <c r="J607" t="s">
        <v>1034</v>
      </c>
      <c r="K607">
        <v>5</v>
      </c>
    </row>
    <row r="608" spans="1:11" x14ac:dyDescent="0.3">
      <c r="A608" t="s">
        <v>1652</v>
      </c>
      <c r="B608" t="s">
        <v>1047</v>
      </c>
      <c r="C608">
        <v>52</v>
      </c>
      <c r="D608" t="s">
        <v>1038</v>
      </c>
      <c r="E608" s="1">
        <v>45115</v>
      </c>
      <c r="F608">
        <v>42</v>
      </c>
      <c r="G608">
        <v>4.8</v>
      </c>
      <c r="H608">
        <v>2024</v>
      </c>
      <c r="I608" t="s">
        <v>1062</v>
      </c>
      <c r="J608" t="s">
        <v>1034</v>
      </c>
      <c r="K608">
        <v>5</v>
      </c>
    </row>
    <row r="609" spans="1:11" x14ac:dyDescent="0.3">
      <c r="A609" t="s">
        <v>1653</v>
      </c>
      <c r="B609" t="s">
        <v>1023</v>
      </c>
      <c r="C609">
        <v>85</v>
      </c>
      <c r="D609" t="s">
        <v>1042</v>
      </c>
      <c r="E609" s="1">
        <v>45116</v>
      </c>
      <c r="F609">
        <v>215</v>
      </c>
      <c r="G609">
        <v>3.5</v>
      </c>
      <c r="H609">
        <v>2024</v>
      </c>
      <c r="I609" t="s">
        <v>1018</v>
      </c>
      <c r="J609" t="s">
        <v>1019</v>
      </c>
      <c r="K609">
        <v>4</v>
      </c>
    </row>
    <row r="610" spans="1:11" x14ac:dyDescent="0.3">
      <c r="A610" t="s">
        <v>1654</v>
      </c>
      <c r="B610" t="s">
        <v>1055</v>
      </c>
      <c r="C610">
        <v>98</v>
      </c>
      <c r="D610" t="s">
        <v>1042</v>
      </c>
      <c r="E610" s="1">
        <v>45117</v>
      </c>
      <c r="F610">
        <v>130</v>
      </c>
      <c r="G610">
        <v>3.4</v>
      </c>
      <c r="H610">
        <v>2024</v>
      </c>
      <c r="I610" t="s">
        <v>1030</v>
      </c>
      <c r="J610" t="s">
        <v>1019</v>
      </c>
      <c r="K610">
        <v>3</v>
      </c>
    </row>
    <row r="611" spans="1:11" x14ac:dyDescent="0.3">
      <c r="A611" t="s">
        <v>1655</v>
      </c>
      <c r="B611" t="s">
        <v>1065</v>
      </c>
      <c r="C611">
        <v>52</v>
      </c>
      <c r="D611" t="s">
        <v>1042</v>
      </c>
      <c r="E611" s="1">
        <v>45117</v>
      </c>
      <c r="F611">
        <v>190</v>
      </c>
      <c r="G611">
        <v>3.3</v>
      </c>
      <c r="H611">
        <v>2024</v>
      </c>
      <c r="I611" t="s">
        <v>1030</v>
      </c>
      <c r="J611" t="s">
        <v>1034</v>
      </c>
      <c r="K611">
        <v>3</v>
      </c>
    </row>
    <row r="612" spans="1:11" x14ac:dyDescent="0.3">
      <c r="A612" t="s">
        <v>1656</v>
      </c>
      <c r="B612" t="s">
        <v>1028</v>
      </c>
      <c r="C612">
        <v>154</v>
      </c>
      <c r="D612" t="s">
        <v>1029</v>
      </c>
      <c r="E612" s="1">
        <v>45117</v>
      </c>
      <c r="F612">
        <v>164</v>
      </c>
      <c r="G612">
        <v>4.9000000000000004</v>
      </c>
      <c r="H612">
        <v>2024</v>
      </c>
      <c r="I612" t="s">
        <v>1030</v>
      </c>
      <c r="J612" t="s">
        <v>1031</v>
      </c>
      <c r="K612">
        <v>5</v>
      </c>
    </row>
    <row r="613" spans="1:11" x14ac:dyDescent="0.3">
      <c r="A613" t="s">
        <v>1657</v>
      </c>
      <c r="B613" t="s">
        <v>1098</v>
      </c>
      <c r="C613">
        <v>131</v>
      </c>
      <c r="D613" t="s">
        <v>1024</v>
      </c>
      <c r="E613" s="1">
        <v>45118</v>
      </c>
      <c r="F613">
        <v>76</v>
      </c>
      <c r="G613">
        <v>4.5</v>
      </c>
      <c r="H613">
        <v>2024</v>
      </c>
      <c r="I613" t="s">
        <v>1033</v>
      </c>
      <c r="J613" t="s">
        <v>1031</v>
      </c>
      <c r="K613">
        <v>5</v>
      </c>
    </row>
    <row r="614" spans="1:11" x14ac:dyDescent="0.3">
      <c r="A614" t="s">
        <v>1658</v>
      </c>
      <c r="B614" t="s">
        <v>1023</v>
      </c>
      <c r="C614">
        <v>73</v>
      </c>
      <c r="D614" t="s">
        <v>1024</v>
      </c>
      <c r="E614" s="1">
        <v>45119</v>
      </c>
      <c r="F614">
        <v>87</v>
      </c>
      <c r="G614">
        <v>4.8</v>
      </c>
      <c r="H614">
        <v>2024</v>
      </c>
      <c r="I614" t="s">
        <v>1048</v>
      </c>
      <c r="J614" t="s">
        <v>1019</v>
      </c>
      <c r="K614">
        <v>5</v>
      </c>
    </row>
    <row r="615" spans="1:11" x14ac:dyDescent="0.3">
      <c r="A615" t="s">
        <v>1659</v>
      </c>
      <c r="B615" t="s">
        <v>1045</v>
      </c>
      <c r="C615">
        <v>45</v>
      </c>
      <c r="D615" t="s">
        <v>1042</v>
      </c>
      <c r="E615" s="1">
        <v>45119</v>
      </c>
      <c r="F615">
        <v>84</v>
      </c>
      <c r="G615">
        <v>4.8</v>
      </c>
      <c r="H615">
        <v>2024</v>
      </c>
      <c r="I615" t="s">
        <v>1048</v>
      </c>
      <c r="J615" t="s">
        <v>1034</v>
      </c>
      <c r="K615">
        <v>5</v>
      </c>
    </row>
    <row r="616" spans="1:11" x14ac:dyDescent="0.3">
      <c r="A616" t="s">
        <v>1660</v>
      </c>
      <c r="B616" t="s">
        <v>1059</v>
      </c>
      <c r="C616">
        <v>114</v>
      </c>
      <c r="D616" t="s">
        <v>1038</v>
      </c>
      <c r="E616" s="1">
        <v>45119</v>
      </c>
      <c r="F616">
        <v>114</v>
      </c>
      <c r="G616">
        <v>3.9</v>
      </c>
      <c r="H616">
        <v>2024</v>
      </c>
      <c r="I616" t="s">
        <v>1048</v>
      </c>
      <c r="J616" t="s">
        <v>1019</v>
      </c>
      <c r="K616">
        <v>4</v>
      </c>
    </row>
    <row r="617" spans="1:11" x14ac:dyDescent="0.3">
      <c r="A617" t="s">
        <v>1661</v>
      </c>
      <c r="B617" t="s">
        <v>1055</v>
      </c>
      <c r="C617">
        <v>69</v>
      </c>
      <c r="D617" t="s">
        <v>1024</v>
      </c>
      <c r="E617" s="1">
        <v>45120</v>
      </c>
      <c r="F617">
        <v>56</v>
      </c>
      <c r="G617">
        <v>3.9</v>
      </c>
      <c r="H617">
        <v>2024</v>
      </c>
      <c r="I617" t="s">
        <v>1052</v>
      </c>
      <c r="J617" t="s">
        <v>1019</v>
      </c>
      <c r="K617">
        <v>4</v>
      </c>
    </row>
    <row r="618" spans="1:11" x14ac:dyDescent="0.3">
      <c r="A618" t="s">
        <v>1662</v>
      </c>
      <c r="B618" t="s">
        <v>1098</v>
      </c>
      <c r="C618">
        <v>33</v>
      </c>
      <c r="D618" t="s">
        <v>1029</v>
      </c>
      <c r="E618" s="1">
        <v>45120</v>
      </c>
      <c r="F618">
        <v>27</v>
      </c>
      <c r="G618">
        <v>3.7</v>
      </c>
      <c r="H618">
        <v>2024</v>
      </c>
      <c r="I618" t="s">
        <v>1052</v>
      </c>
      <c r="J618" t="s">
        <v>1034</v>
      </c>
      <c r="K618">
        <v>4</v>
      </c>
    </row>
    <row r="619" spans="1:11" x14ac:dyDescent="0.3">
      <c r="A619" t="s">
        <v>1663</v>
      </c>
      <c r="B619" t="s">
        <v>1021</v>
      </c>
      <c r="C619">
        <v>31</v>
      </c>
      <c r="D619" t="s">
        <v>1017</v>
      </c>
      <c r="E619" s="1">
        <v>45121</v>
      </c>
      <c r="F619">
        <v>84</v>
      </c>
      <c r="G619">
        <v>4.8</v>
      </c>
      <c r="H619">
        <v>2024</v>
      </c>
      <c r="I619" t="s">
        <v>411</v>
      </c>
      <c r="J619" t="s">
        <v>1034</v>
      </c>
      <c r="K619">
        <v>5</v>
      </c>
    </row>
    <row r="620" spans="1:11" x14ac:dyDescent="0.3">
      <c r="A620" t="s">
        <v>1664</v>
      </c>
      <c r="B620" t="s">
        <v>1045</v>
      </c>
      <c r="C620">
        <v>168</v>
      </c>
      <c r="D620" t="s">
        <v>1029</v>
      </c>
      <c r="E620" s="1">
        <v>45121</v>
      </c>
      <c r="F620">
        <v>72</v>
      </c>
      <c r="G620">
        <v>3.5</v>
      </c>
      <c r="H620">
        <v>2024</v>
      </c>
      <c r="I620" t="s">
        <v>411</v>
      </c>
      <c r="J620" t="s">
        <v>1031</v>
      </c>
      <c r="K620">
        <v>4</v>
      </c>
    </row>
    <row r="621" spans="1:11" x14ac:dyDescent="0.3">
      <c r="A621" t="s">
        <v>1665</v>
      </c>
      <c r="B621" t="s">
        <v>1023</v>
      </c>
      <c r="C621">
        <v>111</v>
      </c>
      <c r="D621" t="s">
        <v>1038</v>
      </c>
      <c r="E621" s="1">
        <v>45122</v>
      </c>
      <c r="F621">
        <v>126</v>
      </c>
      <c r="G621">
        <v>4.2</v>
      </c>
      <c r="H621">
        <v>2024</v>
      </c>
      <c r="I621" t="s">
        <v>1062</v>
      </c>
      <c r="J621" t="s">
        <v>1019</v>
      </c>
      <c r="K621">
        <v>4</v>
      </c>
    </row>
    <row r="622" spans="1:11" x14ac:dyDescent="0.3">
      <c r="A622" t="s">
        <v>1666</v>
      </c>
      <c r="B622" t="s">
        <v>1021</v>
      </c>
      <c r="C622">
        <v>80</v>
      </c>
      <c r="D622" t="s">
        <v>1029</v>
      </c>
      <c r="E622" s="1">
        <v>45123</v>
      </c>
      <c r="F622">
        <v>88</v>
      </c>
      <c r="G622">
        <v>4.9000000000000004</v>
      </c>
      <c r="H622">
        <v>2024</v>
      </c>
      <c r="I622" t="s">
        <v>1018</v>
      </c>
      <c r="J622" t="s">
        <v>1019</v>
      </c>
      <c r="K622">
        <v>5</v>
      </c>
    </row>
    <row r="623" spans="1:11" x14ac:dyDescent="0.3">
      <c r="A623" t="s">
        <v>1667</v>
      </c>
      <c r="B623" t="s">
        <v>1016</v>
      </c>
      <c r="C623">
        <v>37</v>
      </c>
      <c r="D623" t="s">
        <v>1029</v>
      </c>
      <c r="E623" s="1">
        <v>45123</v>
      </c>
      <c r="F623">
        <v>124</v>
      </c>
      <c r="G623">
        <v>4.5999999999999996</v>
      </c>
      <c r="H623">
        <v>2024</v>
      </c>
      <c r="I623" t="s">
        <v>1018</v>
      </c>
      <c r="J623" t="s">
        <v>1034</v>
      </c>
      <c r="K623">
        <v>5</v>
      </c>
    </row>
    <row r="624" spans="1:11" x14ac:dyDescent="0.3">
      <c r="A624" t="s">
        <v>1668</v>
      </c>
      <c r="B624" t="s">
        <v>1078</v>
      </c>
      <c r="C624">
        <v>137</v>
      </c>
      <c r="D624" t="s">
        <v>1029</v>
      </c>
      <c r="E624" s="1">
        <v>45124</v>
      </c>
      <c r="F624">
        <v>84</v>
      </c>
      <c r="G624">
        <v>2.6</v>
      </c>
      <c r="H624">
        <v>2024</v>
      </c>
      <c r="I624" t="s">
        <v>1030</v>
      </c>
      <c r="J624" t="s">
        <v>1031</v>
      </c>
      <c r="K624">
        <v>3</v>
      </c>
    </row>
    <row r="625" spans="1:11" x14ac:dyDescent="0.3">
      <c r="A625" t="s">
        <v>1669</v>
      </c>
      <c r="B625" t="s">
        <v>1055</v>
      </c>
      <c r="C625">
        <v>123</v>
      </c>
      <c r="D625" t="s">
        <v>1038</v>
      </c>
      <c r="E625" s="1">
        <v>45124</v>
      </c>
      <c r="F625">
        <v>80</v>
      </c>
      <c r="G625">
        <v>2.7</v>
      </c>
      <c r="H625">
        <v>2024</v>
      </c>
      <c r="I625" t="s">
        <v>1030</v>
      </c>
      <c r="J625" t="s">
        <v>1031</v>
      </c>
      <c r="K625">
        <v>3</v>
      </c>
    </row>
    <row r="626" spans="1:11" x14ac:dyDescent="0.3">
      <c r="A626" t="s">
        <v>1670</v>
      </c>
      <c r="B626" t="s">
        <v>1068</v>
      </c>
      <c r="C626">
        <v>105</v>
      </c>
      <c r="D626" t="s">
        <v>1038</v>
      </c>
      <c r="E626" s="1">
        <v>45125</v>
      </c>
      <c r="F626">
        <v>176</v>
      </c>
      <c r="G626">
        <v>4.7</v>
      </c>
      <c r="H626">
        <v>2024</v>
      </c>
      <c r="I626" t="s">
        <v>1033</v>
      </c>
      <c r="J626" t="s">
        <v>1019</v>
      </c>
      <c r="K626">
        <v>5</v>
      </c>
    </row>
    <row r="627" spans="1:11" x14ac:dyDescent="0.3">
      <c r="A627" t="s">
        <v>1671</v>
      </c>
      <c r="B627" t="s">
        <v>1016</v>
      </c>
      <c r="C627">
        <v>76</v>
      </c>
      <c r="D627" t="s">
        <v>1042</v>
      </c>
      <c r="E627" s="1">
        <v>45126</v>
      </c>
      <c r="F627">
        <v>84</v>
      </c>
      <c r="G627">
        <v>3.9</v>
      </c>
      <c r="H627">
        <v>2024</v>
      </c>
      <c r="I627" t="s">
        <v>1048</v>
      </c>
      <c r="J627" t="s">
        <v>1019</v>
      </c>
      <c r="K627">
        <v>4</v>
      </c>
    </row>
    <row r="628" spans="1:11" x14ac:dyDescent="0.3">
      <c r="A628" t="s">
        <v>1672</v>
      </c>
      <c r="B628" t="s">
        <v>1021</v>
      </c>
      <c r="C628">
        <v>144</v>
      </c>
      <c r="D628" t="s">
        <v>1042</v>
      </c>
      <c r="E628" s="1">
        <v>45126</v>
      </c>
      <c r="F628">
        <v>164</v>
      </c>
      <c r="G628">
        <v>2.8</v>
      </c>
      <c r="H628">
        <v>2024</v>
      </c>
      <c r="I628" t="s">
        <v>1048</v>
      </c>
      <c r="J628" t="s">
        <v>1031</v>
      </c>
      <c r="K628">
        <v>3</v>
      </c>
    </row>
    <row r="629" spans="1:11" x14ac:dyDescent="0.3">
      <c r="A629" t="s">
        <v>1673</v>
      </c>
      <c r="B629" t="s">
        <v>1098</v>
      </c>
      <c r="C629">
        <v>109</v>
      </c>
      <c r="D629" t="s">
        <v>1017</v>
      </c>
      <c r="E629" s="1">
        <v>45126</v>
      </c>
      <c r="F629">
        <v>132</v>
      </c>
      <c r="G629">
        <v>3.1</v>
      </c>
      <c r="H629">
        <v>2024</v>
      </c>
      <c r="I629" t="s">
        <v>1048</v>
      </c>
      <c r="J629" t="s">
        <v>1019</v>
      </c>
      <c r="K629">
        <v>3</v>
      </c>
    </row>
    <row r="630" spans="1:11" x14ac:dyDescent="0.3">
      <c r="A630" t="s">
        <v>1674</v>
      </c>
      <c r="B630" t="s">
        <v>1055</v>
      </c>
      <c r="C630">
        <v>172</v>
      </c>
      <c r="D630" t="s">
        <v>1029</v>
      </c>
      <c r="E630" s="1">
        <v>45127</v>
      </c>
      <c r="F630">
        <v>27</v>
      </c>
      <c r="G630">
        <v>4.2</v>
      </c>
      <c r="H630">
        <v>2024</v>
      </c>
      <c r="I630" t="s">
        <v>1052</v>
      </c>
      <c r="J630" t="s">
        <v>1031</v>
      </c>
      <c r="K630">
        <v>4</v>
      </c>
    </row>
    <row r="631" spans="1:11" x14ac:dyDescent="0.3">
      <c r="A631" t="s">
        <v>1675</v>
      </c>
      <c r="B631" t="s">
        <v>1021</v>
      </c>
      <c r="C631">
        <v>56</v>
      </c>
      <c r="D631" t="s">
        <v>1038</v>
      </c>
      <c r="E631" s="1">
        <v>45127</v>
      </c>
      <c r="F631">
        <v>27</v>
      </c>
      <c r="G631">
        <v>4.3</v>
      </c>
      <c r="H631">
        <v>2024</v>
      </c>
      <c r="I631" t="s">
        <v>1052</v>
      </c>
      <c r="J631" t="s">
        <v>1034</v>
      </c>
      <c r="K631">
        <v>4</v>
      </c>
    </row>
    <row r="632" spans="1:11" x14ac:dyDescent="0.3">
      <c r="A632" t="s">
        <v>1676</v>
      </c>
      <c r="B632" t="s">
        <v>1021</v>
      </c>
      <c r="C632">
        <v>121</v>
      </c>
      <c r="D632" t="s">
        <v>1024</v>
      </c>
      <c r="E632" s="1">
        <v>45127</v>
      </c>
      <c r="F632">
        <v>20</v>
      </c>
      <c r="G632">
        <v>2.7</v>
      </c>
      <c r="H632">
        <v>2024</v>
      </c>
      <c r="I632" t="s">
        <v>1052</v>
      </c>
      <c r="J632" t="s">
        <v>1031</v>
      </c>
      <c r="K632">
        <v>3</v>
      </c>
    </row>
    <row r="633" spans="1:11" x14ac:dyDescent="0.3">
      <c r="A633" t="s">
        <v>1677</v>
      </c>
      <c r="B633" t="s">
        <v>1055</v>
      </c>
      <c r="C633">
        <v>41</v>
      </c>
      <c r="D633" t="s">
        <v>1038</v>
      </c>
      <c r="E633" s="1">
        <v>45128</v>
      </c>
      <c r="F633">
        <v>112</v>
      </c>
      <c r="G633">
        <v>2.2999999999999998</v>
      </c>
      <c r="H633">
        <v>2024</v>
      </c>
      <c r="I633" t="s">
        <v>411</v>
      </c>
      <c r="J633" t="s">
        <v>1034</v>
      </c>
      <c r="K633">
        <v>2</v>
      </c>
    </row>
    <row r="634" spans="1:11" x14ac:dyDescent="0.3">
      <c r="A634" t="s">
        <v>1678</v>
      </c>
      <c r="B634" t="s">
        <v>1026</v>
      </c>
      <c r="C634">
        <v>60</v>
      </c>
      <c r="D634" t="s">
        <v>1029</v>
      </c>
      <c r="E634" s="1">
        <v>45128</v>
      </c>
      <c r="F634">
        <v>60</v>
      </c>
      <c r="G634">
        <v>2.2999999999999998</v>
      </c>
      <c r="H634">
        <v>2024</v>
      </c>
      <c r="I634" t="s">
        <v>411</v>
      </c>
      <c r="J634" t="s">
        <v>1034</v>
      </c>
      <c r="K634">
        <v>2</v>
      </c>
    </row>
    <row r="635" spans="1:11" x14ac:dyDescent="0.3">
      <c r="A635" t="s">
        <v>1679</v>
      </c>
      <c r="B635" t="s">
        <v>1026</v>
      </c>
      <c r="C635">
        <v>144</v>
      </c>
      <c r="D635" t="s">
        <v>1029</v>
      </c>
      <c r="E635" s="1">
        <v>45129</v>
      </c>
      <c r="F635">
        <v>102</v>
      </c>
      <c r="G635">
        <v>2.9</v>
      </c>
      <c r="H635">
        <v>2024</v>
      </c>
      <c r="I635" t="s">
        <v>1062</v>
      </c>
      <c r="J635" t="s">
        <v>1031</v>
      </c>
      <c r="K635">
        <v>3</v>
      </c>
    </row>
    <row r="636" spans="1:11" x14ac:dyDescent="0.3">
      <c r="A636" t="s">
        <v>1680</v>
      </c>
      <c r="B636" t="s">
        <v>1028</v>
      </c>
      <c r="C636">
        <v>67</v>
      </c>
      <c r="D636" t="s">
        <v>1029</v>
      </c>
      <c r="E636" s="1">
        <v>45129</v>
      </c>
      <c r="F636">
        <v>38</v>
      </c>
      <c r="G636">
        <v>4.2</v>
      </c>
      <c r="H636">
        <v>2024</v>
      </c>
      <c r="I636" t="s">
        <v>1062</v>
      </c>
      <c r="J636" t="s">
        <v>1019</v>
      </c>
      <c r="K636">
        <v>4</v>
      </c>
    </row>
    <row r="637" spans="1:11" x14ac:dyDescent="0.3">
      <c r="A637" t="s">
        <v>1681</v>
      </c>
      <c r="B637" t="s">
        <v>1055</v>
      </c>
      <c r="C637">
        <v>162</v>
      </c>
      <c r="D637" t="s">
        <v>1017</v>
      </c>
      <c r="E637" s="1">
        <v>45129</v>
      </c>
      <c r="F637">
        <v>82</v>
      </c>
      <c r="G637">
        <v>4.5999999999999996</v>
      </c>
      <c r="H637">
        <v>2024</v>
      </c>
      <c r="I637" t="s">
        <v>1062</v>
      </c>
      <c r="J637" t="s">
        <v>1031</v>
      </c>
      <c r="K637">
        <v>5</v>
      </c>
    </row>
    <row r="638" spans="1:11" x14ac:dyDescent="0.3">
      <c r="A638" t="s">
        <v>1682</v>
      </c>
      <c r="B638" t="s">
        <v>1026</v>
      </c>
      <c r="C638">
        <v>87</v>
      </c>
      <c r="D638" t="s">
        <v>1024</v>
      </c>
      <c r="E638" s="1">
        <v>45132</v>
      </c>
      <c r="F638">
        <v>125</v>
      </c>
      <c r="G638">
        <v>4.5</v>
      </c>
      <c r="H638">
        <v>2024</v>
      </c>
      <c r="I638" t="s">
        <v>1033</v>
      </c>
      <c r="J638" t="s">
        <v>1019</v>
      </c>
      <c r="K638">
        <v>5</v>
      </c>
    </row>
    <row r="639" spans="1:11" x14ac:dyDescent="0.3">
      <c r="A639" t="s">
        <v>1683</v>
      </c>
      <c r="B639" t="s">
        <v>1065</v>
      </c>
      <c r="C639">
        <v>10</v>
      </c>
      <c r="D639" t="s">
        <v>1042</v>
      </c>
      <c r="E639" s="1">
        <v>45133</v>
      </c>
      <c r="F639">
        <v>72</v>
      </c>
      <c r="G639">
        <v>3.7</v>
      </c>
      <c r="H639">
        <v>2024</v>
      </c>
      <c r="I639" t="s">
        <v>1048</v>
      </c>
      <c r="J639" t="s">
        <v>1186</v>
      </c>
      <c r="K639">
        <v>4</v>
      </c>
    </row>
    <row r="640" spans="1:11" x14ac:dyDescent="0.3">
      <c r="A640" t="s">
        <v>1684</v>
      </c>
      <c r="B640" t="s">
        <v>1021</v>
      </c>
      <c r="C640">
        <v>138</v>
      </c>
      <c r="D640" t="s">
        <v>1042</v>
      </c>
      <c r="E640" s="1">
        <v>45133</v>
      </c>
      <c r="F640">
        <v>195</v>
      </c>
      <c r="G640">
        <v>4.0999999999999996</v>
      </c>
      <c r="H640">
        <v>2024</v>
      </c>
      <c r="I640" t="s">
        <v>1048</v>
      </c>
      <c r="J640" t="s">
        <v>1031</v>
      </c>
      <c r="K640">
        <v>4</v>
      </c>
    </row>
    <row r="641" spans="1:11" x14ac:dyDescent="0.3">
      <c r="A641" t="s">
        <v>1685</v>
      </c>
      <c r="B641" t="s">
        <v>1055</v>
      </c>
      <c r="C641">
        <v>31</v>
      </c>
      <c r="D641" t="s">
        <v>1042</v>
      </c>
      <c r="E641" s="1">
        <v>45134</v>
      </c>
      <c r="F641">
        <v>160</v>
      </c>
      <c r="G641">
        <v>3.4</v>
      </c>
      <c r="H641">
        <v>2024</v>
      </c>
      <c r="I641" t="s">
        <v>1052</v>
      </c>
      <c r="J641" t="s">
        <v>1034</v>
      </c>
      <c r="K641">
        <v>3</v>
      </c>
    </row>
    <row r="642" spans="1:11" x14ac:dyDescent="0.3">
      <c r="A642" t="s">
        <v>1686</v>
      </c>
      <c r="B642" t="s">
        <v>1068</v>
      </c>
      <c r="C642">
        <v>75</v>
      </c>
      <c r="D642" t="s">
        <v>1017</v>
      </c>
      <c r="E642" s="1">
        <v>45134</v>
      </c>
      <c r="F642">
        <v>78</v>
      </c>
      <c r="G642">
        <v>3.3</v>
      </c>
      <c r="H642">
        <v>2024</v>
      </c>
      <c r="I642" t="s">
        <v>1052</v>
      </c>
      <c r="J642" t="s">
        <v>1019</v>
      </c>
      <c r="K642">
        <v>3</v>
      </c>
    </row>
    <row r="643" spans="1:11" x14ac:dyDescent="0.3">
      <c r="A643" t="s">
        <v>1687</v>
      </c>
      <c r="B643" t="s">
        <v>1016</v>
      </c>
      <c r="C643">
        <v>65</v>
      </c>
      <c r="D643" t="s">
        <v>1017</v>
      </c>
      <c r="E643" s="1">
        <v>45135</v>
      </c>
      <c r="F643">
        <v>70</v>
      </c>
      <c r="G643">
        <v>4.4000000000000004</v>
      </c>
      <c r="H643">
        <v>2024</v>
      </c>
      <c r="I643" t="s">
        <v>411</v>
      </c>
      <c r="J643" t="s">
        <v>1019</v>
      </c>
      <c r="K643">
        <v>4</v>
      </c>
    </row>
    <row r="644" spans="1:11" x14ac:dyDescent="0.3">
      <c r="A644" t="s">
        <v>1688</v>
      </c>
      <c r="B644" t="s">
        <v>1023</v>
      </c>
      <c r="C644">
        <v>106</v>
      </c>
      <c r="D644" t="s">
        <v>1038</v>
      </c>
      <c r="E644" s="1">
        <v>45135</v>
      </c>
      <c r="F644">
        <v>105</v>
      </c>
      <c r="G644">
        <v>4.2</v>
      </c>
      <c r="H644">
        <v>2024</v>
      </c>
      <c r="I644" t="s">
        <v>411</v>
      </c>
      <c r="J644" t="s">
        <v>1019</v>
      </c>
      <c r="K644">
        <v>4</v>
      </c>
    </row>
    <row r="645" spans="1:11" x14ac:dyDescent="0.3">
      <c r="A645" t="s">
        <v>1689</v>
      </c>
      <c r="B645" t="s">
        <v>1016</v>
      </c>
      <c r="C645">
        <v>107</v>
      </c>
      <c r="D645" t="s">
        <v>1038</v>
      </c>
      <c r="E645" s="1">
        <v>45136</v>
      </c>
      <c r="F645">
        <v>78</v>
      </c>
      <c r="G645">
        <v>3.4</v>
      </c>
      <c r="H645">
        <v>2024</v>
      </c>
      <c r="I645" t="s">
        <v>1062</v>
      </c>
      <c r="J645" t="s">
        <v>1019</v>
      </c>
      <c r="K645">
        <v>3</v>
      </c>
    </row>
    <row r="646" spans="1:11" x14ac:dyDescent="0.3">
      <c r="A646" t="s">
        <v>1690</v>
      </c>
      <c r="B646" t="s">
        <v>1078</v>
      </c>
      <c r="C646">
        <v>78</v>
      </c>
      <c r="D646" t="s">
        <v>1038</v>
      </c>
      <c r="E646" s="1">
        <v>45138</v>
      </c>
      <c r="F646">
        <v>205</v>
      </c>
      <c r="G646">
        <v>4.4000000000000004</v>
      </c>
      <c r="H646">
        <v>2024</v>
      </c>
      <c r="I646" t="s">
        <v>1030</v>
      </c>
      <c r="J646" t="s">
        <v>1019</v>
      </c>
      <c r="K646">
        <v>4</v>
      </c>
    </row>
    <row r="647" spans="1:11" x14ac:dyDescent="0.3">
      <c r="A647" t="s">
        <v>1691</v>
      </c>
      <c r="B647" t="s">
        <v>1047</v>
      </c>
      <c r="C647">
        <v>122</v>
      </c>
      <c r="D647" t="s">
        <v>1038</v>
      </c>
      <c r="E647" s="1">
        <v>45138</v>
      </c>
      <c r="F647">
        <v>78</v>
      </c>
      <c r="G647">
        <v>2.7</v>
      </c>
      <c r="H647">
        <v>2024</v>
      </c>
      <c r="I647" t="s">
        <v>1030</v>
      </c>
      <c r="J647" t="s">
        <v>1031</v>
      </c>
      <c r="K647">
        <v>3</v>
      </c>
    </row>
    <row r="648" spans="1:11" x14ac:dyDescent="0.3">
      <c r="A648" t="s">
        <v>1692</v>
      </c>
      <c r="B648" t="s">
        <v>1021</v>
      </c>
      <c r="C648">
        <v>58</v>
      </c>
      <c r="D648" t="s">
        <v>1042</v>
      </c>
      <c r="E648" s="1">
        <v>45138</v>
      </c>
      <c r="F648">
        <v>38</v>
      </c>
      <c r="G648">
        <v>4.5</v>
      </c>
      <c r="H648">
        <v>2024</v>
      </c>
      <c r="I648" t="s">
        <v>1030</v>
      </c>
      <c r="J648" t="s">
        <v>1034</v>
      </c>
      <c r="K648">
        <v>5</v>
      </c>
    </row>
    <row r="649" spans="1:11" x14ac:dyDescent="0.3">
      <c r="A649" t="s">
        <v>1693</v>
      </c>
      <c r="B649" t="s">
        <v>1078</v>
      </c>
      <c r="C649">
        <v>33</v>
      </c>
      <c r="D649" t="s">
        <v>1029</v>
      </c>
      <c r="E649" s="1">
        <v>45138</v>
      </c>
      <c r="F649">
        <v>92</v>
      </c>
      <c r="G649">
        <v>1.7</v>
      </c>
      <c r="H649">
        <v>2024</v>
      </c>
      <c r="I649" t="s">
        <v>1030</v>
      </c>
      <c r="J649" t="s">
        <v>1034</v>
      </c>
      <c r="K649">
        <v>2</v>
      </c>
    </row>
    <row r="650" spans="1:11" x14ac:dyDescent="0.3">
      <c r="A650" t="s">
        <v>1694</v>
      </c>
      <c r="B650" t="s">
        <v>1098</v>
      </c>
      <c r="C650">
        <v>164</v>
      </c>
      <c r="D650" t="s">
        <v>1017</v>
      </c>
      <c r="E650" s="1">
        <v>45138</v>
      </c>
      <c r="F650">
        <v>36</v>
      </c>
      <c r="G650">
        <v>4.7</v>
      </c>
      <c r="H650">
        <v>2024</v>
      </c>
      <c r="I650" t="s">
        <v>1030</v>
      </c>
      <c r="J650" t="s">
        <v>1031</v>
      </c>
      <c r="K650">
        <v>5</v>
      </c>
    </row>
    <row r="651" spans="1:11" x14ac:dyDescent="0.3">
      <c r="A651" t="s">
        <v>1695</v>
      </c>
      <c r="B651" t="s">
        <v>1068</v>
      </c>
      <c r="C651">
        <v>163</v>
      </c>
      <c r="D651" t="s">
        <v>1024</v>
      </c>
      <c r="E651" s="1">
        <v>45138</v>
      </c>
      <c r="F651">
        <v>76</v>
      </c>
      <c r="G651">
        <v>4.4000000000000004</v>
      </c>
      <c r="H651">
        <v>2024</v>
      </c>
      <c r="I651" t="s">
        <v>1030</v>
      </c>
      <c r="J651" t="s">
        <v>1031</v>
      </c>
      <c r="K651">
        <v>4</v>
      </c>
    </row>
    <row r="652" spans="1:11" x14ac:dyDescent="0.3">
      <c r="A652" t="s">
        <v>1696</v>
      </c>
      <c r="B652" t="s">
        <v>1036</v>
      </c>
      <c r="C652">
        <v>71</v>
      </c>
      <c r="D652" t="s">
        <v>1017</v>
      </c>
      <c r="E652" s="1">
        <v>45140</v>
      </c>
      <c r="F652">
        <v>170</v>
      </c>
      <c r="G652">
        <v>3.5</v>
      </c>
      <c r="H652">
        <v>2024</v>
      </c>
      <c r="I652" t="s">
        <v>1048</v>
      </c>
      <c r="J652" t="s">
        <v>1019</v>
      </c>
      <c r="K652">
        <v>4</v>
      </c>
    </row>
    <row r="653" spans="1:11" x14ac:dyDescent="0.3">
      <c r="A653" t="s">
        <v>1697</v>
      </c>
      <c r="B653" t="s">
        <v>1078</v>
      </c>
      <c r="C653">
        <v>103</v>
      </c>
      <c r="D653" t="s">
        <v>1042</v>
      </c>
      <c r="E653" s="1">
        <v>45141</v>
      </c>
      <c r="F653">
        <v>117</v>
      </c>
      <c r="G653">
        <v>4.7</v>
      </c>
      <c r="H653">
        <v>2024</v>
      </c>
      <c r="I653" t="s">
        <v>1052</v>
      </c>
      <c r="J653" t="s">
        <v>1019</v>
      </c>
      <c r="K653">
        <v>5</v>
      </c>
    </row>
    <row r="654" spans="1:11" x14ac:dyDescent="0.3">
      <c r="A654" t="s">
        <v>1698</v>
      </c>
      <c r="B654" t="s">
        <v>1059</v>
      </c>
      <c r="C654">
        <v>69</v>
      </c>
      <c r="D654" t="s">
        <v>1024</v>
      </c>
      <c r="E654" s="1">
        <v>45141</v>
      </c>
      <c r="F654">
        <v>20</v>
      </c>
      <c r="G654">
        <v>4.3</v>
      </c>
      <c r="H654">
        <v>2024</v>
      </c>
      <c r="I654" t="s">
        <v>1052</v>
      </c>
      <c r="J654" t="s">
        <v>1019</v>
      </c>
      <c r="K654">
        <v>4</v>
      </c>
    </row>
    <row r="655" spans="1:11" x14ac:dyDescent="0.3">
      <c r="A655" t="s">
        <v>1699</v>
      </c>
      <c r="B655" t="s">
        <v>1068</v>
      </c>
      <c r="C655">
        <v>111</v>
      </c>
      <c r="D655" t="s">
        <v>1042</v>
      </c>
      <c r="E655" s="1">
        <v>45141</v>
      </c>
      <c r="F655">
        <v>99</v>
      </c>
      <c r="G655">
        <v>4.0999999999999996</v>
      </c>
      <c r="H655">
        <v>2024</v>
      </c>
      <c r="I655" t="s">
        <v>1052</v>
      </c>
      <c r="J655" t="s">
        <v>1019</v>
      </c>
      <c r="K655">
        <v>4</v>
      </c>
    </row>
    <row r="656" spans="1:11" x14ac:dyDescent="0.3">
      <c r="A656" t="s">
        <v>1700</v>
      </c>
      <c r="B656" t="s">
        <v>1041</v>
      </c>
      <c r="C656">
        <v>97</v>
      </c>
      <c r="D656" t="s">
        <v>1024</v>
      </c>
      <c r="E656" s="1">
        <v>45142</v>
      </c>
      <c r="F656">
        <v>105</v>
      </c>
      <c r="G656">
        <v>2.9</v>
      </c>
      <c r="H656">
        <v>2024</v>
      </c>
      <c r="I656" t="s">
        <v>411</v>
      </c>
      <c r="J656" t="s">
        <v>1019</v>
      </c>
      <c r="K656">
        <v>3</v>
      </c>
    </row>
    <row r="657" spans="1:11" x14ac:dyDescent="0.3">
      <c r="A657" t="s">
        <v>1701</v>
      </c>
      <c r="B657" t="s">
        <v>1045</v>
      </c>
      <c r="C657">
        <v>144</v>
      </c>
      <c r="D657" t="s">
        <v>1038</v>
      </c>
      <c r="E657" s="1">
        <v>45142</v>
      </c>
      <c r="F657">
        <v>195</v>
      </c>
      <c r="G657">
        <v>3.4</v>
      </c>
      <c r="H657">
        <v>2024</v>
      </c>
      <c r="I657" t="s">
        <v>411</v>
      </c>
      <c r="J657" t="s">
        <v>1031</v>
      </c>
      <c r="K657">
        <v>3</v>
      </c>
    </row>
    <row r="658" spans="1:11" x14ac:dyDescent="0.3">
      <c r="A658" t="s">
        <v>1702</v>
      </c>
      <c r="B658" t="s">
        <v>1023</v>
      </c>
      <c r="C658">
        <v>56</v>
      </c>
      <c r="D658" t="s">
        <v>1024</v>
      </c>
      <c r="E658" s="1">
        <v>45143</v>
      </c>
      <c r="F658">
        <v>152</v>
      </c>
      <c r="G658">
        <v>4.5999999999999996</v>
      </c>
      <c r="H658">
        <v>2024</v>
      </c>
      <c r="I658" t="s">
        <v>1062</v>
      </c>
      <c r="J658" t="s">
        <v>1034</v>
      </c>
      <c r="K658">
        <v>5</v>
      </c>
    </row>
    <row r="659" spans="1:11" x14ac:dyDescent="0.3">
      <c r="A659" t="s">
        <v>1703</v>
      </c>
      <c r="B659" t="s">
        <v>1045</v>
      </c>
      <c r="C659">
        <v>132</v>
      </c>
      <c r="D659" t="s">
        <v>1038</v>
      </c>
      <c r="E659" s="1">
        <v>45144</v>
      </c>
      <c r="F659">
        <v>195</v>
      </c>
      <c r="G659">
        <v>4.9000000000000004</v>
      </c>
      <c r="H659">
        <v>2024</v>
      </c>
      <c r="I659" t="s">
        <v>1018</v>
      </c>
      <c r="J659" t="s">
        <v>1031</v>
      </c>
      <c r="K659">
        <v>5</v>
      </c>
    </row>
    <row r="660" spans="1:11" x14ac:dyDescent="0.3">
      <c r="A660" t="s">
        <v>1704</v>
      </c>
      <c r="B660" t="s">
        <v>1036</v>
      </c>
      <c r="C660">
        <v>72</v>
      </c>
      <c r="D660" t="s">
        <v>1029</v>
      </c>
      <c r="E660" s="1">
        <v>45144</v>
      </c>
      <c r="F660">
        <v>70</v>
      </c>
      <c r="G660">
        <v>3.6</v>
      </c>
      <c r="H660">
        <v>2024</v>
      </c>
      <c r="I660" t="s">
        <v>1018</v>
      </c>
      <c r="J660" t="s">
        <v>1019</v>
      </c>
      <c r="K660">
        <v>4</v>
      </c>
    </row>
    <row r="661" spans="1:11" x14ac:dyDescent="0.3">
      <c r="A661" t="s">
        <v>1705</v>
      </c>
      <c r="B661" t="s">
        <v>1068</v>
      </c>
      <c r="C661">
        <v>18</v>
      </c>
      <c r="D661" t="s">
        <v>1029</v>
      </c>
      <c r="E661" s="1">
        <v>45144</v>
      </c>
      <c r="F661">
        <v>22</v>
      </c>
      <c r="G661">
        <v>3.5</v>
      </c>
      <c r="H661">
        <v>2024</v>
      </c>
      <c r="I661" t="s">
        <v>1018</v>
      </c>
      <c r="J661" t="s">
        <v>1056</v>
      </c>
      <c r="K661">
        <v>4</v>
      </c>
    </row>
    <row r="662" spans="1:11" x14ac:dyDescent="0.3">
      <c r="A662" t="s">
        <v>1706</v>
      </c>
      <c r="B662" t="s">
        <v>1028</v>
      </c>
      <c r="C662">
        <v>115</v>
      </c>
      <c r="D662" t="s">
        <v>1042</v>
      </c>
      <c r="E662" s="1">
        <v>45145</v>
      </c>
      <c r="F662">
        <v>40</v>
      </c>
      <c r="G662">
        <v>3.3</v>
      </c>
      <c r="H662">
        <v>2024</v>
      </c>
      <c r="I662" t="s">
        <v>1030</v>
      </c>
      <c r="J662" t="s">
        <v>1019</v>
      </c>
      <c r="K662">
        <v>3</v>
      </c>
    </row>
    <row r="663" spans="1:11" x14ac:dyDescent="0.3">
      <c r="A663" t="s">
        <v>1707</v>
      </c>
      <c r="B663" t="s">
        <v>1028</v>
      </c>
      <c r="C663">
        <v>124</v>
      </c>
      <c r="D663" t="s">
        <v>1024</v>
      </c>
      <c r="E663" s="1">
        <v>45146</v>
      </c>
      <c r="F663">
        <v>54</v>
      </c>
      <c r="G663">
        <v>3.8</v>
      </c>
      <c r="H663">
        <v>2024</v>
      </c>
      <c r="I663" t="s">
        <v>1033</v>
      </c>
      <c r="J663" t="s">
        <v>1031</v>
      </c>
      <c r="K663">
        <v>4</v>
      </c>
    </row>
    <row r="664" spans="1:11" x14ac:dyDescent="0.3">
      <c r="A664" t="s">
        <v>1708</v>
      </c>
      <c r="B664" t="s">
        <v>1021</v>
      </c>
      <c r="C664">
        <v>130</v>
      </c>
      <c r="D664" t="s">
        <v>1024</v>
      </c>
      <c r="E664" s="1">
        <v>45146</v>
      </c>
      <c r="F664">
        <v>60</v>
      </c>
      <c r="G664">
        <v>2.5</v>
      </c>
      <c r="H664">
        <v>2024</v>
      </c>
      <c r="I664" t="s">
        <v>1033</v>
      </c>
      <c r="J664" t="s">
        <v>1031</v>
      </c>
      <c r="K664">
        <v>3</v>
      </c>
    </row>
    <row r="665" spans="1:11" x14ac:dyDescent="0.3">
      <c r="A665" t="s">
        <v>1709</v>
      </c>
      <c r="B665" t="s">
        <v>1065</v>
      </c>
      <c r="C665">
        <v>120</v>
      </c>
      <c r="D665" t="s">
        <v>1017</v>
      </c>
      <c r="E665" s="1">
        <v>45148</v>
      </c>
      <c r="F665">
        <v>58</v>
      </c>
      <c r="G665">
        <v>4.5999999999999996</v>
      </c>
      <c r="H665">
        <v>2024</v>
      </c>
      <c r="I665" t="s">
        <v>1052</v>
      </c>
      <c r="J665" t="s">
        <v>1019</v>
      </c>
      <c r="K665">
        <v>5</v>
      </c>
    </row>
    <row r="666" spans="1:11" x14ac:dyDescent="0.3">
      <c r="A666" t="s">
        <v>1710</v>
      </c>
      <c r="B666" t="s">
        <v>1041</v>
      </c>
      <c r="C666">
        <v>75</v>
      </c>
      <c r="D666" t="s">
        <v>1042</v>
      </c>
      <c r="E666" s="1">
        <v>45148</v>
      </c>
      <c r="F666">
        <v>220</v>
      </c>
      <c r="G666">
        <v>4.7</v>
      </c>
      <c r="H666">
        <v>2024</v>
      </c>
      <c r="I666" t="s">
        <v>1052</v>
      </c>
      <c r="J666" t="s">
        <v>1019</v>
      </c>
      <c r="K666">
        <v>5</v>
      </c>
    </row>
    <row r="667" spans="1:11" x14ac:dyDescent="0.3">
      <c r="A667" t="s">
        <v>1711</v>
      </c>
      <c r="B667" t="s">
        <v>1016</v>
      </c>
      <c r="C667">
        <v>63</v>
      </c>
      <c r="D667" t="s">
        <v>1042</v>
      </c>
      <c r="E667" s="1">
        <v>45148</v>
      </c>
      <c r="F667">
        <v>27</v>
      </c>
      <c r="G667">
        <v>3.6</v>
      </c>
      <c r="H667">
        <v>2024</v>
      </c>
      <c r="I667" t="s">
        <v>1052</v>
      </c>
      <c r="J667" t="s">
        <v>1019</v>
      </c>
      <c r="K667">
        <v>4</v>
      </c>
    </row>
    <row r="668" spans="1:11" x14ac:dyDescent="0.3">
      <c r="A668" t="s">
        <v>1712</v>
      </c>
      <c r="B668" t="s">
        <v>1045</v>
      </c>
      <c r="C668">
        <v>74</v>
      </c>
      <c r="D668" t="s">
        <v>1042</v>
      </c>
      <c r="E668" s="1">
        <v>45150</v>
      </c>
      <c r="F668">
        <v>26</v>
      </c>
      <c r="G668">
        <v>4.3</v>
      </c>
      <c r="H668">
        <v>2024</v>
      </c>
      <c r="I668" t="s">
        <v>1062</v>
      </c>
      <c r="J668" t="s">
        <v>1019</v>
      </c>
      <c r="K668">
        <v>4</v>
      </c>
    </row>
    <row r="669" spans="1:11" x14ac:dyDescent="0.3">
      <c r="A669" t="s">
        <v>1713</v>
      </c>
      <c r="B669" t="s">
        <v>1059</v>
      </c>
      <c r="C669">
        <v>134</v>
      </c>
      <c r="D669" t="s">
        <v>1038</v>
      </c>
      <c r="E669" s="1">
        <v>45151</v>
      </c>
      <c r="F669">
        <v>160</v>
      </c>
      <c r="G669">
        <v>4.7</v>
      </c>
      <c r="H669">
        <v>2024</v>
      </c>
      <c r="I669" t="s">
        <v>1018</v>
      </c>
      <c r="J669" t="s">
        <v>1031</v>
      </c>
      <c r="K669">
        <v>5</v>
      </c>
    </row>
    <row r="670" spans="1:11" x14ac:dyDescent="0.3">
      <c r="A670" t="s">
        <v>1714</v>
      </c>
      <c r="B670" t="s">
        <v>1068</v>
      </c>
      <c r="C670">
        <v>103</v>
      </c>
      <c r="D670" t="s">
        <v>1024</v>
      </c>
      <c r="E670" s="1">
        <v>45151</v>
      </c>
      <c r="F670">
        <v>200</v>
      </c>
      <c r="G670">
        <v>4.9000000000000004</v>
      </c>
      <c r="H670">
        <v>2024</v>
      </c>
      <c r="I670" t="s">
        <v>1018</v>
      </c>
      <c r="J670" t="s">
        <v>1019</v>
      </c>
      <c r="K670">
        <v>5</v>
      </c>
    </row>
    <row r="671" spans="1:11" x14ac:dyDescent="0.3">
      <c r="A671" t="s">
        <v>1715</v>
      </c>
      <c r="B671" t="s">
        <v>1068</v>
      </c>
      <c r="C671">
        <v>155</v>
      </c>
      <c r="D671" t="s">
        <v>1017</v>
      </c>
      <c r="E671" s="1">
        <v>45154</v>
      </c>
      <c r="F671">
        <v>135</v>
      </c>
      <c r="G671">
        <v>4.9000000000000004</v>
      </c>
      <c r="H671">
        <v>2024</v>
      </c>
      <c r="I671" t="s">
        <v>1048</v>
      </c>
      <c r="J671" t="s">
        <v>1031</v>
      </c>
      <c r="K671">
        <v>5</v>
      </c>
    </row>
    <row r="672" spans="1:11" x14ac:dyDescent="0.3">
      <c r="A672" t="s">
        <v>1716</v>
      </c>
      <c r="B672" t="s">
        <v>1016</v>
      </c>
      <c r="C672">
        <v>128</v>
      </c>
      <c r="D672" t="s">
        <v>1024</v>
      </c>
      <c r="E672" s="1">
        <v>45155</v>
      </c>
      <c r="F672">
        <v>22</v>
      </c>
      <c r="G672">
        <v>1.9</v>
      </c>
      <c r="H672">
        <v>2024</v>
      </c>
      <c r="I672" t="s">
        <v>1052</v>
      </c>
      <c r="J672" t="s">
        <v>1031</v>
      </c>
      <c r="K672">
        <v>2</v>
      </c>
    </row>
    <row r="673" spans="1:11" x14ac:dyDescent="0.3">
      <c r="A673" t="s">
        <v>1717</v>
      </c>
      <c r="B673" t="s">
        <v>1041</v>
      </c>
      <c r="C673">
        <v>89</v>
      </c>
      <c r="D673" t="s">
        <v>1038</v>
      </c>
      <c r="E673" s="1">
        <v>45156</v>
      </c>
      <c r="F673">
        <v>164</v>
      </c>
      <c r="G673">
        <v>4.5</v>
      </c>
      <c r="H673">
        <v>2024</v>
      </c>
      <c r="I673" t="s">
        <v>411</v>
      </c>
      <c r="J673" t="s">
        <v>1019</v>
      </c>
      <c r="K673">
        <v>5</v>
      </c>
    </row>
    <row r="674" spans="1:11" x14ac:dyDescent="0.3">
      <c r="A674" t="s">
        <v>1718</v>
      </c>
      <c r="B674" t="s">
        <v>1028</v>
      </c>
      <c r="C674">
        <v>81</v>
      </c>
      <c r="D674" t="s">
        <v>1017</v>
      </c>
      <c r="E674" s="1">
        <v>45156</v>
      </c>
      <c r="F674">
        <v>21</v>
      </c>
      <c r="G674">
        <v>4.9000000000000004</v>
      </c>
      <c r="H674">
        <v>2024</v>
      </c>
      <c r="I674" t="s">
        <v>411</v>
      </c>
      <c r="J674" t="s">
        <v>1019</v>
      </c>
      <c r="K674">
        <v>5</v>
      </c>
    </row>
    <row r="675" spans="1:11" x14ac:dyDescent="0.3">
      <c r="A675" t="s">
        <v>1719</v>
      </c>
      <c r="B675" t="s">
        <v>1041</v>
      </c>
      <c r="C675">
        <v>66</v>
      </c>
      <c r="D675" t="s">
        <v>1038</v>
      </c>
      <c r="E675" s="1">
        <v>45157</v>
      </c>
      <c r="F675">
        <v>120</v>
      </c>
      <c r="G675">
        <v>4.5</v>
      </c>
      <c r="H675">
        <v>2024</v>
      </c>
      <c r="I675" t="s">
        <v>1062</v>
      </c>
      <c r="J675" t="s">
        <v>1019</v>
      </c>
      <c r="K675">
        <v>5</v>
      </c>
    </row>
    <row r="676" spans="1:11" x14ac:dyDescent="0.3">
      <c r="A676" t="s">
        <v>1720</v>
      </c>
      <c r="B676" t="s">
        <v>1036</v>
      </c>
      <c r="C676">
        <v>61</v>
      </c>
      <c r="D676" t="s">
        <v>1029</v>
      </c>
      <c r="E676" s="1">
        <v>45157</v>
      </c>
      <c r="F676">
        <v>93</v>
      </c>
      <c r="G676">
        <v>2.7</v>
      </c>
      <c r="H676">
        <v>2024</v>
      </c>
      <c r="I676" t="s">
        <v>1062</v>
      </c>
      <c r="J676" t="s">
        <v>1019</v>
      </c>
      <c r="K676">
        <v>3</v>
      </c>
    </row>
    <row r="677" spans="1:11" x14ac:dyDescent="0.3">
      <c r="A677" t="s">
        <v>1721</v>
      </c>
      <c r="B677" t="s">
        <v>1028</v>
      </c>
      <c r="C677">
        <v>128</v>
      </c>
      <c r="D677" t="s">
        <v>1029</v>
      </c>
      <c r="E677" s="1">
        <v>45157</v>
      </c>
      <c r="F677">
        <v>135</v>
      </c>
      <c r="G677">
        <v>2.1</v>
      </c>
      <c r="H677">
        <v>2024</v>
      </c>
      <c r="I677" t="s">
        <v>1062</v>
      </c>
      <c r="J677" t="s">
        <v>1031</v>
      </c>
      <c r="K677">
        <v>2</v>
      </c>
    </row>
    <row r="678" spans="1:11" x14ac:dyDescent="0.3">
      <c r="A678" t="s">
        <v>1722</v>
      </c>
      <c r="B678" t="s">
        <v>1068</v>
      </c>
      <c r="C678">
        <v>30</v>
      </c>
      <c r="D678" t="s">
        <v>1017</v>
      </c>
      <c r="E678" s="1">
        <v>45157</v>
      </c>
      <c r="F678">
        <v>210</v>
      </c>
      <c r="G678">
        <v>4.2</v>
      </c>
      <c r="H678">
        <v>2024</v>
      </c>
      <c r="I678" t="s">
        <v>1062</v>
      </c>
      <c r="J678" t="s">
        <v>1056</v>
      </c>
      <c r="K678">
        <v>4</v>
      </c>
    </row>
    <row r="679" spans="1:11" x14ac:dyDescent="0.3">
      <c r="A679" t="s">
        <v>1723</v>
      </c>
      <c r="B679" t="s">
        <v>1098</v>
      </c>
      <c r="C679">
        <v>63</v>
      </c>
      <c r="D679" t="s">
        <v>1029</v>
      </c>
      <c r="E679" s="1">
        <v>45158</v>
      </c>
      <c r="F679">
        <v>29</v>
      </c>
      <c r="G679">
        <v>4.7</v>
      </c>
      <c r="H679">
        <v>2024</v>
      </c>
      <c r="I679" t="s">
        <v>1018</v>
      </c>
      <c r="J679" t="s">
        <v>1019</v>
      </c>
      <c r="K679">
        <v>5</v>
      </c>
    </row>
    <row r="680" spans="1:11" x14ac:dyDescent="0.3">
      <c r="A680" t="s">
        <v>1724</v>
      </c>
      <c r="B680" t="s">
        <v>1047</v>
      </c>
      <c r="C680">
        <v>64</v>
      </c>
      <c r="D680" t="s">
        <v>1042</v>
      </c>
      <c r="E680" s="1">
        <v>45158</v>
      </c>
      <c r="F680">
        <v>111</v>
      </c>
      <c r="G680">
        <v>3.9</v>
      </c>
      <c r="H680">
        <v>2024</v>
      </c>
      <c r="I680" t="s">
        <v>1018</v>
      </c>
      <c r="J680" t="s">
        <v>1019</v>
      </c>
      <c r="K680">
        <v>4</v>
      </c>
    </row>
    <row r="681" spans="1:11" x14ac:dyDescent="0.3">
      <c r="A681" t="s">
        <v>1725</v>
      </c>
      <c r="B681" t="s">
        <v>1026</v>
      </c>
      <c r="C681">
        <v>151</v>
      </c>
      <c r="D681" t="s">
        <v>1024</v>
      </c>
      <c r="E681" s="1">
        <v>45159</v>
      </c>
      <c r="F681">
        <v>63</v>
      </c>
      <c r="G681">
        <v>4.0999999999999996</v>
      </c>
      <c r="H681">
        <v>2024</v>
      </c>
      <c r="I681" t="s">
        <v>1030</v>
      </c>
      <c r="J681" t="s">
        <v>1031</v>
      </c>
      <c r="K681">
        <v>4</v>
      </c>
    </row>
    <row r="682" spans="1:11" x14ac:dyDescent="0.3">
      <c r="A682" t="s">
        <v>1726</v>
      </c>
      <c r="B682" t="s">
        <v>1078</v>
      </c>
      <c r="C682">
        <v>116</v>
      </c>
      <c r="D682" t="s">
        <v>1038</v>
      </c>
      <c r="E682" s="1">
        <v>45159</v>
      </c>
      <c r="F682">
        <v>44</v>
      </c>
      <c r="G682">
        <v>3.8</v>
      </c>
      <c r="H682">
        <v>2024</v>
      </c>
      <c r="I682" t="s">
        <v>1030</v>
      </c>
      <c r="J682" t="s">
        <v>1019</v>
      </c>
      <c r="K682">
        <v>4</v>
      </c>
    </row>
    <row r="683" spans="1:11" x14ac:dyDescent="0.3">
      <c r="A683" t="s">
        <v>1727</v>
      </c>
      <c r="B683" t="s">
        <v>1026</v>
      </c>
      <c r="C683">
        <v>111</v>
      </c>
      <c r="D683" t="s">
        <v>1038</v>
      </c>
      <c r="E683" s="1">
        <v>45161</v>
      </c>
      <c r="F683">
        <v>120</v>
      </c>
      <c r="G683">
        <v>1.8</v>
      </c>
      <c r="H683">
        <v>2024</v>
      </c>
      <c r="I683" t="s">
        <v>1048</v>
      </c>
      <c r="J683" t="s">
        <v>1019</v>
      </c>
      <c r="K683">
        <v>2</v>
      </c>
    </row>
    <row r="684" spans="1:11" x14ac:dyDescent="0.3">
      <c r="A684" t="s">
        <v>1728</v>
      </c>
      <c r="B684" t="s">
        <v>1028</v>
      </c>
      <c r="C684">
        <v>15</v>
      </c>
      <c r="D684" t="s">
        <v>1038</v>
      </c>
      <c r="E684" s="1">
        <v>45161</v>
      </c>
      <c r="F684">
        <v>120</v>
      </c>
      <c r="G684">
        <v>4.0999999999999996</v>
      </c>
      <c r="H684">
        <v>2024</v>
      </c>
      <c r="I684" t="s">
        <v>1048</v>
      </c>
      <c r="J684" t="s">
        <v>1056</v>
      </c>
      <c r="K684">
        <v>4</v>
      </c>
    </row>
    <row r="685" spans="1:11" x14ac:dyDescent="0.3">
      <c r="A685" t="s">
        <v>1729</v>
      </c>
      <c r="B685" t="s">
        <v>1047</v>
      </c>
      <c r="C685">
        <v>18</v>
      </c>
      <c r="D685" t="s">
        <v>1024</v>
      </c>
      <c r="E685" s="1">
        <v>45162</v>
      </c>
      <c r="F685">
        <v>40</v>
      </c>
      <c r="G685">
        <v>4.4000000000000004</v>
      </c>
      <c r="H685">
        <v>2024</v>
      </c>
      <c r="I685" t="s">
        <v>1052</v>
      </c>
      <c r="J685" t="s">
        <v>1056</v>
      </c>
      <c r="K685">
        <v>4</v>
      </c>
    </row>
    <row r="686" spans="1:11" x14ac:dyDescent="0.3">
      <c r="A686" t="s">
        <v>1730</v>
      </c>
      <c r="B686" t="s">
        <v>1036</v>
      </c>
      <c r="C686">
        <v>146</v>
      </c>
      <c r="D686" t="s">
        <v>1029</v>
      </c>
      <c r="E686" s="1">
        <v>45162</v>
      </c>
      <c r="F686">
        <v>160</v>
      </c>
      <c r="G686">
        <v>4.0999999999999996</v>
      </c>
      <c r="H686">
        <v>2024</v>
      </c>
      <c r="I686" t="s">
        <v>1052</v>
      </c>
      <c r="J686" t="s">
        <v>1031</v>
      </c>
      <c r="K686">
        <v>4</v>
      </c>
    </row>
    <row r="687" spans="1:11" x14ac:dyDescent="0.3">
      <c r="A687" t="s">
        <v>1731</v>
      </c>
      <c r="B687" t="s">
        <v>1068</v>
      </c>
      <c r="C687">
        <v>73</v>
      </c>
      <c r="D687" t="s">
        <v>1038</v>
      </c>
      <c r="E687" s="1">
        <v>45163</v>
      </c>
      <c r="F687">
        <v>44</v>
      </c>
      <c r="G687">
        <v>3.8</v>
      </c>
      <c r="H687">
        <v>2024</v>
      </c>
      <c r="I687" t="s">
        <v>411</v>
      </c>
      <c r="J687" t="s">
        <v>1019</v>
      </c>
      <c r="K687">
        <v>4</v>
      </c>
    </row>
    <row r="688" spans="1:11" x14ac:dyDescent="0.3">
      <c r="A688" t="s">
        <v>1732</v>
      </c>
      <c r="B688" t="s">
        <v>1026</v>
      </c>
      <c r="C688">
        <v>108</v>
      </c>
      <c r="D688" t="s">
        <v>1024</v>
      </c>
      <c r="E688" s="1">
        <v>45163</v>
      </c>
      <c r="F688">
        <v>80</v>
      </c>
      <c r="G688">
        <v>4.3</v>
      </c>
      <c r="H688">
        <v>2024</v>
      </c>
      <c r="I688" t="s">
        <v>411</v>
      </c>
      <c r="J688" t="s">
        <v>1019</v>
      </c>
      <c r="K688">
        <v>4</v>
      </c>
    </row>
    <row r="689" spans="1:11" x14ac:dyDescent="0.3">
      <c r="A689" t="s">
        <v>1733</v>
      </c>
      <c r="B689" t="s">
        <v>1059</v>
      </c>
      <c r="C689">
        <v>52</v>
      </c>
      <c r="D689" t="s">
        <v>1024</v>
      </c>
      <c r="E689" s="1">
        <v>45164</v>
      </c>
      <c r="F689">
        <v>66</v>
      </c>
      <c r="G689">
        <v>4.5</v>
      </c>
      <c r="H689">
        <v>2024</v>
      </c>
      <c r="I689" t="s">
        <v>1062</v>
      </c>
      <c r="J689" t="s">
        <v>1034</v>
      </c>
      <c r="K689">
        <v>5</v>
      </c>
    </row>
    <row r="690" spans="1:11" x14ac:dyDescent="0.3">
      <c r="A690" t="s">
        <v>1734</v>
      </c>
      <c r="B690" t="s">
        <v>1078</v>
      </c>
      <c r="C690">
        <v>165</v>
      </c>
      <c r="D690" t="s">
        <v>1042</v>
      </c>
      <c r="E690" s="1">
        <v>45164</v>
      </c>
      <c r="F690">
        <v>82</v>
      </c>
      <c r="G690">
        <v>3.4</v>
      </c>
      <c r="H690">
        <v>2024</v>
      </c>
      <c r="I690" t="s">
        <v>1062</v>
      </c>
      <c r="J690" t="s">
        <v>1031</v>
      </c>
      <c r="K690">
        <v>3</v>
      </c>
    </row>
    <row r="691" spans="1:11" x14ac:dyDescent="0.3">
      <c r="A691" t="s">
        <v>1735</v>
      </c>
      <c r="B691" t="s">
        <v>1036</v>
      </c>
      <c r="C691">
        <v>104</v>
      </c>
      <c r="D691" t="s">
        <v>1038</v>
      </c>
      <c r="E691" s="1">
        <v>45164</v>
      </c>
      <c r="F691">
        <v>66</v>
      </c>
      <c r="G691">
        <v>4.8</v>
      </c>
      <c r="H691">
        <v>2024</v>
      </c>
      <c r="I691" t="s">
        <v>1062</v>
      </c>
      <c r="J691" t="s">
        <v>1019</v>
      </c>
      <c r="K691">
        <v>5</v>
      </c>
    </row>
    <row r="692" spans="1:11" x14ac:dyDescent="0.3">
      <c r="A692" t="s">
        <v>1736</v>
      </c>
      <c r="B692" t="s">
        <v>1068</v>
      </c>
      <c r="C692">
        <v>131</v>
      </c>
      <c r="D692" t="s">
        <v>1029</v>
      </c>
      <c r="E692" s="1">
        <v>45164</v>
      </c>
      <c r="F692">
        <v>92</v>
      </c>
      <c r="G692">
        <v>4.9000000000000004</v>
      </c>
      <c r="H692">
        <v>2024</v>
      </c>
      <c r="I692" t="s">
        <v>1062</v>
      </c>
      <c r="J692" t="s">
        <v>1031</v>
      </c>
      <c r="K692">
        <v>5</v>
      </c>
    </row>
    <row r="693" spans="1:11" x14ac:dyDescent="0.3">
      <c r="A693" t="s">
        <v>1737</v>
      </c>
      <c r="B693" t="s">
        <v>1065</v>
      </c>
      <c r="C693">
        <v>80</v>
      </c>
      <c r="D693" t="s">
        <v>1042</v>
      </c>
      <c r="E693" s="1">
        <v>45165</v>
      </c>
      <c r="F693">
        <v>104</v>
      </c>
      <c r="G693">
        <v>4.7</v>
      </c>
      <c r="H693">
        <v>2024</v>
      </c>
      <c r="I693" t="s">
        <v>1018</v>
      </c>
      <c r="J693" t="s">
        <v>1019</v>
      </c>
      <c r="K693">
        <v>5</v>
      </c>
    </row>
    <row r="694" spans="1:11" x14ac:dyDescent="0.3">
      <c r="A694" t="s">
        <v>1738</v>
      </c>
      <c r="B694" t="s">
        <v>1028</v>
      </c>
      <c r="C694">
        <v>49</v>
      </c>
      <c r="D694" t="s">
        <v>1038</v>
      </c>
      <c r="E694" s="1">
        <v>45165</v>
      </c>
      <c r="F694">
        <v>105</v>
      </c>
      <c r="G694">
        <v>3.3</v>
      </c>
      <c r="H694">
        <v>2024</v>
      </c>
      <c r="I694" t="s">
        <v>1018</v>
      </c>
      <c r="J694" t="s">
        <v>1034</v>
      </c>
      <c r="K694">
        <v>3</v>
      </c>
    </row>
    <row r="695" spans="1:11" x14ac:dyDescent="0.3">
      <c r="A695" t="s">
        <v>1739</v>
      </c>
      <c r="B695" t="s">
        <v>1078</v>
      </c>
      <c r="C695">
        <v>73</v>
      </c>
      <c r="D695" t="s">
        <v>1038</v>
      </c>
      <c r="E695" s="1">
        <v>45165</v>
      </c>
      <c r="F695">
        <v>100</v>
      </c>
      <c r="G695">
        <v>2.8</v>
      </c>
      <c r="H695">
        <v>2024</v>
      </c>
      <c r="I695" t="s">
        <v>1018</v>
      </c>
      <c r="J695" t="s">
        <v>1019</v>
      </c>
      <c r="K695">
        <v>3</v>
      </c>
    </row>
    <row r="696" spans="1:11" x14ac:dyDescent="0.3">
      <c r="A696" t="s">
        <v>1740</v>
      </c>
      <c r="B696" t="s">
        <v>1036</v>
      </c>
      <c r="C696">
        <v>117</v>
      </c>
      <c r="D696" t="s">
        <v>1042</v>
      </c>
      <c r="E696" s="1">
        <v>45165</v>
      </c>
      <c r="F696">
        <v>90</v>
      </c>
      <c r="G696">
        <v>4.0999999999999996</v>
      </c>
      <c r="H696">
        <v>2024</v>
      </c>
      <c r="I696" t="s">
        <v>1018</v>
      </c>
      <c r="J696" t="s">
        <v>1019</v>
      </c>
      <c r="K696">
        <v>4</v>
      </c>
    </row>
    <row r="697" spans="1:11" x14ac:dyDescent="0.3">
      <c r="A697" t="s">
        <v>1741</v>
      </c>
      <c r="B697" t="s">
        <v>1023</v>
      </c>
      <c r="C697">
        <v>38</v>
      </c>
      <c r="D697" t="s">
        <v>1017</v>
      </c>
      <c r="E697" s="1">
        <v>45165</v>
      </c>
      <c r="F697">
        <v>110</v>
      </c>
      <c r="G697">
        <v>3.5</v>
      </c>
      <c r="H697">
        <v>2024</v>
      </c>
      <c r="I697" t="s">
        <v>1018</v>
      </c>
      <c r="J697" t="s">
        <v>1034</v>
      </c>
      <c r="K697">
        <v>4</v>
      </c>
    </row>
    <row r="698" spans="1:11" x14ac:dyDescent="0.3">
      <c r="A698" t="s">
        <v>1742</v>
      </c>
      <c r="B698" t="s">
        <v>1059</v>
      </c>
      <c r="C698">
        <v>109</v>
      </c>
      <c r="D698" t="s">
        <v>1042</v>
      </c>
      <c r="E698" s="1">
        <v>45167</v>
      </c>
      <c r="F698">
        <v>68</v>
      </c>
      <c r="G698">
        <v>2.2999999999999998</v>
      </c>
      <c r="H698">
        <v>2024</v>
      </c>
      <c r="I698" t="s">
        <v>1033</v>
      </c>
      <c r="J698" t="s">
        <v>1019</v>
      </c>
      <c r="K698">
        <v>2</v>
      </c>
    </row>
    <row r="699" spans="1:11" x14ac:dyDescent="0.3">
      <c r="A699" t="s">
        <v>1743</v>
      </c>
      <c r="B699" t="s">
        <v>1028</v>
      </c>
      <c r="C699">
        <v>70</v>
      </c>
      <c r="D699" t="s">
        <v>1024</v>
      </c>
      <c r="E699" s="1">
        <v>45168</v>
      </c>
      <c r="F699">
        <v>210</v>
      </c>
      <c r="G699">
        <v>4.0999999999999996</v>
      </c>
      <c r="H699">
        <v>2024</v>
      </c>
      <c r="I699" t="s">
        <v>1048</v>
      </c>
      <c r="J699" t="s">
        <v>1019</v>
      </c>
      <c r="K699">
        <v>4</v>
      </c>
    </row>
    <row r="700" spans="1:11" x14ac:dyDescent="0.3">
      <c r="A700" t="s">
        <v>1744</v>
      </c>
      <c r="B700" t="s">
        <v>1021</v>
      </c>
      <c r="C700">
        <v>51</v>
      </c>
      <c r="D700" t="s">
        <v>1017</v>
      </c>
      <c r="E700" s="1">
        <v>45168</v>
      </c>
      <c r="F700">
        <v>111</v>
      </c>
      <c r="G700">
        <v>4.3</v>
      </c>
      <c r="H700">
        <v>2024</v>
      </c>
      <c r="I700" t="s">
        <v>1048</v>
      </c>
      <c r="J700" t="s">
        <v>1034</v>
      </c>
      <c r="K700">
        <v>4</v>
      </c>
    </row>
    <row r="701" spans="1:11" x14ac:dyDescent="0.3">
      <c r="A701" t="s">
        <v>1745</v>
      </c>
      <c r="B701" t="s">
        <v>1021</v>
      </c>
      <c r="C701">
        <v>100</v>
      </c>
      <c r="D701" t="s">
        <v>1024</v>
      </c>
      <c r="E701" s="1">
        <v>45169</v>
      </c>
      <c r="F701">
        <v>45</v>
      </c>
      <c r="G701">
        <v>4.9000000000000004</v>
      </c>
      <c r="H701">
        <v>2024</v>
      </c>
      <c r="I701" t="s">
        <v>1052</v>
      </c>
      <c r="J701" t="s">
        <v>1019</v>
      </c>
      <c r="K701">
        <v>5</v>
      </c>
    </row>
    <row r="702" spans="1:11" x14ac:dyDescent="0.3">
      <c r="A702" t="s">
        <v>1746</v>
      </c>
      <c r="B702" t="s">
        <v>1045</v>
      </c>
      <c r="C702">
        <v>124</v>
      </c>
      <c r="D702" t="s">
        <v>1017</v>
      </c>
      <c r="E702" s="1">
        <v>45170</v>
      </c>
      <c r="F702">
        <v>132</v>
      </c>
      <c r="G702">
        <v>4</v>
      </c>
      <c r="H702">
        <v>2024</v>
      </c>
      <c r="I702" t="s">
        <v>411</v>
      </c>
      <c r="J702" t="s">
        <v>1031</v>
      </c>
      <c r="K702">
        <v>4</v>
      </c>
    </row>
    <row r="703" spans="1:11" x14ac:dyDescent="0.3">
      <c r="A703" t="s">
        <v>1747</v>
      </c>
      <c r="B703" t="s">
        <v>1016</v>
      </c>
      <c r="C703">
        <v>143</v>
      </c>
      <c r="D703" t="s">
        <v>1042</v>
      </c>
      <c r="E703" s="1">
        <v>45170</v>
      </c>
      <c r="F703">
        <v>20</v>
      </c>
      <c r="G703">
        <v>4.7</v>
      </c>
      <c r="H703">
        <v>2024</v>
      </c>
      <c r="I703" t="s">
        <v>411</v>
      </c>
      <c r="J703" t="s">
        <v>1031</v>
      </c>
      <c r="K703">
        <v>5</v>
      </c>
    </row>
    <row r="704" spans="1:11" x14ac:dyDescent="0.3">
      <c r="A704" t="s">
        <v>1748</v>
      </c>
      <c r="B704" t="s">
        <v>1041</v>
      </c>
      <c r="C704">
        <v>96</v>
      </c>
      <c r="D704" t="s">
        <v>1038</v>
      </c>
      <c r="E704" s="1">
        <v>45170</v>
      </c>
      <c r="F704">
        <v>36</v>
      </c>
      <c r="G704">
        <v>3.4</v>
      </c>
      <c r="H704">
        <v>2024</v>
      </c>
      <c r="I704" t="s">
        <v>411</v>
      </c>
      <c r="J704" t="s">
        <v>1019</v>
      </c>
      <c r="K704">
        <v>3</v>
      </c>
    </row>
    <row r="705" spans="1:11" x14ac:dyDescent="0.3">
      <c r="A705" t="s">
        <v>1749</v>
      </c>
      <c r="B705" t="s">
        <v>1078</v>
      </c>
      <c r="C705">
        <v>84</v>
      </c>
      <c r="D705" t="s">
        <v>1024</v>
      </c>
      <c r="E705" s="1">
        <v>45172</v>
      </c>
      <c r="F705">
        <v>72</v>
      </c>
      <c r="G705">
        <v>4</v>
      </c>
      <c r="H705">
        <v>2024</v>
      </c>
      <c r="I705" t="s">
        <v>1018</v>
      </c>
      <c r="J705" t="s">
        <v>1019</v>
      </c>
      <c r="K705">
        <v>4</v>
      </c>
    </row>
    <row r="706" spans="1:11" x14ac:dyDescent="0.3">
      <c r="A706" t="s">
        <v>1750</v>
      </c>
      <c r="B706" t="s">
        <v>1055</v>
      </c>
      <c r="C706">
        <v>111</v>
      </c>
      <c r="D706" t="s">
        <v>1024</v>
      </c>
      <c r="E706" s="1">
        <v>45172</v>
      </c>
      <c r="F706">
        <v>63</v>
      </c>
      <c r="G706">
        <v>4.5</v>
      </c>
      <c r="H706">
        <v>2024</v>
      </c>
      <c r="I706" t="s">
        <v>1018</v>
      </c>
      <c r="J706" t="s">
        <v>1019</v>
      </c>
      <c r="K706">
        <v>5</v>
      </c>
    </row>
    <row r="707" spans="1:11" x14ac:dyDescent="0.3">
      <c r="A707" t="s">
        <v>1751</v>
      </c>
      <c r="B707" t="s">
        <v>1055</v>
      </c>
      <c r="C707">
        <v>103</v>
      </c>
      <c r="D707" t="s">
        <v>1017</v>
      </c>
      <c r="E707" s="1">
        <v>45173</v>
      </c>
      <c r="F707">
        <v>44</v>
      </c>
      <c r="G707">
        <v>4.5</v>
      </c>
      <c r="H707">
        <v>2024</v>
      </c>
      <c r="I707" t="s">
        <v>1030</v>
      </c>
      <c r="J707" t="s">
        <v>1019</v>
      </c>
      <c r="K707">
        <v>5</v>
      </c>
    </row>
    <row r="708" spans="1:11" x14ac:dyDescent="0.3">
      <c r="A708" t="s">
        <v>1752</v>
      </c>
      <c r="B708" t="s">
        <v>1016</v>
      </c>
      <c r="C708">
        <v>61</v>
      </c>
      <c r="D708" t="s">
        <v>1029</v>
      </c>
      <c r="E708" s="1">
        <v>45173</v>
      </c>
      <c r="F708">
        <v>132</v>
      </c>
      <c r="G708">
        <v>4.9000000000000004</v>
      </c>
      <c r="H708">
        <v>2024</v>
      </c>
      <c r="I708" t="s">
        <v>1030</v>
      </c>
      <c r="J708" t="s">
        <v>1019</v>
      </c>
      <c r="K708">
        <v>5</v>
      </c>
    </row>
    <row r="709" spans="1:11" x14ac:dyDescent="0.3">
      <c r="A709" t="s">
        <v>1753</v>
      </c>
      <c r="B709" t="s">
        <v>1068</v>
      </c>
      <c r="C709">
        <v>113</v>
      </c>
      <c r="D709" t="s">
        <v>1038</v>
      </c>
      <c r="E709" s="1">
        <v>45173</v>
      </c>
      <c r="F709">
        <v>46</v>
      </c>
      <c r="G709">
        <v>4.4000000000000004</v>
      </c>
      <c r="H709">
        <v>2024</v>
      </c>
      <c r="I709" t="s">
        <v>1030</v>
      </c>
      <c r="J709" t="s">
        <v>1019</v>
      </c>
      <c r="K709">
        <v>4</v>
      </c>
    </row>
    <row r="710" spans="1:11" x14ac:dyDescent="0.3">
      <c r="A710" t="s">
        <v>1754</v>
      </c>
      <c r="B710" t="s">
        <v>1068</v>
      </c>
      <c r="C710">
        <v>96</v>
      </c>
      <c r="D710" t="s">
        <v>1038</v>
      </c>
      <c r="E710" s="1">
        <v>45173</v>
      </c>
      <c r="F710">
        <v>96</v>
      </c>
      <c r="G710">
        <v>2.9</v>
      </c>
      <c r="H710">
        <v>2024</v>
      </c>
      <c r="I710" t="s">
        <v>1030</v>
      </c>
      <c r="J710" t="s">
        <v>1019</v>
      </c>
      <c r="K710">
        <v>3</v>
      </c>
    </row>
    <row r="711" spans="1:11" x14ac:dyDescent="0.3">
      <c r="A711" t="s">
        <v>1755</v>
      </c>
      <c r="B711" t="s">
        <v>1047</v>
      </c>
      <c r="C711">
        <v>131</v>
      </c>
      <c r="D711" t="s">
        <v>1017</v>
      </c>
      <c r="E711" s="1">
        <v>45174</v>
      </c>
      <c r="F711">
        <v>75</v>
      </c>
      <c r="G711">
        <v>4.4000000000000004</v>
      </c>
      <c r="H711">
        <v>2024</v>
      </c>
      <c r="I711" t="s">
        <v>1033</v>
      </c>
      <c r="J711" t="s">
        <v>1031</v>
      </c>
      <c r="K711">
        <v>4</v>
      </c>
    </row>
    <row r="712" spans="1:11" x14ac:dyDescent="0.3">
      <c r="A712" t="s">
        <v>1756</v>
      </c>
      <c r="B712" t="s">
        <v>1036</v>
      </c>
      <c r="C712">
        <v>52</v>
      </c>
      <c r="D712" t="s">
        <v>1038</v>
      </c>
      <c r="E712" s="1">
        <v>45175</v>
      </c>
      <c r="F712">
        <v>88</v>
      </c>
      <c r="G712">
        <v>4.3</v>
      </c>
      <c r="H712">
        <v>2024</v>
      </c>
      <c r="I712" t="s">
        <v>1048</v>
      </c>
      <c r="J712" t="s">
        <v>1034</v>
      </c>
      <c r="K712">
        <v>4</v>
      </c>
    </row>
    <row r="713" spans="1:11" x14ac:dyDescent="0.3">
      <c r="A713" t="s">
        <v>1757</v>
      </c>
      <c r="B713" t="s">
        <v>1021</v>
      </c>
      <c r="C713">
        <v>100</v>
      </c>
      <c r="D713" t="s">
        <v>1017</v>
      </c>
      <c r="E713" s="1">
        <v>45175</v>
      </c>
      <c r="F713">
        <v>24</v>
      </c>
      <c r="G713">
        <v>4.7</v>
      </c>
      <c r="H713">
        <v>2024</v>
      </c>
      <c r="I713" t="s">
        <v>1048</v>
      </c>
      <c r="J713" t="s">
        <v>1019</v>
      </c>
      <c r="K713">
        <v>5</v>
      </c>
    </row>
    <row r="714" spans="1:11" x14ac:dyDescent="0.3">
      <c r="A714" t="s">
        <v>1758</v>
      </c>
      <c r="B714" t="s">
        <v>1026</v>
      </c>
      <c r="C714">
        <v>58</v>
      </c>
      <c r="D714" t="s">
        <v>1042</v>
      </c>
      <c r="E714" s="1">
        <v>45175</v>
      </c>
      <c r="F714">
        <v>96</v>
      </c>
      <c r="G714">
        <v>3.2</v>
      </c>
      <c r="H714">
        <v>2024</v>
      </c>
      <c r="I714" t="s">
        <v>1048</v>
      </c>
      <c r="J714" t="s">
        <v>1034</v>
      </c>
      <c r="K714">
        <v>3</v>
      </c>
    </row>
    <row r="715" spans="1:11" x14ac:dyDescent="0.3">
      <c r="A715" t="s">
        <v>1759</v>
      </c>
      <c r="B715" t="s">
        <v>1028</v>
      </c>
      <c r="C715">
        <v>144</v>
      </c>
      <c r="D715" t="s">
        <v>1042</v>
      </c>
      <c r="E715" s="1">
        <v>45176</v>
      </c>
      <c r="F715">
        <v>124</v>
      </c>
      <c r="G715">
        <v>2.2999999999999998</v>
      </c>
      <c r="H715">
        <v>2024</v>
      </c>
      <c r="I715" t="s">
        <v>1052</v>
      </c>
      <c r="J715" t="s">
        <v>1031</v>
      </c>
      <c r="K715">
        <v>2</v>
      </c>
    </row>
    <row r="716" spans="1:11" x14ac:dyDescent="0.3">
      <c r="A716" t="s">
        <v>1760</v>
      </c>
      <c r="B716" t="s">
        <v>1026</v>
      </c>
      <c r="C716">
        <v>53</v>
      </c>
      <c r="D716" t="s">
        <v>1029</v>
      </c>
      <c r="E716" s="1">
        <v>45177</v>
      </c>
      <c r="F716">
        <v>130</v>
      </c>
      <c r="G716">
        <v>3.6</v>
      </c>
      <c r="H716">
        <v>2024</v>
      </c>
      <c r="I716" t="s">
        <v>411</v>
      </c>
      <c r="J716" t="s">
        <v>1034</v>
      </c>
      <c r="K716">
        <v>4</v>
      </c>
    </row>
    <row r="717" spans="1:11" x14ac:dyDescent="0.3">
      <c r="A717" t="s">
        <v>1761</v>
      </c>
      <c r="B717" t="s">
        <v>1068</v>
      </c>
      <c r="C717">
        <v>97</v>
      </c>
      <c r="D717" t="s">
        <v>1024</v>
      </c>
      <c r="E717" s="1">
        <v>45177</v>
      </c>
      <c r="F717">
        <v>45</v>
      </c>
      <c r="G717">
        <v>4.5999999999999996</v>
      </c>
      <c r="H717">
        <v>2024</v>
      </c>
      <c r="I717" t="s">
        <v>411</v>
      </c>
      <c r="J717" t="s">
        <v>1019</v>
      </c>
      <c r="K717">
        <v>5</v>
      </c>
    </row>
    <row r="718" spans="1:11" x14ac:dyDescent="0.3">
      <c r="A718" t="s">
        <v>1762</v>
      </c>
      <c r="B718" t="s">
        <v>1023</v>
      </c>
      <c r="C718">
        <v>64</v>
      </c>
      <c r="D718" t="s">
        <v>1042</v>
      </c>
      <c r="E718" s="1">
        <v>45177</v>
      </c>
      <c r="F718">
        <v>66</v>
      </c>
      <c r="G718">
        <v>4</v>
      </c>
      <c r="H718">
        <v>2024</v>
      </c>
      <c r="I718" t="s">
        <v>411</v>
      </c>
      <c r="J718" t="s">
        <v>1019</v>
      </c>
      <c r="K718">
        <v>4</v>
      </c>
    </row>
    <row r="719" spans="1:11" x14ac:dyDescent="0.3">
      <c r="A719" t="s">
        <v>1763</v>
      </c>
      <c r="B719" t="s">
        <v>1016</v>
      </c>
      <c r="C719">
        <v>106</v>
      </c>
      <c r="D719" t="s">
        <v>1017</v>
      </c>
      <c r="E719" s="1">
        <v>45177</v>
      </c>
      <c r="F719">
        <v>58</v>
      </c>
      <c r="G719">
        <v>4.7</v>
      </c>
      <c r="H719">
        <v>2024</v>
      </c>
      <c r="I719" t="s">
        <v>411</v>
      </c>
      <c r="J719" t="s">
        <v>1019</v>
      </c>
      <c r="K719">
        <v>5</v>
      </c>
    </row>
    <row r="720" spans="1:11" x14ac:dyDescent="0.3">
      <c r="A720" t="s">
        <v>1764</v>
      </c>
      <c r="B720" t="s">
        <v>1078</v>
      </c>
      <c r="C720">
        <v>36</v>
      </c>
      <c r="D720" t="s">
        <v>1042</v>
      </c>
      <c r="E720" s="1">
        <v>45178</v>
      </c>
      <c r="F720">
        <v>152</v>
      </c>
      <c r="G720">
        <v>4.3</v>
      </c>
      <c r="H720">
        <v>2024</v>
      </c>
      <c r="I720" t="s">
        <v>1062</v>
      </c>
      <c r="J720" t="s">
        <v>1034</v>
      </c>
      <c r="K720">
        <v>4</v>
      </c>
    </row>
    <row r="721" spans="1:11" x14ac:dyDescent="0.3">
      <c r="A721" t="s">
        <v>1765</v>
      </c>
      <c r="B721" t="s">
        <v>1028</v>
      </c>
      <c r="C721">
        <v>74</v>
      </c>
      <c r="D721" t="s">
        <v>1038</v>
      </c>
      <c r="E721" s="1">
        <v>45178</v>
      </c>
      <c r="F721">
        <v>75</v>
      </c>
      <c r="G721">
        <v>2.8</v>
      </c>
      <c r="H721">
        <v>2024</v>
      </c>
      <c r="I721" t="s">
        <v>1062</v>
      </c>
      <c r="J721" t="s">
        <v>1019</v>
      </c>
      <c r="K721">
        <v>3</v>
      </c>
    </row>
    <row r="722" spans="1:11" x14ac:dyDescent="0.3">
      <c r="A722" t="s">
        <v>1766</v>
      </c>
      <c r="B722" t="s">
        <v>1059</v>
      </c>
      <c r="C722">
        <v>143</v>
      </c>
      <c r="D722" t="s">
        <v>1024</v>
      </c>
      <c r="E722" s="1">
        <v>45178</v>
      </c>
      <c r="F722">
        <v>78</v>
      </c>
      <c r="G722">
        <v>4</v>
      </c>
      <c r="H722">
        <v>2024</v>
      </c>
      <c r="I722" t="s">
        <v>1062</v>
      </c>
      <c r="J722" t="s">
        <v>1031</v>
      </c>
      <c r="K722">
        <v>4</v>
      </c>
    </row>
    <row r="723" spans="1:11" x14ac:dyDescent="0.3">
      <c r="A723" t="s">
        <v>1767</v>
      </c>
      <c r="B723" t="s">
        <v>1016</v>
      </c>
      <c r="C723">
        <v>94</v>
      </c>
      <c r="D723" t="s">
        <v>1029</v>
      </c>
      <c r="E723" s="1">
        <v>45178</v>
      </c>
      <c r="F723">
        <v>69</v>
      </c>
      <c r="G723">
        <v>3.9</v>
      </c>
      <c r="H723">
        <v>2024</v>
      </c>
      <c r="I723" t="s">
        <v>1062</v>
      </c>
      <c r="J723" t="s">
        <v>1019</v>
      </c>
      <c r="K723">
        <v>4</v>
      </c>
    </row>
    <row r="724" spans="1:11" x14ac:dyDescent="0.3">
      <c r="A724" t="s">
        <v>1768</v>
      </c>
      <c r="B724" t="s">
        <v>1065</v>
      </c>
      <c r="C724">
        <v>124</v>
      </c>
      <c r="D724" t="s">
        <v>1017</v>
      </c>
      <c r="E724" s="1">
        <v>45179</v>
      </c>
      <c r="F724">
        <v>46</v>
      </c>
      <c r="G724">
        <v>3.1</v>
      </c>
      <c r="H724">
        <v>2024</v>
      </c>
      <c r="I724" t="s">
        <v>1018</v>
      </c>
      <c r="J724" t="s">
        <v>1031</v>
      </c>
      <c r="K724">
        <v>3</v>
      </c>
    </row>
    <row r="725" spans="1:11" x14ac:dyDescent="0.3">
      <c r="A725" t="s">
        <v>1769</v>
      </c>
      <c r="B725" t="s">
        <v>1078</v>
      </c>
      <c r="C725">
        <v>156</v>
      </c>
      <c r="D725" t="s">
        <v>1042</v>
      </c>
      <c r="E725" s="1">
        <v>45179</v>
      </c>
      <c r="F725">
        <v>64</v>
      </c>
      <c r="G725">
        <v>2.7</v>
      </c>
      <c r="H725">
        <v>2024</v>
      </c>
      <c r="I725" t="s">
        <v>1018</v>
      </c>
      <c r="J725" t="s">
        <v>1031</v>
      </c>
      <c r="K725">
        <v>3</v>
      </c>
    </row>
    <row r="726" spans="1:11" x14ac:dyDescent="0.3">
      <c r="A726" t="s">
        <v>1770</v>
      </c>
      <c r="B726" t="s">
        <v>1041</v>
      </c>
      <c r="C726">
        <v>107</v>
      </c>
      <c r="D726" t="s">
        <v>1024</v>
      </c>
      <c r="E726" s="1">
        <v>45179</v>
      </c>
      <c r="F726">
        <v>38</v>
      </c>
      <c r="G726">
        <v>4.7</v>
      </c>
      <c r="H726">
        <v>2024</v>
      </c>
      <c r="I726" t="s">
        <v>1018</v>
      </c>
      <c r="J726" t="s">
        <v>1019</v>
      </c>
      <c r="K726">
        <v>5</v>
      </c>
    </row>
    <row r="727" spans="1:11" x14ac:dyDescent="0.3">
      <c r="A727" t="s">
        <v>1771</v>
      </c>
      <c r="B727" t="s">
        <v>1016</v>
      </c>
      <c r="C727">
        <v>58</v>
      </c>
      <c r="D727" t="s">
        <v>1024</v>
      </c>
      <c r="E727" s="1">
        <v>45181</v>
      </c>
      <c r="F727">
        <v>90</v>
      </c>
      <c r="G727">
        <v>4.3</v>
      </c>
      <c r="H727">
        <v>2024</v>
      </c>
      <c r="I727" t="s">
        <v>1033</v>
      </c>
      <c r="J727" t="s">
        <v>1034</v>
      </c>
      <c r="K727">
        <v>4</v>
      </c>
    </row>
    <row r="728" spans="1:11" x14ac:dyDescent="0.3">
      <c r="A728" t="s">
        <v>1772</v>
      </c>
      <c r="B728" t="s">
        <v>1045</v>
      </c>
      <c r="C728">
        <v>66</v>
      </c>
      <c r="D728" t="s">
        <v>1024</v>
      </c>
      <c r="E728" s="1">
        <v>45181</v>
      </c>
      <c r="F728">
        <v>32</v>
      </c>
      <c r="G728">
        <v>3.8</v>
      </c>
      <c r="H728">
        <v>2024</v>
      </c>
      <c r="I728" t="s">
        <v>1033</v>
      </c>
      <c r="J728" t="s">
        <v>1019</v>
      </c>
      <c r="K728">
        <v>4</v>
      </c>
    </row>
    <row r="729" spans="1:11" x14ac:dyDescent="0.3">
      <c r="A729" t="s">
        <v>1773</v>
      </c>
      <c r="B729" t="s">
        <v>1047</v>
      </c>
      <c r="C729">
        <v>75</v>
      </c>
      <c r="D729" t="s">
        <v>1042</v>
      </c>
      <c r="E729" s="1">
        <v>45181</v>
      </c>
      <c r="F729">
        <v>120</v>
      </c>
      <c r="G729">
        <v>4.4000000000000004</v>
      </c>
      <c r="H729">
        <v>2024</v>
      </c>
      <c r="I729" t="s">
        <v>1033</v>
      </c>
      <c r="J729" t="s">
        <v>1019</v>
      </c>
      <c r="K729">
        <v>4</v>
      </c>
    </row>
    <row r="730" spans="1:11" x14ac:dyDescent="0.3">
      <c r="A730" t="s">
        <v>1774</v>
      </c>
      <c r="B730" t="s">
        <v>1041</v>
      </c>
      <c r="C730">
        <v>8</v>
      </c>
      <c r="D730" t="s">
        <v>1024</v>
      </c>
      <c r="E730" s="1">
        <v>45181</v>
      </c>
      <c r="F730">
        <v>31</v>
      </c>
      <c r="G730">
        <v>3.9</v>
      </c>
      <c r="H730">
        <v>2024</v>
      </c>
      <c r="I730" t="s">
        <v>1033</v>
      </c>
      <c r="J730" t="s">
        <v>1186</v>
      </c>
      <c r="K730">
        <v>4</v>
      </c>
    </row>
    <row r="731" spans="1:11" x14ac:dyDescent="0.3">
      <c r="A731" t="s">
        <v>1775</v>
      </c>
      <c r="B731" t="s">
        <v>1023</v>
      </c>
      <c r="C731">
        <v>76</v>
      </c>
      <c r="D731" t="s">
        <v>1042</v>
      </c>
      <c r="E731" s="1">
        <v>45182</v>
      </c>
      <c r="F731">
        <v>108</v>
      </c>
      <c r="G731">
        <v>4.9000000000000004</v>
      </c>
      <c r="H731">
        <v>2024</v>
      </c>
      <c r="I731" t="s">
        <v>1048</v>
      </c>
      <c r="J731" t="s">
        <v>1019</v>
      </c>
      <c r="K731">
        <v>5</v>
      </c>
    </row>
    <row r="732" spans="1:11" x14ac:dyDescent="0.3">
      <c r="A732" t="s">
        <v>1776</v>
      </c>
      <c r="B732" t="s">
        <v>1016</v>
      </c>
      <c r="C732">
        <v>110</v>
      </c>
      <c r="D732" t="s">
        <v>1042</v>
      </c>
      <c r="E732" s="1">
        <v>45182</v>
      </c>
      <c r="F732">
        <v>180</v>
      </c>
      <c r="G732">
        <v>4.2</v>
      </c>
      <c r="H732">
        <v>2024</v>
      </c>
      <c r="I732" t="s">
        <v>1048</v>
      </c>
      <c r="J732" t="s">
        <v>1019</v>
      </c>
      <c r="K732">
        <v>4</v>
      </c>
    </row>
    <row r="733" spans="1:11" x14ac:dyDescent="0.3">
      <c r="A733" t="s">
        <v>1777</v>
      </c>
      <c r="B733" t="s">
        <v>1045</v>
      </c>
      <c r="C733">
        <v>50</v>
      </c>
      <c r="D733" t="s">
        <v>1029</v>
      </c>
      <c r="E733" s="1">
        <v>45183</v>
      </c>
      <c r="F733">
        <v>124</v>
      </c>
      <c r="G733">
        <v>4</v>
      </c>
      <c r="H733">
        <v>2024</v>
      </c>
      <c r="I733" t="s">
        <v>1052</v>
      </c>
      <c r="J733" t="s">
        <v>1034</v>
      </c>
      <c r="K733">
        <v>4</v>
      </c>
    </row>
    <row r="734" spans="1:11" x14ac:dyDescent="0.3">
      <c r="A734" t="s">
        <v>1778</v>
      </c>
      <c r="B734" t="s">
        <v>1036</v>
      </c>
      <c r="C734">
        <v>78</v>
      </c>
      <c r="D734" t="s">
        <v>1029</v>
      </c>
      <c r="E734" s="1">
        <v>45183</v>
      </c>
      <c r="F734">
        <v>23</v>
      </c>
      <c r="G734">
        <v>4.2</v>
      </c>
      <c r="H734">
        <v>2024</v>
      </c>
      <c r="I734" t="s">
        <v>1052</v>
      </c>
      <c r="J734" t="s">
        <v>1019</v>
      </c>
      <c r="K734">
        <v>4</v>
      </c>
    </row>
    <row r="735" spans="1:11" x14ac:dyDescent="0.3">
      <c r="A735" t="s">
        <v>1779</v>
      </c>
      <c r="B735" t="s">
        <v>1068</v>
      </c>
      <c r="C735">
        <v>59</v>
      </c>
      <c r="D735" t="s">
        <v>1017</v>
      </c>
      <c r="E735" s="1">
        <v>45184</v>
      </c>
      <c r="F735">
        <v>24</v>
      </c>
      <c r="G735">
        <v>4.8</v>
      </c>
      <c r="H735">
        <v>2024</v>
      </c>
      <c r="I735" t="s">
        <v>411</v>
      </c>
      <c r="J735" t="s">
        <v>1034</v>
      </c>
      <c r="K735">
        <v>5</v>
      </c>
    </row>
    <row r="736" spans="1:11" x14ac:dyDescent="0.3">
      <c r="A736" t="s">
        <v>1780</v>
      </c>
      <c r="B736" t="s">
        <v>1036</v>
      </c>
      <c r="C736">
        <v>126</v>
      </c>
      <c r="D736" t="s">
        <v>1024</v>
      </c>
      <c r="E736" s="1">
        <v>45185</v>
      </c>
      <c r="F736">
        <v>52</v>
      </c>
      <c r="G736">
        <v>1.1000000000000001</v>
      </c>
      <c r="H736">
        <v>2024</v>
      </c>
      <c r="I736" t="s">
        <v>1062</v>
      </c>
      <c r="J736" t="s">
        <v>1031</v>
      </c>
      <c r="K736">
        <v>1</v>
      </c>
    </row>
    <row r="737" spans="1:11" x14ac:dyDescent="0.3">
      <c r="A737" t="s">
        <v>1781</v>
      </c>
      <c r="B737" t="s">
        <v>1023</v>
      </c>
      <c r="C737">
        <v>43</v>
      </c>
      <c r="D737" t="s">
        <v>1017</v>
      </c>
      <c r="E737" s="1">
        <v>45186</v>
      </c>
      <c r="F737">
        <v>168</v>
      </c>
      <c r="G737">
        <v>4</v>
      </c>
      <c r="H737">
        <v>2024</v>
      </c>
      <c r="I737" t="s">
        <v>1018</v>
      </c>
      <c r="J737" t="s">
        <v>1034</v>
      </c>
      <c r="K737">
        <v>4</v>
      </c>
    </row>
    <row r="738" spans="1:11" x14ac:dyDescent="0.3">
      <c r="A738" t="s">
        <v>1782</v>
      </c>
      <c r="B738" t="s">
        <v>1078</v>
      </c>
      <c r="C738">
        <v>79</v>
      </c>
      <c r="D738" t="s">
        <v>1042</v>
      </c>
      <c r="E738" s="1">
        <v>45188</v>
      </c>
      <c r="F738">
        <v>125</v>
      </c>
      <c r="G738">
        <v>4.8</v>
      </c>
      <c r="H738">
        <v>2024</v>
      </c>
      <c r="I738" t="s">
        <v>1033</v>
      </c>
      <c r="J738" t="s">
        <v>1019</v>
      </c>
      <c r="K738">
        <v>5</v>
      </c>
    </row>
    <row r="739" spans="1:11" x14ac:dyDescent="0.3">
      <c r="A739" t="s">
        <v>1783</v>
      </c>
      <c r="B739" t="s">
        <v>1016</v>
      </c>
      <c r="C739">
        <v>71</v>
      </c>
      <c r="D739" t="s">
        <v>1017</v>
      </c>
      <c r="E739" s="1">
        <v>45189</v>
      </c>
      <c r="F739">
        <v>50</v>
      </c>
      <c r="G739">
        <v>4.2</v>
      </c>
      <c r="H739">
        <v>2024</v>
      </c>
      <c r="I739" t="s">
        <v>1048</v>
      </c>
      <c r="J739" t="s">
        <v>1019</v>
      </c>
      <c r="K739">
        <v>4</v>
      </c>
    </row>
    <row r="740" spans="1:11" x14ac:dyDescent="0.3">
      <c r="A740" t="s">
        <v>1784</v>
      </c>
      <c r="B740" t="s">
        <v>1055</v>
      </c>
      <c r="C740">
        <v>94</v>
      </c>
      <c r="D740" t="s">
        <v>1024</v>
      </c>
      <c r="E740" s="1">
        <v>45190</v>
      </c>
      <c r="F740">
        <v>220</v>
      </c>
      <c r="G740">
        <v>4.5999999999999996</v>
      </c>
      <c r="H740">
        <v>2024</v>
      </c>
      <c r="I740" t="s">
        <v>1052</v>
      </c>
      <c r="J740" t="s">
        <v>1019</v>
      </c>
      <c r="K740">
        <v>5</v>
      </c>
    </row>
    <row r="741" spans="1:11" x14ac:dyDescent="0.3">
      <c r="A741" t="s">
        <v>1785</v>
      </c>
      <c r="B741" t="s">
        <v>1041</v>
      </c>
      <c r="C741">
        <v>108</v>
      </c>
      <c r="D741" t="s">
        <v>1017</v>
      </c>
      <c r="E741" s="1">
        <v>45190</v>
      </c>
      <c r="F741">
        <v>180</v>
      </c>
      <c r="G741">
        <v>4</v>
      </c>
      <c r="H741">
        <v>2024</v>
      </c>
      <c r="I741" t="s">
        <v>1052</v>
      </c>
      <c r="J741" t="s">
        <v>1019</v>
      </c>
      <c r="K741">
        <v>4</v>
      </c>
    </row>
    <row r="742" spans="1:11" x14ac:dyDescent="0.3">
      <c r="A742" t="s">
        <v>1786</v>
      </c>
      <c r="B742" t="s">
        <v>1023</v>
      </c>
      <c r="C742">
        <v>76</v>
      </c>
      <c r="D742" t="s">
        <v>1024</v>
      </c>
      <c r="E742" s="1">
        <v>45190</v>
      </c>
      <c r="F742">
        <v>110</v>
      </c>
      <c r="G742">
        <v>3.9</v>
      </c>
      <c r="H742">
        <v>2024</v>
      </c>
      <c r="I742" t="s">
        <v>1052</v>
      </c>
      <c r="J742" t="s">
        <v>1019</v>
      </c>
      <c r="K742">
        <v>4</v>
      </c>
    </row>
    <row r="743" spans="1:11" x14ac:dyDescent="0.3">
      <c r="A743" t="s">
        <v>1787</v>
      </c>
      <c r="B743" t="s">
        <v>1068</v>
      </c>
      <c r="C743">
        <v>136</v>
      </c>
      <c r="D743" t="s">
        <v>1017</v>
      </c>
      <c r="E743" s="1">
        <v>45190</v>
      </c>
      <c r="F743">
        <v>36</v>
      </c>
      <c r="G743">
        <v>2.8</v>
      </c>
      <c r="H743">
        <v>2024</v>
      </c>
      <c r="I743" t="s">
        <v>1052</v>
      </c>
      <c r="J743" t="s">
        <v>1031</v>
      </c>
      <c r="K743">
        <v>3</v>
      </c>
    </row>
    <row r="744" spans="1:11" x14ac:dyDescent="0.3">
      <c r="A744" t="s">
        <v>1788</v>
      </c>
      <c r="B744" t="s">
        <v>1021</v>
      </c>
      <c r="C744">
        <v>129</v>
      </c>
      <c r="D744" t="s">
        <v>1029</v>
      </c>
      <c r="E744" s="1">
        <v>45191</v>
      </c>
      <c r="F744">
        <v>93</v>
      </c>
      <c r="G744">
        <v>4.7</v>
      </c>
      <c r="H744">
        <v>2024</v>
      </c>
      <c r="I744" t="s">
        <v>411</v>
      </c>
      <c r="J744" t="s">
        <v>1031</v>
      </c>
      <c r="K744">
        <v>5</v>
      </c>
    </row>
    <row r="745" spans="1:11" x14ac:dyDescent="0.3">
      <c r="A745" t="s">
        <v>1789</v>
      </c>
      <c r="B745" t="s">
        <v>1041</v>
      </c>
      <c r="C745">
        <v>120</v>
      </c>
      <c r="D745" t="s">
        <v>1017</v>
      </c>
      <c r="E745" s="1">
        <v>45191</v>
      </c>
      <c r="F745">
        <v>38</v>
      </c>
      <c r="G745">
        <v>4.2</v>
      </c>
      <c r="H745">
        <v>2024</v>
      </c>
      <c r="I745" t="s">
        <v>411</v>
      </c>
      <c r="J745" t="s">
        <v>1019</v>
      </c>
      <c r="K745">
        <v>4</v>
      </c>
    </row>
    <row r="746" spans="1:11" x14ac:dyDescent="0.3">
      <c r="A746" t="s">
        <v>1790</v>
      </c>
      <c r="B746" t="s">
        <v>1023</v>
      </c>
      <c r="C746">
        <v>108</v>
      </c>
      <c r="D746" t="s">
        <v>1029</v>
      </c>
      <c r="E746" s="1">
        <v>45192</v>
      </c>
      <c r="F746">
        <v>66</v>
      </c>
      <c r="G746">
        <v>3.9</v>
      </c>
      <c r="H746">
        <v>2024</v>
      </c>
      <c r="I746" t="s">
        <v>1062</v>
      </c>
      <c r="J746" t="s">
        <v>1019</v>
      </c>
      <c r="K746">
        <v>4</v>
      </c>
    </row>
    <row r="747" spans="1:11" x14ac:dyDescent="0.3">
      <c r="A747" t="s">
        <v>1791</v>
      </c>
      <c r="B747" t="s">
        <v>1036</v>
      </c>
      <c r="C747">
        <v>79</v>
      </c>
      <c r="D747" t="s">
        <v>1017</v>
      </c>
      <c r="E747" s="1">
        <v>45192</v>
      </c>
      <c r="F747">
        <v>215</v>
      </c>
      <c r="G747">
        <v>4.5999999999999996</v>
      </c>
      <c r="H747">
        <v>2024</v>
      </c>
      <c r="I747" t="s">
        <v>1062</v>
      </c>
      <c r="J747" t="s">
        <v>1019</v>
      </c>
      <c r="K747">
        <v>5</v>
      </c>
    </row>
    <row r="748" spans="1:11" x14ac:dyDescent="0.3">
      <c r="A748" t="s">
        <v>1792</v>
      </c>
      <c r="B748" t="s">
        <v>1036</v>
      </c>
      <c r="C748">
        <v>45</v>
      </c>
      <c r="D748" t="s">
        <v>1029</v>
      </c>
      <c r="E748" s="1">
        <v>45192</v>
      </c>
      <c r="F748">
        <v>92</v>
      </c>
      <c r="G748">
        <v>4.3</v>
      </c>
      <c r="H748">
        <v>2024</v>
      </c>
      <c r="I748" t="s">
        <v>1062</v>
      </c>
      <c r="J748" t="s">
        <v>1034</v>
      </c>
      <c r="K748">
        <v>4</v>
      </c>
    </row>
    <row r="749" spans="1:11" x14ac:dyDescent="0.3">
      <c r="A749" t="s">
        <v>1793</v>
      </c>
      <c r="B749" t="s">
        <v>1028</v>
      </c>
      <c r="C749">
        <v>96</v>
      </c>
      <c r="D749" t="s">
        <v>1017</v>
      </c>
      <c r="E749" s="1">
        <v>45192</v>
      </c>
      <c r="F749">
        <v>80</v>
      </c>
      <c r="G749">
        <v>3.6</v>
      </c>
      <c r="H749">
        <v>2024</v>
      </c>
      <c r="I749" t="s">
        <v>1062</v>
      </c>
      <c r="J749" t="s">
        <v>1019</v>
      </c>
      <c r="K749">
        <v>4</v>
      </c>
    </row>
    <row r="750" spans="1:11" x14ac:dyDescent="0.3">
      <c r="A750" t="s">
        <v>1794</v>
      </c>
      <c r="B750" t="s">
        <v>1028</v>
      </c>
      <c r="C750">
        <v>81</v>
      </c>
      <c r="D750" t="s">
        <v>1017</v>
      </c>
      <c r="E750" s="1">
        <v>45193</v>
      </c>
      <c r="F750">
        <v>123</v>
      </c>
      <c r="G750">
        <v>4.9000000000000004</v>
      </c>
      <c r="H750">
        <v>2024</v>
      </c>
      <c r="I750" t="s">
        <v>1018</v>
      </c>
      <c r="J750" t="s">
        <v>1019</v>
      </c>
      <c r="K750">
        <v>5</v>
      </c>
    </row>
    <row r="751" spans="1:11" x14ac:dyDescent="0.3">
      <c r="A751" t="s">
        <v>1795</v>
      </c>
      <c r="B751" t="s">
        <v>1068</v>
      </c>
      <c r="C751">
        <v>95</v>
      </c>
      <c r="D751" t="s">
        <v>1038</v>
      </c>
      <c r="E751" s="1">
        <v>45193</v>
      </c>
      <c r="F751">
        <v>23</v>
      </c>
      <c r="G751">
        <v>2.4</v>
      </c>
      <c r="H751">
        <v>2024</v>
      </c>
      <c r="I751" t="s">
        <v>1018</v>
      </c>
      <c r="J751" t="s">
        <v>1019</v>
      </c>
      <c r="K751">
        <v>2</v>
      </c>
    </row>
    <row r="752" spans="1:11" x14ac:dyDescent="0.3">
      <c r="A752" t="s">
        <v>1796</v>
      </c>
      <c r="B752" t="s">
        <v>1065</v>
      </c>
      <c r="C752">
        <v>159</v>
      </c>
      <c r="D752" t="s">
        <v>1024</v>
      </c>
      <c r="E752" s="1">
        <v>45193</v>
      </c>
      <c r="F752">
        <v>63</v>
      </c>
      <c r="G752">
        <v>4.2</v>
      </c>
      <c r="H752">
        <v>2024</v>
      </c>
      <c r="I752" t="s">
        <v>1018</v>
      </c>
      <c r="J752" t="s">
        <v>1031</v>
      </c>
      <c r="K752">
        <v>4</v>
      </c>
    </row>
    <row r="753" spans="1:11" x14ac:dyDescent="0.3">
      <c r="A753" t="s">
        <v>1797</v>
      </c>
      <c r="B753" t="s">
        <v>1098</v>
      </c>
      <c r="C753">
        <v>109</v>
      </c>
      <c r="D753" t="s">
        <v>1042</v>
      </c>
      <c r="E753" s="1">
        <v>45193</v>
      </c>
      <c r="F753">
        <v>52</v>
      </c>
      <c r="G753">
        <v>3.9</v>
      </c>
      <c r="H753">
        <v>2024</v>
      </c>
      <c r="I753" t="s">
        <v>1018</v>
      </c>
      <c r="J753" t="s">
        <v>1019</v>
      </c>
      <c r="K753">
        <v>4</v>
      </c>
    </row>
    <row r="754" spans="1:11" x14ac:dyDescent="0.3">
      <c r="A754" t="s">
        <v>1798</v>
      </c>
      <c r="B754" t="s">
        <v>1036</v>
      </c>
      <c r="C754">
        <v>107</v>
      </c>
      <c r="D754" t="s">
        <v>1042</v>
      </c>
      <c r="E754" s="1">
        <v>45193</v>
      </c>
      <c r="F754">
        <v>60</v>
      </c>
      <c r="G754">
        <v>4.2</v>
      </c>
      <c r="H754">
        <v>2024</v>
      </c>
      <c r="I754" t="s">
        <v>1018</v>
      </c>
      <c r="J754" t="s">
        <v>1019</v>
      </c>
      <c r="K754">
        <v>4</v>
      </c>
    </row>
    <row r="755" spans="1:11" x14ac:dyDescent="0.3">
      <c r="A755" t="s">
        <v>1799</v>
      </c>
      <c r="B755" t="s">
        <v>1028</v>
      </c>
      <c r="C755">
        <v>67</v>
      </c>
      <c r="D755" t="s">
        <v>1029</v>
      </c>
      <c r="E755" s="1">
        <v>45194</v>
      </c>
      <c r="F755">
        <v>87</v>
      </c>
      <c r="G755">
        <v>3.9</v>
      </c>
      <c r="H755">
        <v>2024</v>
      </c>
      <c r="I755" t="s">
        <v>1030</v>
      </c>
      <c r="J755" t="s">
        <v>1019</v>
      </c>
      <c r="K755">
        <v>4</v>
      </c>
    </row>
    <row r="756" spans="1:11" x14ac:dyDescent="0.3">
      <c r="A756" t="s">
        <v>1800</v>
      </c>
      <c r="B756" t="s">
        <v>1047</v>
      </c>
      <c r="C756">
        <v>96</v>
      </c>
      <c r="D756" t="s">
        <v>1017</v>
      </c>
      <c r="E756" s="1">
        <v>45195</v>
      </c>
      <c r="F756">
        <v>42</v>
      </c>
      <c r="G756">
        <v>4.5</v>
      </c>
      <c r="H756">
        <v>2024</v>
      </c>
      <c r="I756" t="s">
        <v>1033</v>
      </c>
      <c r="J756" t="s">
        <v>1019</v>
      </c>
      <c r="K756">
        <v>5</v>
      </c>
    </row>
    <row r="757" spans="1:11" x14ac:dyDescent="0.3">
      <c r="A757" t="s">
        <v>1801</v>
      </c>
      <c r="B757" t="s">
        <v>1059</v>
      </c>
      <c r="C757">
        <v>142</v>
      </c>
      <c r="D757" t="s">
        <v>1024</v>
      </c>
      <c r="E757" s="1">
        <v>45196</v>
      </c>
      <c r="F757">
        <v>37</v>
      </c>
      <c r="G757">
        <v>3.8</v>
      </c>
      <c r="H757">
        <v>2024</v>
      </c>
      <c r="I757" t="s">
        <v>1048</v>
      </c>
      <c r="J757" t="s">
        <v>1031</v>
      </c>
      <c r="K757">
        <v>4</v>
      </c>
    </row>
    <row r="758" spans="1:11" x14ac:dyDescent="0.3">
      <c r="A758" t="s">
        <v>1802</v>
      </c>
      <c r="B758" t="s">
        <v>1059</v>
      </c>
      <c r="C758">
        <v>71</v>
      </c>
      <c r="D758" t="s">
        <v>1038</v>
      </c>
      <c r="E758" s="1">
        <v>45196</v>
      </c>
      <c r="F758">
        <v>135</v>
      </c>
      <c r="G758">
        <v>3.9</v>
      </c>
      <c r="H758">
        <v>2024</v>
      </c>
      <c r="I758" t="s">
        <v>1048</v>
      </c>
      <c r="J758" t="s">
        <v>1019</v>
      </c>
      <c r="K758">
        <v>4</v>
      </c>
    </row>
    <row r="759" spans="1:11" x14ac:dyDescent="0.3">
      <c r="A759" t="s">
        <v>1803</v>
      </c>
      <c r="B759" t="s">
        <v>1047</v>
      </c>
      <c r="C759">
        <v>152</v>
      </c>
      <c r="D759" t="s">
        <v>1038</v>
      </c>
      <c r="E759" s="1">
        <v>45196</v>
      </c>
      <c r="F759">
        <v>88</v>
      </c>
      <c r="G759">
        <v>4.7</v>
      </c>
      <c r="H759">
        <v>2024</v>
      </c>
      <c r="I759" t="s">
        <v>1048</v>
      </c>
      <c r="J759" t="s">
        <v>1031</v>
      </c>
      <c r="K759">
        <v>5</v>
      </c>
    </row>
    <row r="760" spans="1:11" x14ac:dyDescent="0.3">
      <c r="A760" t="s">
        <v>1804</v>
      </c>
      <c r="B760" t="s">
        <v>1078</v>
      </c>
      <c r="C760">
        <v>108</v>
      </c>
      <c r="D760" t="s">
        <v>1024</v>
      </c>
      <c r="E760" s="1">
        <v>45196</v>
      </c>
      <c r="F760">
        <v>190</v>
      </c>
      <c r="G760">
        <v>3.2</v>
      </c>
      <c r="H760">
        <v>2024</v>
      </c>
      <c r="I760" t="s">
        <v>1048</v>
      </c>
      <c r="J760" t="s">
        <v>1019</v>
      </c>
      <c r="K760">
        <v>3</v>
      </c>
    </row>
    <row r="761" spans="1:11" x14ac:dyDescent="0.3">
      <c r="A761" t="s">
        <v>1805</v>
      </c>
      <c r="B761" t="s">
        <v>1078</v>
      </c>
      <c r="C761">
        <v>156</v>
      </c>
      <c r="D761" t="s">
        <v>1038</v>
      </c>
      <c r="E761" s="1">
        <v>45196</v>
      </c>
      <c r="F761">
        <v>81</v>
      </c>
      <c r="G761">
        <v>5</v>
      </c>
      <c r="H761">
        <v>2024</v>
      </c>
      <c r="I761" t="s">
        <v>1048</v>
      </c>
      <c r="J761" t="s">
        <v>1031</v>
      </c>
      <c r="K761">
        <v>5</v>
      </c>
    </row>
    <row r="762" spans="1:11" x14ac:dyDescent="0.3">
      <c r="A762" t="s">
        <v>1806</v>
      </c>
      <c r="B762" t="s">
        <v>1059</v>
      </c>
      <c r="C762">
        <v>126</v>
      </c>
      <c r="D762" t="s">
        <v>1024</v>
      </c>
      <c r="E762" s="1">
        <v>45196</v>
      </c>
      <c r="F762">
        <v>44</v>
      </c>
      <c r="G762">
        <v>3.7</v>
      </c>
      <c r="H762">
        <v>2024</v>
      </c>
      <c r="I762" t="s">
        <v>1048</v>
      </c>
      <c r="J762" t="s">
        <v>1031</v>
      </c>
      <c r="K762">
        <v>4</v>
      </c>
    </row>
    <row r="763" spans="1:11" x14ac:dyDescent="0.3">
      <c r="A763" t="s">
        <v>1807</v>
      </c>
      <c r="B763" t="s">
        <v>1023</v>
      </c>
      <c r="C763">
        <v>135</v>
      </c>
      <c r="D763" t="s">
        <v>1038</v>
      </c>
      <c r="E763" s="1">
        <v>45197</v>
      </c>
      <c r="F763">
        <v>92</v>
      </c>
      <c r="G763">
        <v>3.9</v>
      </c>
      <c r="H763">
        <v>2024</v>
      </c>
      <c r="I763" t="s">
        <v>1052</v>
      </c>
      <c r="J763" t="s">
        <v>1031</v>
      </c>
      <c r="K763">
        <v>4</v>
      </c>
    </row>
    <row r="764" spans="1:11" x14ac:dyDescent="0.3">
      <c r="A764" t="s">
        <v>1808</v>
      </c>
      <c r="B764" t="s">
        <v>1059</v>
      </c>
      <c r="C764">
        <v>110</v>
      </c>
      <c r="D764" t="s">
        <v>1017</v>
      </c>
      <c r="E764" s="1">
        <v>45198</v>
      </c>
      <c r="F764">
        <v>90</v>
      </c>
      <c r="G764">
        <v>3.1</v>
      </c>
      <c r="H764">
        <v>2024</v>
      </c>
      <c r="I764" t="s">
        <v>411</v>
      </c>
      <c r="J764" t="s">
        <v>1019</v>
      </c>
      <c r="K764">
        <v>3</v>
      </c>
    </row>
    <row r="765" spans="1:11" x14ac:dyDescent="0.3">
      <c r="A765" t="s">
        <v>1809</v>
      </c>
      <c r="B765" t="s">
        <v>1065</v>
      </c>
      <c r="C765">
        <v>64</v>
      </c>
      <c r="D765" t="s">
        <v>1038</v>
      </c>
      <c r="E765" s="1">
        <v>45198</v>
      </c>
      <c r="F765">
        <v>112</v>
      </c>
      <c r="G765">
        <v>2</v>
      </c>
      <c r="H765">
        <v>2024</v>
      </c>
      <c r="I765" t="s">
        <v>411</v>
      </c>
      <c r="J765" t="s">
        <v>1019</v>
      </c>
      <c r="K765">
        <v>2</v>
      </c>
    </row>
    <row r="766" spans="1:11" x14ac:dyDescent="0.3">
      <c r="A766" t="s">
        <v>1810</v>
      </c>
      <c r="B766" t="s">
        <v>1055</v>
      </c>
      <c r="C766">
        <v>127</v>
      </c>
      <c r="D766" t="s">
        <v>1024</v>
      </c>
      <c r="E766" s="1">
        <v>45198</v>
      </c>
      <c r="F766">
        <v>112</v>
      </c>
      <c r="G766">
        <v>4.5999999999999996</v>
      </c>
      <c r="H766">
        <v>2024</v>
      </c>
      <c r="I766" t="s">
        <v>411</v>
      </c>
      <c r="J766" t="s">
        <v>1031</v>
      </c>
      <c r="K766">
        <v>5</v>
      </c>
    </row>
    <row r="767" spans="1:11" x14ac:dyDescent="0.3">
      <c r="A767" t="s">
        <v>1811</v>
      </c>
      <c r="B767" t="s">
        <v>1098</v>
      </c>
      <c r="C767">
        <v>124</v>
      </c>
      <c r="D767" t="s">
        <v>1029</v>
      </c>
      <c r="E767" s="1">
        <v>45198</v>
      </c>
      <c r="F767">
        <v>48</v>
      </c>
      <c r="G767">
        <v>3.7</v>
      </c>
      <c r="H767">
        <v>2024</v>
      </c>
      <c r="I767" t="s">
        <v>411</v>
      </c>
      <c r="J767" t="s">
        <v>1031</v>
      </c>
      <c r="K767">
        <v>4</v>
      </c>
    </row>
    <row r="768" spans="1:11" x14ac:dyDescent="0.3">
      <c r="A768" t="s">
        <v>1812</v>
      </c>
      <c r="B768" t="s">
        <v>1065</v>
      </c>
      <c r="C768">
        <v>125</v>
      </c>
      <c r="D768" t="s">
        <v>1024</v>
      </c>
      <c r="E768" s="1">
        <v>45198</v>
      </c>
      <c r="F768">
        <v>116</v>
      </c>
      <c r="G768">
        <v>4.4000000000000004</v>
      </c>
      <c r="H768">
        <v>2024</v>
      </c>
      <c r="I768" t="s">
        <v>411</v>
      </c>
      <c r="J768" t="s">
        <v>1031</v>
      </c>
      <c r="K768">
        <v>4</v>
      </c>
    </row>
    <row r="769" spans="1:11" x14ac:dyDescent="0.3">
      <c r="A769" t="s">
        <v>1813</v>
      </c>
      <c r="B769" t="s">
        <v>1021</v>
      </c>
      <c r="C769">
        <v>70</v>
      </c>
      <c r="D769" t="s">
        <v>1024</v>
      </c>
      <c r="E769" s="1">
        <v>45198</v>
      </c>
      <c r="F769">
        <v>29</v>
      </c>
      <c r="G769">
        <v>2.1</v>
      </c>
      <c r="H769">
        <v>2024</v>
      </c>
      <c r="I769" t="s">
        <v>411</v>
      </c>
      <c r="J769" t="s">
        <v>1019</v>
      </c>
      <c r="K769">
        <v>2</v>
      </c>
    </row>
    <row r="770" spans="1:11" x14ac:dyDescent="0.3">
      <c r="A770" t="s">
        <v>1814</v>
      </c>
      <c r="B770" t="s">
        <v>1055</v>
      </c>
      <c r="C770">
        <v>93</v>
      </c>
      <c r="D770" t="s">
        <v>1038</v>
      </c>
      <c r="E770" s="1">
        <v>45199</v>
      </c>
      <c r="F770">
        <v>170</v>
      </c>
      <c r="G770">
        <v>2.2000000000000002</v>
      </c>
      <c r="H770">
        <v>2024</v>
      </c>
      <c r="I770" t="s">
        <v>1062</v>
      </c>
      <c r="J770" t="s">
        <v>1019</v>
      </c>
      <c r="K770">
        <v>2</v>
      </c>
    </row>
    <row r="771" spans="1:11" x14ac:dyDescent="0.3">
      <c r="A771" t="s">
        <v>1815</v>
      </c>
      <c r="B771" t="s">
        <v>1021</v>
      </c>
      <c r="C771">
        <v>120</v>
      </c>
      <c r="D771" t="s">
        <v>1042</v>
      </c>
      <c r="E771" s="1">
        <v>45199</v>
      </c>
      <c r="F771">
        <v>68</v>
      </c>
      <c r="G771">
        <v>3.4</v>
      </c>
      <c r="H771">
        <v>2024</v>
      </c>
      <c r="I771" t="s">
        <v>1062</v>
      </c>
      <c r="J771" t="s">
        <v>1019</v>
      </c>
      <c r="K771">
        <v>3</v>
      </c>
    </row>
    <row r="772" spans="1:11" x14ac:dyDescent="0.3">
      <c r="A772" t="s">
        <v>1816</v>
      </c>
      <c r="B772" t="s">
        <v>1028</v>
      </c>
      <c r="C772">
        <v>96</v>
      </c>
      <c r="D772" t="s">
        <v>1017</v>
      </c>
      <c r="E772" s="1">
        <v>45199</v>
      </c>
      <c r="F772">
        <v>195</v>
      </c>
      <c r="G772">
        <v>2.7</v>
      </c>
      <c r="H772">
        <v>2024</v>
      </c>
      <c r="I772" t="s">
        <v>1062</v>
      </c>
      <c r="J772" t="s">
        <v>1019</v>
      </c>
      <c r="K772">
        <v>3</v>
      </c>
    </row>
    <row r="773" spans="1:11" x14ac:dyDescent="0.3">
      <c r="A773" t="s">
        <v>1817</v>
      </c>
      <c r="B773" t="s">
        <v>1026</v>
      </c>
      <c r="C773">
        <v>67</v>
      </c>
      <c r="D773" t="s">
        <v>1017</v>
      </c>
      <c r="E773" s="1">
        <v>45199</v>
      </c>
      <c r="F773">
        <v>96</v>
      </c>
      <c r="G773">
        <v>3.7</v>
      </c>
      <c r="H773">
        <v>2024</v>
      </c>
      <c r="I773" t="s">
        <v>1062</v>
      </c>
      <c r="J773" t="s">
        <v>1019</v>
      </c>
      <c r="K773">
        <v>4</v>
      </c>
    </row>
    <row r="774" spans="1:11" x14ac:dyDescent="0.3">
      <c r="A774" t="s">
        <v>1818</v>
      </c>
      <c r="B774" t="s">
        <v>1065</v>
      </c>
      <c r="C774">
        <v>119</v>
      </c>
      <c r="D774" t="s">
        <v>1017</v>
      </c>
      <c r="E774" s="1">
        <v>45199</v>
      </c>
      <c r="F774">
        <v>96</v>
      </c>
      <c r="G774">
        <v>3.1</v>
      </c>
      <c r="H774">
        <v>2024</v>
      </c>
      <c r="I774" t="s">
        <v>1062</v>
      </c>
      <c r="J774" t="s">
        <v>1019</v>
      </c>
      <c r="K774">
        <v>3</v>
      </c>
    </row>
    <row r="775" spans="1:11" x14ac:dyDescent="0.3">
      <c r="A775" t="s">
        <v>1819</v>
      </c>
      <c r="B775" t="s">
        <v>1098</v>
      </c>
      <c r="C775">
        <v>61</v>
      </c>
      <c r="D775" t="s">
        <v>1029</v>
      </c>
      <c r="E775" s="1">
        <v>45199</v>
      </c>
      <c r="F775">
        <v>117</v>
      </c>
      <c r="G775">
        <v>4.0999999999999996</v>
      </c>
      <c r="H775">
        <v>2024</v>
      </c>
      <c r="I775" t="s">
        <v>1062</v>
      </c>
      <c r="J775" t="s">
        <v>1019</v>
      </c>
      <c r="K775">
        <v>4</v>
      </c>
    </row>
    <row r="776" spans="1:11" x14ac:dyDescent="0.3">
      <c r="A776" t="s">
        <v>1820</v>
      </c>
      <c r="B776" t="s">
        <v>1028</v>
      </c>
      <c r="C776">
        <v>29</v>
      </c>
      <c r="D776" t="s">
        <v>1038</v>
      </c>
      <c r="E776" s="1">
        <v>45199</v>
      </c>
      <c r="F776">
        <v>80</v>
      </c>
      <c r="G776">
        <v>4.8</v>
      </c>
      <c r="H776">
        <v>2024</v>
      </c>
      <c r="I776" t="s">
        <v>1062</v>
      </c>
      <c r="J776" t="s">
        <v>1056</v>
      </c>
      <c r="K776">
        <v>5</v>
      </c>
    </row>
    <row r="777" spans="1:11" x14ac:dyDescent="0.3">
      <c r="A777" t="s">
        <v>1821</v>
      </c>
      <c r="B777" t="s">
        <v>1047</v>
      </c>
      <c r="C777">
        <v>134</v>
      </c>
      <c r="D777" t="s">
        <v>1042</v>
      </c>
      <c r="E777" s="1">
        <v>45199</v>
      </c>
      <c r="F777">
        <v>117</v>
      </c>
      <c r="G777">
        <v>4</v>
      </c>
      <c r="H777">
        <v>2024</v>
      </c>
      <c r="I777" t="s">
        <v>1062</v>
      </c>
      <c r="J777" t="s">
        <v>1031</v>
      </c>
      <c r="K777">
        <v>4</v>
      </c>
    </row>
    <row r="778" spans="1:11" x14ac:dyDescent="0.3">
      <c r="A778" t="s">
        <v>1822</v>
      </c>
      <c r="B778" t="s">
        <v>1059</v>
      </c>
      <c r="C778">
        <v>113</v>
      </c>
      <c r="D778" t="s">
        <v>1017</v>
      </c>
      <c r="E778" s="1">
        <v>45200</v>
      </c>
      <c r="F778">
        <v>40</v>
      </c>
      <c r="G778">
        <v>3</v>
      </c>
      <c r="H778">
        <v>2024</v>
      </c>
      <c r="I778" t="s">
        <v>1018</v>
      </c>
      <c r="J778" t="s">
        <v>1019</v>
      </c>
      <c r="K778">
        <v>3</v>
      </c>
    </row>
    <row r="779" spans="1:11" x14ac:dyDescent="0.3">
      <c r="A779" t="s">
        <v>1823</v>
      </c>
      <c r="B779" t="s">
        <v>1078</v>
      </c>
      <c r="C779">
        <v>12</v>
      </c>
      <c r="D779" t="s">
        <v>1042</v>
      </c>
      <c r="E779" s="1">
        <v>45200</v>
      </c>
      <c r="F779">
        <v>117</v>
      </c>
      <c r="G779">
        <v>4.8</v>
      </c>
      <c r="H779">
        <v>2024</v>
      </c>
      <c r="I779" t="s">
        <v>1018</v>
      </c>
      <c r="J779" t="s">
        <v>1056</v>
      </c>
      <c r="K779">
        <v>5</v>
      </c>
    </row>
    <row r="780" spans="1:11" x14ac:dyDescent="0.3">
      <c r="A780" t="s">
        <v>1824</v>
      </c>
      <c r="B780" t="s">
        <v>1045</v>
      </c>
      <c r="C780">
        <v>78</v>
      </c>
      <c r="D780" t="s">
        <v>1038</v>
      </c>
      <c r="E780" s="1">
        <v>45200</v>
      </c>
      <c r="F780">
        <v>135</v>
      </c>
      <c r="G780">
        <v>4.0999999999999996</v>
      </c>
      <c r="H780">
        <v>2024</v>
      </c>
      <c r="I780" t="s">
        <v>1018</v>
      </c>
      <c r="J780" t="s">
        <v>1019</v>
      </c>
      <c r="K780">
        <v>4</v>
      </c>
    </row>
    <row r="781" spans="1:11" x14ac:dyDescent="0.3">
      <c r="A781" t="s">
        <v>1825</v>
      </c>
      <c r="B781" t="s">
        <v>1065</v>
      </c>
      <c r="C781">
        <v>82</v>
      </c>
      <c r="D781" t="s">
        <v>1024</v>
      </c>
      <c r="E781" s="1">
        <v>45200</v>
      </c>
      <c r="F781">
        <v>99</v>
      </c>
      <c r="G781">
        <v>4.2</v>
      </c>
      <c r="H781">
        <v>2024</v>
      </c>
      <c r="I781" t="s">
        <v>1018</v>
      </c>
      <c r="J781" t="s">
        <v>1019</v>
      </c>
      <c r="K781">
        <v>4</v>
      </c>
    </row>
    <row r="782" spans="1:11" x14ac:dyDescent="0.3">
      <c r="A782" t="s">
        <v>1826</v>
      </c>
      <c r="B782" t="s">
        <v>1041</v>
      </c>
      <c r="C782">
        <v>149</v>
      </c>
      <c r="D782" t="s">
        <v>1029</v>
      </c>
      <c r="E782" s="1">
        <v>45200</v>
      </c>
      <c r="F782">
        <v>130</v>
      </c>
      <c r="G782">
        <v>3.3</v>
      </c>
      <c r="H782">
        <v>2024</v>
      </c>
      <c r="I782" t="s">
        <v>1018</v>
      </c>
      <c r="J782" t="s">
        <v>1031</v>
      </c>
      <c r="K782">
        <v>3</v>
      </c>
    </row>
    <row r="783" spans="1:11" x14ac:dyDescent="0.3">
      <c r="A783" t="s">
        <v>1827</v>
      </c>
      <c r="B783" t="s">
        <v>1036</v>
      </c>
      <c r="C783">
        <v>56</v>
      </c>
      <c r="D783" t="s">
        <v>1042</v>
      </c>
      <c r="E783" s="1">
        <v>45200</v>
      </c>
      <c r="F783">
        <v>96</v>
      </c>
      <c r="G783">
        <v>4.7</v>
      </c>
      <c r="H783">
        <v>2024</v>
      </c>
      <c r="I783" t="s">
        <v>1018</v>
      </c>
      <c r="J783" t="s">
        <v>1034</v>
      </c>
      <c r="K783">
        <v>5</v>
      </c>
    </row>
    <row r="784" spans="1:11" x14ac:dyDescent="0.3">
      <c r="A784" t="s">
        <v>1828</v>
      </c>
      <c r="B784" t="s">
        <v>1028</v>
      </c>
      <c r="C784">
        <v>80</v>
      </c>
      <c r="D784" t="s">
        <v>1029</v>
      </c>
      <c r="E784" s="1">
        <v>45200</v>
      </c>
      <c r="F784">
        <v>128</v>
      </c>
      <c r="G784">
        <v>3.7</v>
      </c>
      <c r="H784">
        <v>2024</v>
      </c>
      <c r="I784" t="s">
        <v>1018</v>
      </c>
      <c r="J784" t="s">
        <v>1019</v>
      </c>
      <c r="K784">
        <v>4</v>
      </c>
    </row>
    <row r="785" spans="1:11" x14ac:dyDescent="0.3">
      <c r="A785" t="s">
        <v>1829</v>
      </c>
      <c r="B785" t="s">
        <v>1098</v>
      </c>
      <c r="C785">
        <v>131</v>
      </c>
      <c r="D785" t="s">
        <v>1017</v>
      </c>
      <c r="E785" s="1">
        <v>45200</v>
      </c>
      <c r="F785">
        <v>69</v>
      </c>
      <c r="G785">
        <v>4.7</v>
      </c>
      <c r="H785">
        <v>2024</v>
      </c>
      <c r="I785" t="s">
        <v>1018</v>
      </c>
      <c r="J785" t="s">
        <v>1031</v>
      </c>
      <c r="K785">
        <v>5</v>
      </c>
    </row>
    <row r="786" spans="1:11" x14ac:dyDescent="0.3">
      <c r="A786" t="s">
        <v>1830</v>
      </c>
      <c r="B786" t="s">
        <v>1098</v>
      </c>
      <c r="C786">
        <v>109</v>
      </c>
      <c r="D786" t="s">
        <v>1017</v>
      </c>
      <c r="E786" s="1">
        <v>45200</v>
      </c>
      <c r="F786">
        <v>44</v>
      </c>
      <c r="G786">
        <v>4.5999999999999996</v>
      </c>
      <c r="H786">
        <v>2024</v>
      </c>
      <c r="I786" t="s">
        <v>1018</v>
      </c>
      <c r="J786" t="s">
        <v>1019</v>
      </c>
      <c r="K786">
        <v>5</v>
      </c>
    </row>
    <row r="787" spans="1:11" x14ac:dyDescent="0.3">
      <c r="A787" t="s">
        <v>1831</v>
      </c>
      <c r="B787" t="s">
        <v>1036</v>
      </c>
      <c r="C787">
        <v>142</v>
      </c>
      <c r="D787" t="s">
        <v>1017</v>
      </c>
      <c r="E787" s="1">
        <v>45200</v>
      </c>
      <c r="F787">
        <v>44</v>
      </c>
      <c r="G787">
        <v>4.8</v>
      </c>
      <c r="H787">
        <v>2024</v>
      </c>
      <c r="I787" t="s">
        <v>1018</v>
      </c>
      <c r="J787" t="s">
        <v>1031</v>
      </c>
      <c r="K787">
        <v>5</v>
      </c>
    </row>
    <row r="788" spans="1:11" x14ac:dyDescent="0.3">
      <c r="A788" t="s">
        <v>1832</v>
      </c>
      <c r="B788" t="s">
        <v>1055</v>
      </c>
      <c r="C788">
        <v>114</v>
      </c>
      <c r="D788" t="s">
        <v>1042</v>
      </c>
      <c r="E788" s="1">
        <v>45201</v>
      </c>
      <c r="F788">
        <v>135</v>
      </c>
      <c r="G788">
        <v>2</v>
      </c>
      <c r="H788">
        <v>2024</v>
      </c>
      <c r="I788" t="s">
        <v>1030</v>
      </c>
      <c r="J788" t="s">
        <v>1019</v>
      </c>
      <c r="K788">
        <v>2</v>
      </c>
    </row>
    <row r="789" spans="1:11" x14ac:dyDescent="0.3">
      <c r="A789" t="s">
        <v>1833</v>
      </c>
      <c r="B789" t="s">
        <v>1026</v>
      </c>
      <c r="C789">
        <v>93</v>
      </c>
      <c r="D789" t="s">
        <v>1029</v>
      </c>
      <c r="E789" s="1">
        <v>45201</v>
      </c>
      <c r="F789">
        <v>45</v>
      </c>
      <c r="G789">
        <v>3.9</v>
      </c>
      <c r="H789">
        <v>2024</v>
      </c>
      <c r="I789" t="s">
        <v>1030</v>
      </c>
      <c r="J789" t="s">
        <v>1019</v>
      </c>
      <c r="K789">
        <v>4</v>
      </c>
    </row>
    <row r="790" spans="1:11" x14ac:dyDescent="0.3">
      <c r="A790" t="s">
        <v>1834</v>
      </c>
      <c r="B790" t="s">
        <v>1078</v>
      </c>
      <c r="C790">
        <v>43</v>
      </c>
      <c r="D790" t="s">
        <v>1029</v>
      </c>
      <c r="E790" s="1">
        <v>45201</v>
      </c>
      <c r="F790">
        <v>87</v>
      </c>
      <c r="G790">
        <v>3</v>
      </c>
      <c r="H790">
        <v>2024</v>
      </c>
      <c r="I790" t="s">
        <v>1030</v>
      </c>
      <c r="J790" t="s">
        <v>1034</v>
      </c>
      <c r="K790">
        <v>3</v>
      </c>
    </row>
    <row r="791" spans="1:11" x14ac:dyDescent="0.3">
      <c r="A791" t="s">
        <v>1835</v>
      </c>
      <c r="B791" t="s">
        <v>1047</v>
      </c>
      <c r="C791">
        <v>78</v>
      </c>
      <c r="D791" t="s">
        <v>1038</v>
      </c>
      <c r="E791" s="1">
        <v>45202</v>
      </c>
      <c r="F791">
        <v>84</v>
      </c>
      <c r="G791">
        <v>4.5999999999999996</v>
      </c>
      <c r="H791">
        <v>2024</v>
      </c>
      <c r="I791" t="s">
        <v>1033</v>
      </c>
      <c r="J791" t="s">
        <v>1019</v>
      </c>
      <c r="K791">
        <v>5</v>
      </c>
    </row>
    <row r="792" spans="1:11" x14ac:dyDescent="0.3">
      <c r="A792" t="s">
        <v>1836</v>
      </c>
      <c r="B792" t="s">
        <v>1055</v>
      </c>
      <c r="C792">
        <v>89</v>
      </c>
      <c r="D792" t="s">
        <v>1017</v>
      </c>
      <c r="E792" s="1">
        <v>45202</v>
      </c>
      <c r="F792">
        <v>81</v>
      </c>
      <c r="G792">
        <v>3.8</v>
      </c>
      <c r="H792">
        <v>2024</v>
      </c>
      <c r="I792" t="s">
        <v>1033</v>
      </c>
      <c r="J792" t="s">
        <v>1019</v>
      </c>
      <c r="K792">
        <v>4</v>
      </c>
    </row>
    <row r="793" spans="1:11" x14ac:dyDescent="0.3">
      <c r="A793" t="s">
        <v>1837</v>
      </c>
      <c r="B793" t="s">
        <v>1036</v>
      </c>
      <c r="C793">
        <v>82</v>
      </c>
      <c r="D793" t="s">
        <v>1024</v>
      </c>
      <c r="E793" s="1">
        <v>45202</v>
      </c>
      <c r="F793">
        <v>130</v>
      </c>
      <c r="G793">
        <v>4.4000000000000004</v>
      </c>
      <c r="H793">
        <v>2024</v>
      </c>
      <c r="I793" t="s">
        <v>1033</v>
      </c>
      <c r="J793" t="s">
        <v>1019</v>
      </c>
      <c r="K793">
        <v>4</v>
      </c>
    </row>
    <row r="794" spans="1:11" x14ac:dyDescent="0.3">
      <c r="A794" t="s">
        <v>1838</v>
      </c>
      <c r="B794" t="s">
        <v>1028</v>
      </c>
      <c r="C794">
        <v>86</v>
      </c>
      <c r="D794" t="s">
        <v>1017</v>
      </c>
      <c r="E794" s="1">
        <v>45203</v>
      </c>
      <c r="F794">
        <v>92</v>
      </c>
      <c r="G794">
        <v>2.4</v>
      </c>
      <c r="H794">
        <v>2024</v>
      </c>
      <c r="I794" t="s">
        <v>1048</v>
      </c>
      <c r="J794" t="s">
        <v>1019</v>
      </c>
      <c r="K794">
        <v>2</v>
      </c>
    </row>
    <row r="795" spans="1:11" x14ac:dyDescent="0.3">
      <c r="A795" t="s">
        <v>1839</v>
      </c>
      <c r="B795" t="s">
        <v>1068</v>
      </c>
      <c r="C795">
        <v>57</v>
      </c>
      <c r="D795" t="s">
        <v>1038</v>
      </c>
      <c r="E795" s="1">
        <v>45203</v>
      </c>
      <c r="F795">
        <v>48</v>
      </c>
      <c r="G795">
        <v>4.5</v>
      </c>
      <c r="H795">
        <v>2024</v>
      </c>
      <c r="I795" t="s">
        <v>1048</v>
      </c>
      <c r="J795" t="s">
        <v>1034</v>
      </c>
      <c r="K795">
        <v>5</v>
      </c>
    </row>
    <row r="796" spans="1:11" x14ac:dyDescent="0.3">
      <c r="A796" t="s">
        <v>1840</v>
      </c>
      <c r="B796" t="s">
        <v>1026</v>
      </c>
      <c r="C796">
        <v>103</v>
      </c>
      <c r="D796" t="s">
        <v>1042</v>
      </c>
      <c r="E796" s="1">
        <v>45203</v>
      </c>
      <c r="F796">
        <v>160</v>
      </c>
      <c r="G796">
        <v>4.5</v>
      </c>
      <c r="H796">
        <v>2024</v>
      </c>
      <c r="I796" t="s">
        <v>1048</v>
      </c>
      <c r="J796" t="s">
        <v>1019</v>
      </c>
      <c r="K796">
        <v>5</v>
      </c>
    </row>
    <row r="797" spans="1:11" x14ac:dyDescent="0.3">
      <c r="A797" t="s">
        <v>1841</v>
      </c>
      <c r="B797" t="s">
        <v>1045</v>
      </c>
      <c r="C797">
        <v>138</v>
      </c>
      <c r="D797" t="s">
        <v>1038</v>
      </c>
      <c r="E797" s="1">
        <v>45204</v>
      </c>
      <c r="F797">
        <v>155</v>
      </c>
      <c r="G797">
        <v>2.7</v>
      </c>
      <c r="H797">
        <v>2024</v>
      </c>
      <c r="I797" t="s">
        <v>1052</v>
      </c>
      <c r="J797" t="s">
        <v>1031</v>
      </c>
      <c r="K797">
        <v>3</v>
      </c>
    </row>
    <row r="798" spans="1:11" x14ac:dyDescent="0.3">
      <c r="A798" t="s">
        <v>1842</v>
      </c>
      <c r="B798" t="s">
        <v>1041</v>
      </c>
      <c r="C798">
        <v>88</v>
      </c>
      <c r="D798" t="s">
        <v>1024</v>
      </c>
      <c r="E798" s="1">
        <v>45204</v>
      </c>
      <c r="F798">
        <v>100</v>
      </c>
      <c r="G798">
        <v>4.9000000000000004</v>
      </c>
      <c r="H798">
        <v>2024</v>
      </c>
      <c r="I798" t="s">
        <v>1052</v>
      </c>
      <c r="J798" t="s">
        <v>1019</v>
      </c>
      <c r="K798">
        <v>5</v>
      </c>
    </row>
    <row r="799" spans="1:11" x14ac:dyDescent="0.3">
      <c r="A799" t="s">
        <v>1843</v>
      </c>
      <c r="B799" t="s">
        <v>1055</v>
      </c>
      <c r="C799">
        <v>118</v>
      </c>
      <c r="D799" t="s">
        <v>1029</v>
      </c>
      <c r="E799" s="1">
        <v>45204</v>
      </c>
      <c r="F799">
        <v>56</v>
      </c>
      <c r="G799">
        <v>3.7</v>
      </c>
      <c r="H799">
        <v>2024</v>
      </c>
      <c r="I799" t="s">
        <v>1052</v>
      </c>
      <c r="J799" t="s">
        <v>1019</v>
      </c>
      <c r="K799">
        <v>4</v>
      </c>
    </row>
    <row r="800" spans="1:11" x14ac:dyDescent="0.3">
      <c r="A800" t="s">
        <v>1844</v>
      </c>
      <c r="B800" t="s">
        <v>1028</v>
      </c>
      <c r="C800">
        <v>4</v>
      </c>
      <c r="D800" t="s">
        <v>1017</v>
      </c>
      <c r="E800" s="1">
        <v>45204</v>
      </c>
      <c r="F800">
        <v>170</v>
      </c>
      <c r="G800">
        <v>3.9</v>
      </c>
      <c r="H800">
        <v>2024</v>
      </c>
      <c r="I800" t="s">
        <v>1052</v>
      </c>
      <c r="J800" t="s">
        <v>1186</v>
      </c>
      <c r="K800">
        <v>4</v>
      </c>
    </row>
    <row r="801" spans="1:11" x14ac:dyDescent="0.3">
      <c r="A801" t="s">
        <v>1845</v>
      </c>
      <c r="B801" t="s">
        <v>1078</v>
      </c>
      <c r="C801">
        <v>78</v>
      </c>
      <c r="D801" t="s">
        <v>1042</v>
      </c>
      <c r="E801" s="1">
        <v>45205</v>
      </c>
      <c r="F801">
        <v>74</v>
      </c>
      <c r="G801">
        <v>3.5</v>
      </c>
      <c r="H801">
        <v>2024</v>
      </c>
      <c r="I801" t="s">
        <v>411</v>
      </c>
      <c r="J801" t="s">
        <v>1019</v>
      </c>
      <c r="K801">
        <v>4</v>
      </c>
    </row>
    <row r="802" spans="1:11" x14ac:dyDescent="0.3">
      <c r="A802" t="s">
        <v>1846</v>
      </c>
      <c r="B802" t="s">
        <v>1059</v>
      </c>
      <c r="C802">
        <v>69</v>
      </c>
      <c r="D802" t="s">
        <v>1017</v>
      </c>
      <c r="E802" s="1">
        <v>45205</v>
      </c>
      <c r="F802">
        <v>99</v>
      </c>
      <c r="G802">
        <v>2.7</v>
      </c>
      <c r="H802">
        <v>2024</v>
      </c>
      <c r="I802" t="s">
        <v>411</v>
      </c>
      <c r="J802" t="s">
        <v>1019</v>
      </c>
      <c r="K802">
        <v>3</v>
      </c>
    </row>
    <row r="803" spans="1:11" x14ac:dyDescent="0.3">
      <c r="A803" t="s">
        <v>1847</v>
      </c>
      <c r="B803" t="s">
        <v>1036</v>
      </c>
      <c r="C803">
        <v>90</v>
      </c>
      <c r="D803" t="s">
        <v>1038</v>
      </c>
      <c r="E803" s="1">
        <v>45205</v>
      </c>
      <c r="F803">
        <v>84</v>
      </c>
      <c r="G803">
        <v>3.9</v>
      </c>
      <c r="H803">
        <v>2024</v>
      </c>
      <c r="I803" t="s">
        <v>411</v>
      </c>
      <c r="J803" t="s">
        <v>1019</v>
      </c>
      <c r="K803">
        <v>4</v>
      </c>
    </row>
    <row r="804" spans="1:11" x14ac:dyDescent="0.3">
      <c r="A804" t="s">
        <v>1848</v>
      </c>
      <c r="B804" t="s">
        <v>1059</v>
      </c>
      <c r="C804">
        <v>134</v>
      </c>
      <c r="D804" t="s">
        <v>1017</v>
      </c>
      <c r="E804" s="1">
        <v>45205</v>
      </c>
      <c r="F804">
        <v>35</v>
      </c>
      <c r="G804">
        <v>3.4</v>
      </c>
      <c r="H804">
        <v>2024</v>
      </c>
      <c r="I804" t="s">
        <v>411</v>
      </c>
      <c r="J804" t="s">
        <v>1031</v>
      </c>
      <c r="K804">
        <v>3</v>
      </c>
    </row>
    <row r="805" spans="1:11" x14ac:dyDescent="0.3">
      <c r="A805" t="s">
        <v>1849</v>
      </c>
      <c r="B805" t="s">
        <v>1021</v>
      </c>
      <c r="C805">
        <v>65</v>
      </c>
      <c r="D805" t="s">
        <v>1029</v>
      </c>
      <c r="E805" s="1">
        <v>45205</v>
      </c>
      <c r="F805">
        <v>150</v>
      </c>
      <c r="G805">
        <v>5</v>
      </c>
      <c r="H805">
        <v>2024</v>
      </c>
      <c r="I805" t="s">
        <v>411</v>
      </c>
      <c r="J805" t="s">
        <v>1019</v>
      </c>
      <c r="K805">
        <v>5</v>
      </c>
    </row>
    <row r="806" spans="1:11" x14ac:dyDescent="0.3">
      <c r="A806" t="s">
        <v>1850</v>
      </c>
      <c r="B806" t="s">
        <v>1023</v>
      </c>
      <c r="C806">
        <v>54</v>
      </c>
      <c r="D806" t="s">
        <v>1042</v>
      </c>
      <c r="E806" s="1">
        <v>45206</v>
      </c>
      <c r="F806">
        <v>176</v>
      </c>
      <c r="G806">
        <v>4.4000000000000004</v>
      </c>
      <c r="H806">
        <v>2024</v>
      </c>
      <c r="I806" t="s">
        <v>1062</v>
      </c>
      <c r="J806" t="s">
        <v>1034</v>
      </c>
      <c r="K806">
        <v>4</v>
      </c>
    </row>
    <row r="807" spans="1:11" x14ac:dyDescent="0.3">
      <c r="A807" t="s">
        <v>1851</v>
      </c>
      <c r="B807" t="s">
        <v>1023</v>
      </c>
      <c r="C807">
        <v>90</v>
      </c>
      <c r="D807" t="s">
        <v>1042</v>
      </c>
      <c r="E807" s="1">
        <v>45206</v>
      </c>
      <c r="F807">
        <v>84</v>
      </c>
      <c r="G807">
        <v>4.3</v>
      </c>
      <c r="H807">
        <v>2024</v>
      </c>
      <c r="I807" t="s">
        <v>1062</v>
      </c>
      <c r="J807" t="s">
        <v>1019</v>
      </c>
      <c r="K807">
        <v>4</v>
      </c>
    </row>
    <row r="808" spans="1:11" x14ac:dyDescent="0.3">
      <c r="A808" t="s">
        <v>1852</v>
      </c>
      <c r="B808" t="s">
        <v>1036</v>
      </c>
      <c r="C808">
        <v>66</v>
      </c>
      <c r="D808" t="s">
        <v>1042</v>
      </c>
      <c r="E808" s="1">
        <v>45206</v>
      </c>
      <c r="F808">
        <v>136</v>
      </c>
      <c r="G808">
        <v>4.7</v>
      </c>
      <c r="H808">
        <v>2024</v>
      </c>
      <c r="I808" t="s">
        <v>1062</v>
      </c>
      <c r="J808" t="s">
        <v>1019</v>
      </c>
      <c r="K808">
        <v>5</v>
      </c>
    </row>
    <row r="809" spans="1:11" x14ac:dyDescent="0.3">
      <c r="A809" t="s">
        <v>1853</v>
      </c>
      <c r="B809" t="s">
        <v>1028</v>
      </c>
      <c r="C809">
        <v>150</v>
      </c>
      <c r="D809" t="s">
        <v>1042</v>
      </c>
      <c r="E809" s="1">
        <v>45207</v>
      </c>
      <c r="F809">
        <v>70</v>
      </c>
      <c r="G809">
        <v>4.0999999999999996</v>
      </c>
      <c r="H809">
        <v>2024</v>
      </c>
      <c r="I809" t="s">
        <v>1018</v>
      </c>
      <c r="J809" t="s">
        <v>1031</v>
      </c>
      <c r="K809">
        <v>4</v>
      </c>
    </row>
    <row r="810" spans="1:11" x14ac:dyDescent="0.3">
      <c r="A810" t="s">
        <v>1854</v>
      </c>
      <c r="B810" t="s">
        <v>1047</v>
      </c>
      <c r="C810">
        <v>18</v>
      </c>
      <c r="D810" t="s">
        <v>1029</v>
      </c>
      <c r="E810" s="1">
        <v>45207</v>
      </c>
      <c r="F810">
        <v>96</v>
      </c>
      <c r="G810">
        <v>4.8</v>
      </c>
      <c r="H810">
        <v>2024</v>
      </c>
      <c r="I810" t="s">
        <v>1018</v>
      </c>
      <c r="J810" t="s">
        <v>1056</v>
      </c>
      <c r="K810">
        <v>5</v>
      </c>
    </row>
    <row r="811" spans="1:11" x14ac:dyDescent="0.3">
      <c r="A811" t="s">
        <v>1855</v>
      </c>
      <c r="B811" t="s">
        <v>1023</v>
      </c>
      <c r="C811">
        <v>87</v>
      </c>
      <c r="D811" t="s">
        <v>1029</v>
      </c>
      <c r="E811" s="1">
        <v>45207</v>
      </c>
      <c r="F811">
        <v>23</v>
      </c>
      <c r="G811">
        <v>4.2</v>
      </c>
      <c r="H811">
        <v>2024</v>
      </c>
      <c r="I811" t="s">
        <v>1018</v>
      </c>
      <c r="J811" t="s">
        <v>1019</v>
      </c>
      <c r="K811">
        <v>4</v>
      </c>
    </row>
    <row r="812" spans="1:11" x14ac:dyDescent="0.3">
      <c r="A812" t="s">
        <v>1856</v>
      </c>
      <c r="B812" t="s">
        <v>1045</v>
      </c>
      <c r="C812">
        <v>94</v>
      </c>
      <c r="D812" t="s">
        <v>1042</v>
      </c>
      <c r="E812" s="1">
        <v>45208</v>
      </c>
      <c r="F812">
        <v>120</v>
      </c>
      <c r="G812">
        <v>3.4</v>
      </c>
      <c r="H812">
        <v>2024</v>
      </c>
      <c r="I812" t="s">
        <v>1030</v>
      </c>
      <c r="J812" t="s">
        <v>1019</v>
      </c>
      <c r="K812">
        <v>3</v>
      </c>
    </row>
    <row r="813" spans="1:11" x14ac:dyDescent="0.3">
      <c r="A813" t="s">
        <v>1857</v>
      </c>
      <c r="B813" t="s">
        <v>1068</v>
      </c>
      <c r="C813">
        <v>56</v>
      </c>
      <c r="D813" t="s">
        <v>1042</v>
      </c>
      <c r="E813" s="1">
        <v>45208</v>
      </c>
      <c r="F813">
        <v>205</v>
      </c>
      <c r="G813">
        <v>3.3</v>
      </c>
      <c r="H813">
        <v>2024</v>
      </c>
      <c r="I813" t="s">
        <v>1030</v>
      </c>
      <c r="J813" t="s">
        <v>1034</v>
      </c>
      <c r="K813">
        <v>3</v>
      </c>
    </row>
    <row r="814" spans="1:11" x14ac:dyDescent="0.3">
      <c r="A814" t="s">
        <v>1858</v>
      </c>
      <c r="B814" t="s">
        <v>1055</v>
      </c>
      <c r="C814">
        <v>41</v>
      </c>
      <c r="D814" t="s">
        <v>1024</v>
      </c>
      <c r="E814" s="1">
        <v>45209</v>
      </c>
      <c r="F814">
        <v>42</v>
      </c>
      <c r="G814">
        <v>3.8</v>
      </c>
      <c r="H814">
        <v>2024</v>
      </c>
      <c r="I814" t="s">
        <v>1033</v>
      </c>
      <c r="J814" t="s">
        <v>1034</v>
      </c>
      <c r="K814">
        <v>4</v>
      </c>
    </row>
    <row r="815" spans="1:11" x14ac:dyDescent="0.3">
      <c r="A815" t="s">
        <v>1859</v>
      </c>
      <c r="B815" t="s">
        <v>1028</v>
      </c>
      <c r="C815">
        <v>119</v>
      </c>
      <c r="D815" t="s">
        <v>1038</v>
      </c>
      <c r="E815" s="1">
        <v>45209</v>
      </c>
      <c r="F815">
        <v>111</v>
      </c>
      <c r="G815">
        <v>3.9</v>
      </c>
      <c r="H815">
        <v>2024</v>
      </c>
      <c r="I815" t="s">
        <v>1033</v>
      </c>
      <c r="J815" t="s">
        <v>1019</v>
      </c>
      <c r="K815">
        <v>4</v>
      </c>
    </row>
    <row r="816" spans="1:11" x14ac:dyDescent="0.3">
      <c r="A816" t="s">
        <v>1860</v>
      </c>
      <c r="B816" t="s">
        <v>1026</v>
      </c>
      <c r="C816">
        <v>108</v>
      </c>
      <c r="D816" t="s">
        <v>1042</v>
      </c>
      <c r="E816" s="1">
        <v>45209</v>
      </c>
      <c r="F816">
        <v>68</v>
      </c>
      <c r="G816">
        <v>2.5</v>
      </c>
      <c r="H816">
        <v>2024</v>
      </c>
      <c r="I816" t="s">
        <v>1033</v>
      </c>
      <c r="J816" t="s">
        <v>1019</v>
      </c>
      <c r="K816">
        <v>3</v>
      </c>
    </row>
    <row r="817" spans="1:11" x14ac:dyDescent="0.3">
      <c r="A817" t="s">
        <v>1861</v>
      </c>
      <c r="B817" t="s">
        <v>1078</v>
      </c>
      <c r="C817">
        <v>63</v>
      </c>
      <c r="D817" t="s">
        <v>1017</v>
      </c>
      <c r="E817" s="1">
        <v>45209</v>
      </c>
      <c r="F817">
        <v>172</v>
      </c>
      <c r="G817">
        <v>4.9000000000000004</v>
      </c>
      <c r="H817">
        <v>2024</v>
      </c>
      <c r="I817" t="s">
        <v>1033</v>
      </c>
      <c r="J817" t="s">
        <v>1019</v>
      </c>
      <c r="K817">
        <v>5</v>
      </c>
    </row>
    <row r="818" spans="1:11" x14ac:dyDescent="0.3">
      <c r="A818" t="s">
        <v>1862</v>
      </c>
      <c r="B818" t="s">
        <v>1065</v>
      </c>
      <c r="C818">
        <v>59</v>
      </c>
      <c r="D818" t="s">
        <v>1042</v>
      </c>
      <c r="E818" s="1">
        <v>45209</v>
      </c>
      <c r="F818">
        <v>152</v>
      </c>
      <c r="G818">
        <v>4.8</v>
      </c>
      <c r="H818">
        <v>2024</v>
      </c>
      <c r="I818" t="s">
        <v>1033</v>
      </c>
      <c r="J818" t="s">
        <v>1034</v>
      </c>
      <c r="K818">
        <v>5</v>
      </c>
    </row>
    <row r="819" spans="1:11" x14ac:dyDescent="0.3">
      <c r="A819" t="s">
        <v>1863</v>
      </c>
      <c r="B819" t="s">
        <v>1065</v>
      </c>
      <c r="C819">
        <v>90</v>
      </c>
      <c r="D819" t="s">
        <v>1024</v>
      </c>
      <c r="E819" s="1">
        <v>45209</v>
      </c>
      <c r="F819">
        <v>48</v>
      </c>
      <c r="G819">
        <v>4.7</v>
      </c>
      <c r="H819">
        <v>2024</v>
      </c>
      <c r="I819" t="s">
        <v>1033</v>
      </c>
      <c r="J819" t="s">
        <v>1019</v>
      </c>
      <c r="K819">
        <v>5</v>
      </c>
    </row>
    <row r="820" spans="1:11" x14ac:dyDescent="0.3">
      <c r="A820" t="s">
        <v>1864</v>
      </c>
      <c r="B820" t="s">
        <v>1041</v>
      </c>
      <c r="C820">
        <v>55</v>
      </c>
      <c r="D820" t="s">
        <v>1024</v>
      </c>
      <c r="E820" s="1">
        <v>45209</v>
      </c>
      <c r="F820">
        <v>25</v>
      </c>
      <c r="G820">
        <v>4.7</v>
      </c>
      <c r="H820">
        <v>2024</v>
      </c>
      <c r="I820" t="s">
        <v>1033</v>
      </c>
      <c r="J820" t="s">
        <v>1034</v>
      </c>
      <c r="K820">
        <v>5</v>
      </c>
    </row>
    <row r="821" spans="1:11" x14ac:dyDescent="0.3">
      <c r="A821" t="s">
        <v>1865</v>
      </c>
      <c r="B821" t="s">
        <v>1026</v>
      </c>
      <c r="C821">
        <v>84</v>
      </c>
      <c r="D821" t="s">
        <v>1038</v>
      </c>
      <c r="E821" s="1">
        <v>45210</v>
      </c>
      <c r="F821">
        <v>54</v>
      </c>
      <c r="G821">
        <v>3.3</v>
      </c>
      <c r="H821">
        <v>2024</v>
      </c>
      <c r="I821" t="s">
        <v>1048</v>
      </c>
      <c r="J821" t="s">
        <v>1019</v>
      </c>
      <c r="K821">
        <v>3</v>
      </c>
    </row>
    <row r="822" spans="1:11" x14ac:dyDescent="0.3">
      <c r="A822" t="s">
        <v>1866</v>
      </c>
      <c r="B822" t="s">
        <v>1026</v>
      </c>
      <c r="C822">
        <v>150</v>
      </c>
      <c r="D822" t="s">
        <v>1029</v>
      </c>
      <c r="E822" s="1">
        <v>45210</v>
      </c>
      <c r="F822">
        <v>108</v>
      </c>
      <c r="G822">
        <v>4.7</v>
      </c>
      <c r="H822">
        <v>2024</v>
      </c>
      <c r="I822" t="s">
        <v>1048</v>
      </c>
      <c r="J822" t="s">
        <v>1031</v>
      </c>
      <c r="K822">
        <v>5</v>
      </c>
    </row>
    <row r="823" spans="1:11" x14ac:dyDescent="0.3">
      <c r="A823" t="s">
        <v>1867</v>
      </c>
      <c r="B823" t="s">
        <v>1098</v>
      </c>
      <c r="C823">
        <v>69</v>
      </c>
      <c r="D823" t="s">
        <v>1042</v>
      </c>
      <c r="E823" s="1">
        <v>45210</v>
      </c>
      <c r="F823">
        <v>36</v>
      </c>
      <c r="G823">
        <v>4.5</v>
      </c>
      <c r="H823">
        <v>2024</v>
      </c>
      <c r="I823" t="s">
        <v>1048</v>
      </c>
      <c r="J823" t="s">
        <v>1019</v>
      </c>
      <c r="K823">
        <v>5</v>
      </c>
    </row>
    <row r="824" spans="1:11" x14ac:dyDescent="0.3">
      <c r="A824" t="s">
        <v>1868</v>
      </c>
      <c r="B824" t="s">
        <v>1016</v>
      </c>
      <c r="C824">
        <v>120</v>
      </c>
      <c r="D824" t="s">
        <v>1024</v>
      </c>
      <c r="E824" s="1">
        <v>45211</v>
      </c>
      <c r="F824">
        <v>140</v>
      </c>
      <c r="G824">
        <v>4.5999999999999996</v>
      </c>
      <c r="H824">
        <v>2024</v>
      </c>
      <c r="I824" t="s">
        <v>1052</v>
      </c>
      <c r="J824" t="s">
        <v>1019</v>
      </c>
      <c r="K824">
        <v>5</v>
      </c>
    </row>
    <row r="825" spans="1:11" x14ac:dyDescent="0.3">
      <c r="A825" t="s">
        <v>1869</v>
      </c>
      <c r="B825" t="s">
        <v>1023</v>
      </c>
      <c r="C825">
        <v>126</v>
      </c>
      <c r="D825" t="s">
        <v>1038</v>
      </c>
      <c r="E825" s="1">
        <v>45211</v>
      </c>
      <c r="F825">
        <v>50</v>
      </c>
      <c r="G825">
        <v>4.8</v>
      </c>
      <c r="H825">
        <v>2024</v>
      </c>
      <c r="I825" t="s">
        <v>1052</v>
      </c>
      <c r="J825" t="s">
        <v>1031</v>
      </c>
      <c r="K825">
        <v>5</v>
      </c>
    </row>
    <row r="826" spans="1:11" x14ac:dyDescent="0.3">
      <c r="A826" t="s">
        <v>1870</v>
      </c>
      <c r="B826" t="s">
        <v>1098</v>
      </c>
      <c r="C826">
        <v>120</v>
      </c>
      <c r="D826" t="s">
        <v>1017</v>
      </c>
      <c r="E826" s="1">
        <v>45211</v>
      </c>
      <c r="F826">
        <v>195</v>
      </c>
      <c r="G826">
        <v>4.3</v>
      </c>
      <c r="H826">
        <v>2024</v>
      </c>
      <c r="I826" t="s">
        <v>1052</v>
      </c>
      <c r="J826" t="s">
        <v>1019</v>
      </c>
      <c r="K826">
        <v>4</v>
      </c>
    </row>
    <row r="827" spans="1:11" x14ac:dyDescent="0.3">
      <c r="A827" t="s">
        <v>1871</v>
      </c>
      <c r="B827" t="s">
        <v>1023</v>
      </c>
      <c r="C827">
        <v>139</v>
      </c>
      <c r="D827" t="s">
        <v>1024</v>
      </c>
      <c r="E827" s="1">
        <v>45212</v>
      </c>
      <c r="F827">
        <v>48</v>
      </c>
      <c r="G827">
        <v>4.7</v>
      </c>
      <c r="H827">
        <v>2024</v>
      </c>
      <c r="I827" t="s">
        <v>411</v>
      </c>
      <c r="J827" t="s">
        <v>1031</v>
      </c>
      <c r="K827">
        <v>5</v>
      </c>
    </row>
    <row r="828" spans="1:11" x14ac:dyDescent="0.3">
      <c r="A828" t="s">
        <v>1872</v>
      </c>
      <c r="B828" t="s">
        <v>1041</v>
      </c>
      <c r="C828">
        <v>124</v>
      </c>
      <c r="D828" t="s">
        <v>1042</v>
      </c>
      <c r="E828" s="1">
        <v>45213</v>
      </c>
      <c r="F828">
        <v>29</v>
      </c>
      <c r="G828">
        <v>4.8</v>
      </c>
      <c r="H828">
        <v>2024</v>
      </c>
      <c r="I828" t="s">
        <v>1062</v>
      </c>
      <c r="J828" t="s">
        <v>1031</v>
      </c>
      <c r="K828">
        <v>5</v>
      </c>
    </row>
    <row r="829" spans="1:11" x14ac:dyDescent="0.3">
      <c r="A829" t="s">
        <v>1873</v>
      </c>
      <c r="B829" t="s">
        <v>1016</v>
      </c>
      <c r="C829">
        <v>108</v>
      </c>
      <c r="D829" t="s">
        <v>1017</v>
      </c>
      <c r="E829" s="1">
        <v>45213</v>
      </c>
      <c r="F829">
        <v>44</v>
      </c>
      <c r="G829">
        <v>4.7</v>
      </c>
      <c r="H829">
        <v>2024</v>
      </c>
      <c r="I829" t="s">
        <v>1062</v>
      </c>
      <c r="J829" t="s">
        <v>1019</v>
      </c>
      <c r="K829">
        <v>5</v>
      </c>
    </row>
    <row r="830" spans="1:11" x14ac:dyDescent="0.3">
      <c r="A830" t="s">
        <v>1874</v>
      </c>
      <c r="B830" t="s">
        <v>1021</v>
      </c>
      <c r="C830">
        <v>132</v>
      </c>
      <c r="D830" t="s">
        <v>1029</v>
      </c>
      <c r="E830" s="1">
        <v>45213</v>
      </c>
      <c r="F830">
        <v>140</v>
      </c>
      <c r="G830">
        <v>4.3</v>
      </c>
      <c r="H830">
        <v>2024</v>
      </c>
      <c r="I830" t="s">
        <v>1062</v>
      </c>
      <c r="J830" t="s">
        <v>1031</v>
      </c>
      <c r="K830">
        <v>4</v>
      </c>
    </row>
    <row r="831" spans="1:11" x14ac:dyDescent="0.3">
      <c r="A831" t="s">
        <v>1875</v>
      </c>
      <c r="B831" t="s">
        <v>1078</v>
      </c>
      <c r="C831">
        <v>67</v>
      </c>
      <c r="D831" t="s">
        <v>1029</v>
      </c>
      <c r="E831" s="1">
        <v>45213</v>
      </c>
      <c r="F831">
        <v>105</v>
      </c>
      <c r="G831">
        <v>3.8</v>
      </c>
      <c r="H831">
        <v>2024</v>
      </c>
      <c r="I831" t="s">
        <v>1062</v>
      </c>
      <c r="J831" t="s">
        <v>1019</v>
      </c>
      <c r="K831">
        <v>4</v>
      </c>
    </row>
    <row r="832" spans="1:11" x14ac:dyDescent="0.3">
      <c r="A832" t="s">
        <v>1876</v>
      </c>
      <c r="B832" t="s">
        <v>1036</v>
      </c>
      <c r="C832">
        <v>125</v>
      </c>
      <c r="D832" t="s">
        <v>1029</v>
      </c>
      <c r="E832" s="1">
        <v>45213</v>
      </c>
      <c r="F832">
        <v>82</v>
      </c>
      <c r="G832">
        <v>4.5999999999999996</v>
      </c>
      <c r="H832">
        <v>2024</v>
      </c>
      <c r="I832" t="s">
        <v>1062</v>
      </c>
      <c r="J832" t="s">
        <v>1031</v>
      </c>
      <c r="K832">
        <v>5</v>
      </c>
    </row>
    <row r="833" spans="1:11" x14ac:dyDescent="0.3">
      <c r="A833" t="s">
        <v>1877</v>
      </c>
      <c r="B833" t="s">
        <v>1016</v>
      </c>
      <c r="C833">
        <v>23</v>
      </c>
      <c r="D833" t="s">
        <v>1017</v>
      </c>
      <c r="E833" s="1">
        <v>45213</v>
      </c>
      <c r="F833">
        <v>24</v>
      </c>
      <c r="G833">
        <v>2.9</v>
      </c>
      <c r="H833">
        <v>2024</v>
      </c>
      <c r="I833" t="s">
        <v>1062</v>
      </c>
      <c r="J833" t="s">
        <v>1056</v>
      </c>
      <c r="K833">
        <v>3</v>
      </c>
    </row>
    <row r="834" spans="1:11" x14ac:dyDescent="0.3">
      <c r="A834" t="s">
        <v>1878</v>
      </c>
      <c r="B834" t="s">
        <v>1028</v>
      </c>
      <c r="C834">
        <v>131</v>
      </c>
      <c r="D834" t="s">
        <v>1042</v>
      </c>
      <c r="E834" s="1">
        <v>45214</v>
      </c>
      <c r="F834">
        <v>205</v>
      </c>
      <c r="G834">
        <v>4.8</v>
      </c>
      <c r="H834">
        <v>2024</v>
      </c>
      <c r="I834" t="s">
        <v>1018</v>
      </c>
      <c r="J834" t="s">
        <v>1031</v>
      </c>
      <c r="K834">
        <v>5</v>
      </c>
    </row>
    <row r="835" spans="1:11" x14ac:dyDescent="0.3">
      <c r="A835" t="s">
        <v>1879</v>
      </c>
      <c r="B835" t="s">
        <v>1021</v>
      </c>
      <c r="C835">
        <v>56</v>
      </c>
      <c r="D835" t="s">
        <v>1024</v>
      </c>
      <c r="E835" s="1">
        <v>45214</v>
      </c>
      <c r="F835">
        <v>225</v>
      </c>
      <c r="G835">
        <v>4.9000000000000004</v>
      </c>
      <c r="H835">
        <v>2024</v>
      </c>
      <c r="I835" t="s">
        <v>1018</v>
      </c>
      <c r="J835" t="s">
        <v>1034</v>
      </c>
      <c r="K835">
        <v>5</v>
      </c>
    </row>
    <row r="836" spans="1:11" x14ac:dyDescent="0.3">
      <c r="A836" t="s">
        <v>1880</v>
      </c>
      <c r="B836" t="s">
        <v>1028</v>
      </c>
      <c r="C836">
        <v>70</v>
      </c>
      <c r="D836" t="s">
        <v>1042</v>
      </c>
      <c r="E836" s="1">
        <v>45214</v>
      </c>
      <c r="F836">
        <v>50</v>
      </c>
      <c r="G836">
        <v>3.4</v>
      </c>
      <c r="H836">
        <v>2024</v>
      </c>
      <c r="I836" t="s">
        <v>1018</v>
      </c>
      <c r="J836" t="s">
        <v>1019</v>
      </c>
      <c r="K836">
        <v>3</v>
      </c>
    </row>
    <row r="837" spans="1:11" x14ac:dyDescent="0.3">
      <c r="A837" t="s">
        <v>1881</v>
      </c>
      <c r="B837" t="s">
        <v>1028</v>
      </c>
      <c r="C837">
        <v>55</v>
      </c>
      <c r="D837" t="s">
        <v>1029</v>
      </c>
      <c r="E837" s="1">
        <v>45214</v>
      </c>
      <c r="F837">
        <v>80</v>
      </c>
      <c r="G837">
        <v>4.3</v>
      </c>
      <c r="H837">
        <v>2024</v>
      </c>
      <c r="I837" t="s">
        <v>1018</v>
      </c>
      <c r="J837" t="s">
        <v>1034</v>
      </c>
      <c r="K837">
        <v>4</v>
      </c>
    </row>
    <row r="838" spans="1:11" x14ac:dyDescent="0.3">
      <c r="A838" t="s">
        <v>1882</v>
      </c>
      <c r="B838" t="s">
        <v>1036</v>
      </c>
      <c r="C838">
        <v>77</v>
      </c>
      <c r="D838" t="s">
        <v>1024</v>
      </c>
      <c r="E838" s="1">
        <v>45214</v>
      </c>
      <c r="F838">
        <v>78</v>
      </c>
      <c r="G838">
        <v>3.9</v>
      </c>
      <c r="H838">
        <v>2024</v>
      </c>
      <c r="I838" t="s">
        <v>1018</v>
      </c>
      <c r="J838" t="s">
        <v>1019</v>
      </c>
      <c r="K838">
        <v>4</v>
      </c>
    </row>
    <row r="839" spans="1:11" x14ac:dyDescent="0.3">
      <c r="A839" t="s">
        <v>1883</v>
      </c>
      <c r="B839" t="s">
        <v>1026</v>
      </c>
      <c r="C839">
        <v>133</v>
      </c>
      <c r="D839" t="s">
        <v>1042</v>
      </c>
      <c r="E839" s="1">
        <v>45215</v>
      </c>
      <c r="F839">
        <v>40</v>
      </c>
      <c r="G839">
        <v>3.9</v>
      </c>
      <c r="H839">
        <v>2024</v>
      </c>
      <c r="I839" t="s">
        <v>1030</v>
      </c>
      <c r="J839" t="s">
        <v>1031</v>
      </c>
      <c r="K839">
        <v>4</v>
      </c>
    </row>
    <row r="840" spans="1:11" x14ac:dyDescent="0.3">
      <c r="A840" t="s">
        <v>1884</v>
      </c>
      <c r="B840" t="s">
        <v>1036</v>
      </c>
      <c r="C840">
        <v>77</v>
      </c>
      <c r="D840" t="s">
        <v>1024</v>
      </c>
      <c r="E840" s="1">
        <v>45215</v>
      </c>
      <c r="F840">
        <v>176</v>
      </c>
      <c r="G840">
        <v>1.5</v>
      </c>
      <c r="H840">
        <v>2024</v>
      </c>
      <c r="I840" t="s">
        <v>1030</v>
      </c>
      <c r="J840" t="s">
        <v>1019</v>
      </c>
      <c r="K840">
        <v>2</v>
      </c>
    </row>
    <row r="841" spans="1:11" x14ac:dyDescent="0.3">
      <c r="A841" t="s">
        <v>1885</v>
      </c>
      <c r="B841" t="s">
        <v>1065</v>
      </c>
      <c r="C841">
        <v>103</v>
      </c>
      <c r="D841" t="s">
        <v>1042</v>
      </c>
      <c r="E841" s="1">
        <v>45215</v>
      </c>
      <c r="F841">
        <v>78</v>
      </c>
      <c r="G841">
        <v>3</v>
      </c>
      <c r="H841">
        <v>2024</v>
      </c>
      <c r="I841" t="s">
        <v>1030</v>
      </c>
      <c r="J841" t="s">
        <v>1019</v>
      </c>
      <c r="K841">
        <v>3</v>
      </c>
    </row>
    <row r="842" spans="1:11" x14ac:dyDescent="0.3">
      <c r="A842" t="s">
        <v>1886</v>
      </c>
      <c r="B842" t="s">
        <v>1098</v>
      </c>
      <c r="C842">
        <v>32</v>
      </c>
      <c r="D842" t="s">
        <v>1024</v>
      </c>
      <c r="E842" s="1">
        <v>45215</v>
      </c>
      <c r="F842">
        <v>42</v>
      </c>
      <c r="G842">
        <v>4.2</v>
      </c>
      <c r="H842">
        <v>2024</v>
      </c>
      <c r="I842" t="s">
        <v>1030</v>
      </c>
      <c r="J842" t="s">
        <v>1034</v>
      </c>
      <c r="K842">
        <v>4</v>
      </c>
    </row>
    <row r="843" spans="1:11" x14ac:dyDescent="0.3">
      <c r="A843" t="s">
        <v>1887</v>
      </c>
      <c r="B843" t="s">
        <v>1026</v>
      </c>
      <c r="C843">
        <v>30</v>
      </c>
      <c r="D843" t="s">
        <v>1042</v>
      </c>
      <c r="E843" s="1">
        <v>45215</v>
      </c>
      <c r="F843">
        <v>38</v>
      </c>
      <c r="G843">
        <v>3.7</v>
      </c>
      <c r="H843">
        <v>2024</v>
      </c>
      <c r="I843" t="s">
        <v>1030</v>
      </c>
      <c r="J843" t="s">
        <v>1056</v>
      </c>
      <c r="K843">
        <v>4</v>
      </c>
    </row>
    <row r="844" spans="1:11" x14ac:dyDescent="0.3">
      <c r="A844" t="s">
        <v>1888</v>
      </c>
      <c r="B844" t="s">
        <v>1023</v>
      </c>
      <c r="C844">
        <v>87</v>
      </c>
      <c r="D844" t="s">
        <v>1038</v>
      </c>
      <c r="E844" s="1">
        <v>45215</v>
      </c>
      <c r="F844">
        <v>27</v>
      </c>
      <c r="G844">
        <v>4.2</v>
      </c>
      <c r="H844">
        <v>2024</v>
      </c>
      <c r="I844" t="s">
        <v>1030</v>
      </c>
      <c r="J844" t="s">
        <v>1019</v>
      </c>
      <c r="K844">
        <v>4</v>
      </c>
    </row>
    <row r="845" spans="1:11" x14ac:dyDescent="0.3">
      <c r="A845" t="s">
        <v>1889</v>
      </c>
      <c r="B845" t="s">
        <v>1036</v>
      </c>
      <c r="C845">
        <v>137</v>
      </c>
      <c r="D845" t="s">
        <v>1017</v>
      </c>
      <c r="E845" s="1">
        <v>45216</v>
      </c>
      <c r="F845">
        <v>45</v>
      </c>
      <c r="G845">
        <v>4.4000000000000004</v>
      </c>
      <c r="H845">
        <v>2024</v>
      </c>
      <c r="I845" t="s">
        <v>1033</v>
      </c>
      <c r="J845" t="s">
        <v>1031</v>
      </c>
      <c r="K845">
        <v>4</v>
      </c>
    </row>
    <row r="846" spans="1:11" x14ac:dyDescent="0.3">
      <c r="A846" t="s">
        <v>1890</v>
      </c>
      <c r="B846" t="s">
        <v>1045</v>
      </c>
      <c r="C846">
        <v>96</v>
      </c>
      <c r="D846" t="s">
        <v>1042</v>
      </c>
      <c r="E846" s="1">
        <v>45216</v>
      </c>
      <c r="F846">
        <v>215</v>
      </c>
      <c r="G846">
        <v>4</v>
      </c>
      <c r="H846">
        <v>2024</v>
      </c>
      <c r="I846" t="s">
        <v>1033</v>
      </c>
      <c r="J846" t="s">
        <v>1019</v>
      </c>
      <c r="K846">
        <v>4</v>
      </c>
    </row>
    <row r="847" spans="1:11" x14ac:dyDescent="0.3">
      <c r="A847" t="s">
        <v>1891</v>
      </c>
      <c r="B847" t="s">
        <v>1041</v>
      </c>
      <c r="C847">
        <v>155</v>
      </c>
      <c r="D847" t="s">
        <v>1042</v>
      </c>
      <c r="E847" s="1">
        <v>45217</v>
      </c>
      <c r="F847">
        <v>72</v>
      </c>
      <c r="G847">
        <v>4.7</v>
      </c>
      <c r="H847">
        <v>2024</v>
      </c>
      <c r="I847" t="s">
        <v>1048</v>
      </c>
      <c r="J847" t="s">
        <v>1031</v>
      </c>
      <c r="K847">
        <v>5</v>
      </c>
    </row>
    <row r="848" spans="1:11" x14ac:dyDescent="0.3">
      <c r="A848" t="s">
        <v>1892</v>
      </c>
      <c r="B848" t="s">
        <v>1026</v>
      </c>
      <c r="C848">
        <v>173</v>
      </c>
      <c r="D848" t="s">
        <v>1029</v>
      </c>
      <c r="E848" s="1">
        <v>45217</v>
      </c>
      <c r="F848">
        <v>160</v>
      </c>
      <c r="G848">
        <v>2.8</v>
      </c>
      <c r="H848">
        <v>2024</v>
      </c>
      <c r="I848" t="s">
        <v>1048</v>
      </c>
      <c r="J848" t="s">
        <v>1031</v>
      </c>
      <c r="K848">
        <v>3</v>
      </c>
    </row>
    <row r="849" spans="1:11" x14ac:dyDescent="0.3">
      <c r="A849" t="s">
        <v>1893</v>
      </c>
      <c r="B849" t="s">
        <v>1041</v>
      </c>
      <c r="C849">
        <v>127</v>
      </c>
      <c r="D849" t="s">
        <v>1042</v>
      </c>
      <c r="E849" s="1">
        <v>45217</v>
      </c>
      <c r="F849">
        <v>165</v>
      </c>
      <c r="G849">
        <v>2.5</v>
      </c>
      <c r="H849">
        <v>2024</v>
      </c>
      <c r="I849" t="s">
        <v>1048</v>
      </c>
      <c r="J849" t="s">
        <v>1031</v>
      </c>
      <c r="K849">
        <v>3</v>
      </c>
    </row>
    <row r="850" spans="1:11" x14ac:dyDescent="0.3">
      <c r="A850" t="s">
        <v>1894</v>
      </c>
      <c r="B850" t="s">
        <v>1021</v>
      </c>
      <c r="C850">
        <v>117</v>
      </c>
      <c r="D850" t="s">
        <v>1029</v>
      </c>
      <c r="E850" s="1">
        <v>45217</v>
      </c>
      <c r="F850">
        <v>120</v>
      </c>
      <c r="G850">
        <v>3.4</v>
      </c>
      <c r="H850">
        <v>2024</v>
      </c>
      <c r="I850" t="s">
        <v>1048</v>
      </c>
      <c r="J850" t="s">
        <v>1019</v>
      </c>
      <c r="K850">
        <v>3</v>
      </c>
    </row>
    <row r="851" spans="1:11" x14ac:dyDescent="0.3">
      <c r="A851" t="s">
        <v>1895</v>
      </c>
      <c r="B851" t="s">
        <v>1016</v>
      </c>
      <c r="C851">
        <v>133</v>
      </c>
      <c r="D851" t="s">
        <v>1024</v>
      </c>
      <c r="E851" s="1">
        <v>45217</v>
      </c>
      <c r="F851">
        <v>117</v>
      </c>
      <c r="G851">
        <v>4.8</v>
      </c>
      <c r="H851">
        <v>2024</v>
      </c>
      <c r="I851" t="s">
        <v>1048</v>
      </c>
      <c r="J851" t="s">
        <v>1031</v>
      </c>
      <c r="K851">
        <v>5</v>
      </c>
    </row>
    <row r="852" spans="1:11" x14ac:dyDescent="0.3">
      <c r="A852" t="s">
        <v>1896</v>
      </c>
      <c r="B852" t="s">
        <v>1047</v>
      </c>
      <c r="C852">
        <v>166</v>
      </c>
      <c r="D852" t="s">
        <v>1038</v>
      </c>
      <c r="E852" s="1">
        <v>45218</v>
      </c>
      <c r="F852">
        <v>29</v>
      </c>
      <c r="G852">
        <v>4.3</v>
      </c>
      <c r="H852">
        <v>2024</v>
      </c>
      <c r="I852" t="s">
        <v>1052</v>
      </c>
      <c r="J852" t="s">
        <v>1031</v>
      </c>
      <c r="K852">
        <v>4</v>
      </c>
    </row>
    <row r="853" spans="1:11" x14ac:dyDescent="0.3">
      <c r="A853" t="s">
        <v>1897</v>
      </c>
      <c r="B853" t="s">
        <v>1016</v>
      </c>
      <c r="C853">
        <v>50</v>
      </c>
      <c r="D853" t="s">
        <v>1029</v>
      </c>
      <c r="E853" s="1">
        <v>45218</v>
      </c>
      <c r="F853">
        <v>64</v>
      </c>
      <c r="G853">
        <v>4.5</v>
      </c>
      <c r="H853">
        <v>2024</v>
      </c>
      <c r="I853" t="s">
        <v>1052</v>
      </c>
      <c r="J853" t="s">
        <v>1034</v>
      </c>
      <c r="K853">
        <v>5</v>
      </c>
    </row>
    <row r="854" spans="1:11" x14ac:dyDescent="0.3">
      <c r="A854" t="s">
        <v>1898</v>
      </c>
      <c r="B854" t="s">
        <v>1065</v>
      </c>
      <c r="C854">
        <v>43</v>
      </c>
      <c r="D854" t="s">
        <v>1024</v>
      </c>
      <c r="E854" s="1">
        <v>45218</v>
      </c>
      <c r="F854">
        <v>84</v>
      </c>
      <c r="G854">
        <v>3.6</v>
      </c>
      <c r="H854">
        <v>2024</v>
      </c>
      <c r="I854" t="s">
        <v>1052</v>
      </c>
      <c r="J854" t="s">
        <v>1034</v>
      </c>
      <c r="K854">
        <v>4</v>
      </c>
    </row>
    <row r="855" spans="1:11" x14ac:dyDescent="0.3">
      <c r="A855" t="s">
        <v>1899</v>
      </c>
      <c r="B855" t="s">
        <v>1045</v>
      </c>
      <c r="C855">
        <v>124</v>
      </c>
      <c r="D855" t="s">
        <v>1042</v>
      </c>
      <c r="E855" s="1">
        <v>45218</v>
      </c>
      <c r="F855">
        <v>42</v>
      </c>
      <c r="G855">
        <v>3.7</v>
      </c>
      <c r="H855">
        <v>2024</v>
      </c>
      <c r="I855" t="s">
        <v>1052</v>
      </c>
      <c r="J855" t="s">
        <v>1031</v>
      </c>
      <c r="K855">
        <v>4</v>
      </c>
    </row>
    <row r="856" spans="1:11" x14ac:dyDescent="0.3">
      <c r="A856" t="s">
        <v>1900</v>
      </c>
      <c r="B856" t="s">
        <v>1026</v>
      </c>
      <c r="C856">
        <v>94</v>
      </c>
      <c r="D856" t="s">
        <v>1042</v>
      </c>
      <c r="E856" s="1">
        <v>45218</v>
      </c>
      <c r="F856">
        <v>120</v>
      </c>
      <c r="G856">
        <v>3.5</v>
      </c>
      <c r="H856">
        <v>2024</v>
      </c>
      <c r="I856" t="s">
        <v>1052</v>
      </c>
      <c r="J856" t="s">
        <v>1019</v>
      </c>
      <c r="K856">
        <v>4</v>
      </c>
    </row>
    <row r="857" spans="1:11" x14ac:dyDescent="0.3">
      <c r="A857" t="s">
        <v>1901</v>
      </c>
      <c r="B857" t="s">
        <v>1065</v>
      </c>
      <c r="C857">
        <v>126</v>
      </c>
      <c r="D857" t="s">
        <v>1038</v>
      </c>
      <c r="E857" s="1">
        <v>45219</v>
      </c>
      <c r="F857">
        <v>80</v>
      </c>
      <c r="G857">
        <v>4.7</v>
      </c>
      <c r="H857">
        <v>2024</v>
      </c>
      <c r="I857" t="s">
        <v>411</v>
      </c>
      <c r="J857" t="s">
        <v>1031</v>
      </c>
      <c r="K857">
        <v>5</v>
      </c>
    </row>
    <row r="858" spans="1:11" x14ac:dyDescent="0.3">
      <c r="A858" t="s">
        <v>1902</v>
      </c>
      <c r="B858" t="s">
        <v>1047</v>
      </c>
      <c r="C858">
        <v>105</v>
      </c>
      <c r="D858" t="s">
        <v>1029</v>
      </c>
      <c r="E858" s="1">
        <v>45219</v>
      </c>
      <c r="F858">
        <v>185</v>
      </c>
      <c r="G858">
        <v>3.5</v>
      </c>
      <c r="H858">
        <v>2024</v>
      </c>
      <c r="I858" t="s">
        <v>411</v>
      </c>
      <c r="J858" t="s">
        <v>1019</v>
      </c>
      <c r="K858">
        <v>4</v>
      </c>
    </row>
    <row r="859" spans="1:11" x14ac:dyDescent="0.3">
      <c r="A859" t="s">
        <v>1903</v>
      </c>
      <c r="B859" t="s">
        <v>1028</v>
      </c>
      <c r="C859">
        <v>60</v>
      </c>
      <c r="D859" t="s">
        <v>1017</v>
      </c>
      <c r="E859" s="1">
        <v>45220</v>
      </c>
      <c r="F859">
        <v>135</v>
      </c>
      <c r="G859">
        <v>3.9</v>
      </c>
      <c r="H859">
        <v>2024</v>
      </c>
      <c r="I859" t="s">
        <v>1062</v>
      </c>
      <c r="J859" t="s">
        <v>1034</v>
      </c>
      <c r="K859">
        <v>4</v>
      </c>
    </row>
    <row r="860" spans="1:11" x14ac:dyDescent="0.3">
      <c r="A860" t="s">
        <v>1904</v>
      </c>
      <c r="B860" t="s">
        <v>1028</v>
      </c>
      <c r="C860">
        <v>72</v>
      </c>
      <c r="D860" t="s">
        <v>1029</v>
      </c>
      <c r="E860" s="1">
        <v>45220</v>
      </c>
      <c r="F860">
        <v>20</v>
      </c>
      <c r="G860">
        <v>4.8</v>
      </c>
      <c r="H860">
        <v>2024</v>
      </c>
      <c r="I860" t="s">
        <v>1062</v>
      </c>
      <c r="J860" t="s">
        <v>1019</v>
      </c>
      <c r="K860">
        <v>5</v>
      </c>
    </row>
    <row r="861" spans="1:11" x14ac:dyDescent="0.3">
      <c r="A861" t="s">
        <v>1905</v>
      </c>
      <c r="B861" t="s">
        <v>1068</v>
      </c>
      <c r="C861">
        <v>40</v>
      </c>
      <c r="D861" t="s">
        <v>1029</v>
      </c>
      <c r="E861" s="1">
        <v>45220</v>
      </c>
      <c r="F861">
        <v>31</v>
      </c>
      <c r="G861">
        <v>4</v>
      </c>
      <c r="H861">
        <v>2024</v>
      </c>
      <c r="I861" t="s">
        <v>1062</v>
      </c>
      <c r="J861" t="s">
        <v>1034</v>
      </c>
      <c r="K861">
        <v>4</v>
      </c>
    </row>
    <row r="862" spans="1:11" x14ac:dyDescent="0.3">
      <c r="A862" t="s">
        <v>1906</v>
      </c>
      <c r="B862" t="s">
        <v>1098</v>
      </c>
      <c r="C862">
        <v>54</v>
      </c>
      <c r="D862" t="s">
        <v>1038</v>
      </c>
      <c r="E862" s="1">
        <v>45221</v>
      </c>
      <c r="F862">
        <v>120</v>
      </c>
      <c r="G862">
        <v>4.7</v>
      </c>
      <c r="H862">
        <v>2024</v>
      </c>
      <c r="I862" t="s">
        <v>1018</v>
      </c>
      <c r="J862" t="s">
        <v>1034</v>
      </c>
      <c r="K862">
        <v>5</v>
      </c>
    </row>
    <row r="863" spans="1:11" x14ac:dyDescent="0.3">
      <c r="A863" t="s">
        <v>1907</v>
      </c>
      <c r="B863" t="s">
        <v>1021</v>
      </c>
      <c r="C863">
        <v>81</v>
      </c>
      <c r="D863" t="s">
        <v>1024</v>
      </c>
      <c r="E863" s="1">
        <v>45221</v>
      </c>
      <c r="F863">
        <v>117</v>
      </c>
      <c r="G863">
        <v>3.6</v>
      </c>
      <c r="H863">
        <v>2024</v>
      </c>
      <c r="I863" t="s">
        <v>1018</v>
      </c>
      <c r="J863" t="s">
        <v>1019</v>
      </c>
      <c r="K863">
        <v>4</v>
      </c>
    </row>
    <row r="864" spans="1:11" x14ac:dyDescent="0.3">
      <c r="A864" t="s">
        <v>1908</v>
      </c>
      <c r="B864" t="s">
        <v>1098</v>
      </c>
      <c r="C864">
        <v>76</v>
      </c>
      <c r="D864" t="s">
        <v>1042</v>
      </c>
      <c r="E864" s="1">
        <v>45221</v>
      </c>
      <c r="F864">
        <v>80</v>
      </c>
      <c r="G864">
        <v>4.5</v>
      </c>
      <c r="H864">
        <v>2024</v>
      </c>
      <c r="I864" t="s">
        <v>1018</v>
      </c>
      <c r="J864" t="s">
        <v>1019</v>
      </c>
      <c r="K864">
        <v>5</v>
      </c>
    </row>
    <row r="865" spans="1:11" x14ac:dyDescent="0.3">
      <c r="A865" t="s">
        <v>1909</v>
      </c>
      <c r="B865" t="s">
        <v>1098</v>
      </c>
      <c r="C865">
        <v>37</v>
      </c>
      <c r="D865" t="s">
        <v>1017</v>
      </c>
      <c r="E865" s="1">
        <v>45222</v>
      </c>
      <c r="F865">
        <v>117</v>
      </c>
      <c r="G865">
        <v>4</v>
      </c>
      <c r="H865">
        <v>2024</v>
      </c>
      <c r="I865" t="s">
        <v>1030</v>
      </c>
      <c r="J865" t="s">
        <v>1034</v>
      </c>
      <c r="K865">
        <v>4</v>
      </c>
    </row>
    <row r="866" spans="1:11" x14ac:dyDescent="0.3">
      <c r="A866" t="s">
        <v>1910</v>
      </c>
      <c r="B866" t="s">
        <v>1047</v>
      </c>
      <c r="C866">
        <v>96</v>
      </c>
      <c r="D866" t="s">
        <v>1038</v>
      </c>
      <c r="E866" s="1">
        <v>45222</v>
      </c>
      <c r="F866">
        <v>60</v>
      </c>
      <c r="G866">
        <v>4.5</v>
      </c>
      <c r="H866">
        <v>2024</v>
      </c>
      <c r="I866" t="s">
        <v>1030</v>
      </c>
      <c r="J866" t="s">
        <v>1019</v>
      </c>
      <c r="K866">
        <v>5</v>
      </c>
    </row>
    <row r="867" spans="1:11" x14ac:dyDescent="0.3">
      <c r="A867" t="s">
        <v>1911</v>
      </c>
      <c r="B867" t="s">
        <v>1028</v>
      </c>
      <c r="C867">
        <v>19</v>
      </c>
      <c r="D867" t="s">
        <v>1042</v>
      </c>
      <c r="E867" s="1">
        <v>45223</v>
      </c>
      <c r="F867">
        <v>58</v>
      </c>
      <c r="G867">
        <v>3.9</v>
      </c>
      <c r="H867">
        <v>2024</v>
      </c>
      <c r="I867" t="s">
        <v>1033</v>
      </c>
      <c r="J867" t="s">
        <v>1056</v>
      </c>
      <c r="K867">
        <v>4</v>
      </c>
    </row>
    <row r="868" spans="1:11" x14ac:dyDescent="0.3">
      <c r="A868" t="s">
        <v>1912</v>
      </c>
      <c r="B868" t="s">
        <v>1068</v>
      </c>
      <c r="C868">
        <v>72</v>
      </c>
      <c r="D868" t="s">
        <v>1017</v>
      </c>
      <c r="E868" s="1">
        <v>45223</v>
      </c>
      <c r="F868">
        <v>41</v>
      </c>
      <c r="G868">
        <v>4.3</v>
      </c>
      <c r="H868">
        <v>2024</v>
      </c>
      <c r="I868" t="s">
        <v>1033</v>
      </c>
      <c r="J868" t="s">
        <v>1019</v>
      </c>
      <c r="K868">
        <v>4</v>
      </c>
    </row>
    <row r="869" spans="1:11" x14ac:dyDescent="0.3">
      <c r="A869" t="s">
        <v>1913</v>
      </c>
      <c r="B869" t="s">
        <v>1026</v>
      </c>
      <c r="C869">
        <v>73</v>
      </c>
      <c r="D869" t="s">
        <v>1024</v>
      </c>
      <c r="E869" s="1">
        <v>45223</v>
      </c>
      <c r="F869">
        <v>180</v>
      </c>
      <c r="G869">
        <v>3.6</v>
      </c>
      <c r="H869">
        <v>2024</v>
      </c>
      <c r="I869" t="s">
        <v>1033</v>
      </c>
      <c r="J869" t="s">
        <v>1019</v>
      </c>
      <c r="K869">
        <v>4</v>
      </c>
    </row>
    <row r="870" spans="1:11" x14ac:dyDescent="0.3">
      <c r="A870" t="s">
        <v>1914</v>
      </c>
      <c r="B870" t="s">
        <v>1078</v>
      </c>
      <c r="C870">
        <v>87</v>
      </c>
      <c r="D870" t="s">
        <v>1024</v>
      </c>
      <c r="E870" s="1">
        <v>45223</v>
      </c>
      <c r="F870">
        <v>42</v>
      </c>
      <c r="G870">
        <v>3.6</v>
      </c>
      <c r="H870">
        <v>2024</v>
      </c>
      <c r="I870" t="s">
        <v>1033</v>
      </c>
      <c r="J870" t="s">
        <v>1019</v>
      </c>
      <c r="K870">
        <v>4</v>
      </c>
    </row>
    <row r="871" spans="1:11" x14ac:dyDescent="0.3">
      <c r="A871" t="s">
        <v>1915</v>
      </c>
      <c r="B871" t="s">
        <v>1078</v>
      </c>
      <c r="C871">
        <v>68</v>
      </c>
      <c r="D871" t="s">
        <v>1024</v>
      </c>
      <c r="E871" s="1">
        <v>45224</v>
      </c>
      <c r="F871">
        <v>24</v>
      </c>
      <c r="G871">
        <v>4</v>
      </c>
      <c r="H871">
        <v>2024</v>
      </c>
      <c r="I871" t="s">
        <v>1048</v>
      </c>
      <c r="J871" t="s">
        <v>1019</v>
      </c>
      <c r="K871">
        <v>4</v>
      </c>
    </row>
    <row r="872" spans="1:11" x14ac:dyDescent="0.3">
      <c r="A872" t="s">
        <v>1916</v>
      </c>
      <c r="B872" t="s">
        <v>1068</v>
      </c>
      <c r="C872">
        <v>101</v>
      </c>
      <c r="D872" t="s">
        <v>1024</v>
      </c>
      <c r="E872" s="1">
        <v>45224</v>
      </c>
      <c r="F872">
        <v>125</v>
      </c>
      <c r="G872">
        <v>4.2</v>
      </c>
      <c r="H872">
        <v>2024</v>
      </c>
      <c r="I872" t="s">
        <v>1048</v>
      </c>
      <c r="J872" t="s">
        <v>1019</v>
      </c>
      <c r="K872">
        <v>4</v>
      </c>
    </row>
    <row r="873" spans="1:11" x14ac:dyDescent="0.3">
      <c r="A873" t="s">
        <v>1917</v>
      </c>
      <c r="B873" t="s">
        <v>1068</v>
      </c>
      <c r="C873">
        <v>107</v>
      </c>
      <c r="D873" t="s">
        <v>1017</v>
      </c>
      <c r="E873" s="1">
        <v>45225</v>
      </c>
      <c r="F873">
        <v>78</v>
      </c>
      <c r="G873">
        <v>4.3</v>
      </c>
      <c r="H873">
        <v>2024</v>
      </c>
      <c r="I873" t="s">
        <v>1052</v>
      </c>
      <c r="J873" t="s">
        <v>1019</v>
      </c>
      <c r="K873">
        <v>4</v>
      </c>
    </row>
    <row r="874" spans="1:11" x14ac:dyDescent="0.3">
      <c r="A874" t="s">
        <v>1918</v>
      </c>
      <c r="B874" t="s">
        <v>1055</v>
      </c>
      <c r="C874">
        <v>109</v>
      </c>
      <c r="D874" t="s">
        <v>1029</v>
      </c>
      <c r="E874" s="1">
        <v>45225</v>
      </c>
      <c r="F874">
        <v>180</v>
      </c>
      <c r="G874">
        <v>3.8</v>
      </c>
      <c r="H874">
        <v>2024</v>
      </c>
      <c r="I874" t="s">
        <v>1052</v>
      </c>
      <c r="J874" t="s">
        <v>1019</v>
      </c>
      <c r="K874">
        <v>4</v>
      </c>
    </row>
    <row r="875" spans="1:11" x14ac:dyDescent="0.3">
      <c r="A875" t="s">
        <v>1919</v>
      </c>
      <c r="B875" t="s">
        <v>1045</v>
      </c>
      <c r="C875">
        <v>171</v>
      </c>
      <c r="D875" t="s">
        <v>1017</v>
      </c>
      <c r="E875" s="1">
        <v>45225</v>
      </c>
      <c r="F875">
        <v>84</v>
      </c>
      <c r="G875">
        <v>4.4000000000000004</v>
      </c>
      <c r="H875">
        <v>2024</v>
      </c>
      <c r="I875" t="s">
        <v>1052</v>
      </c>
      <c r="J875" t="s">
        <v>1031</v>
      </c>
      <c r="K875">
        <v>4</v>
      </c>
    </row>
    <row r="876" spans="1:11" x14ac:dyDescent="0.3">
      <c r="A876" t="s">
        <v>1920</v>
      </c>
      <c r="B876" t="s">
        <v>1028</v>
      </c>
      <c r="C876">
        <v>21</v>
      </c>
      <c r="D876" t="s">
        <v>1017</v>
      </c>
      <c r="E876" s="1">
        <v>45225</v>
      </c>
      <c r="F876">
        <v>26</v>
      </c>
      <c r="G876">
        <v>4.7</v>
      </c>
      <c r="H876">
        <v>2024</v>
      </c>
      <c r="I876" t="s">
        <v>1052</v>
      </c>
      <c r="J876" t="s">
        <v>1056</v>
      </c>
      <c r="K876">
        <v>5</v>
      </c>
    </row>
    <row r="877" spans="1:11" x14ac:dyDescent="0.3">
      <c r="A877" t="s">
        <v>1921</v>
      </c>
      <c r="B877" t="s">
        <v>1021</v>
      </c>
      <c r="C877">
        <v>94</v>
      </c>
      <c r="D877" t="s">
        <v>1017</v>
      </c>
      <c r="E877" s="1">
        <v>45226</v>
      </c>
      <c r="F877">
        <v>140</v>
      </c>
      <c r="G877">
        <v>3.6</v>
      </c>
      <c r="H877">
        <v>2024</v>
      </c>
      <c r="I877" t="s">
        <v>411</v>
      </c>
      <c r="J877" t="s">
        <v>1019</v>
      </c>
      <c r="K877">
        <v>4</v>
      </c>
    </row>
    <row r="878" spans="1:11" x14ac:dyDescent="0.3">
      <c r="A878" t="s">
        <v>1922</v>
      </c>
      <c r="B878" t="s">
        <v>1026</v>
      </c>
      <c r="C878">
        <v>97</v>
      </c>
      <c r="D878" t="s">
        <v>1029</v>
      </c>
      <c r="E878" s="1">
        <v>45226</v>
      </c>
      <c r="F878">
        <v>31</v>
      </c>
      <c r="G878">
        <v>2.2000000000000002</v>
      </c>
      <c r="H878">
        <v>2024</v>
      </c>
      <c r="I878" t="s">
        <v>411</v>
      </c>
      <c r="J878" t="s">
        <v>1019</v>
      </c>
      <c r="K878">
        <v>2</v>
      </c>
    </row>
    <row r="879" spans="1:11" x14ac:dyDescent="0.3">
      <c r="A879" t="s">
        <v>1923</v>
      </c>
      <c r="B879" t="s">
        <v>1047</v>
      </c>
      <c r="C879">
        <v>72</v>
      </c>
      <c r="D879" t="s">
        <v>1029</v>
      </c>
      <c r="E879" s="1">
        <v>45226</v>
      </c>
      <c r="F879">
        <v>108</v>
      </c>
      <c r="G879">
        <v>4.8</v>
      </c>
      <c r="H879">
        <v>2024</v>
      </c>
      <c r="I879" t="s">
        <v>411</v>
      </c>
      <c r="J879" t="s">
        <v>1019</v>
      </c>
      <c r="K879">
        <v>5</v>
      </c>
    </row>
    <row r="880" spans="1:11" x14ac:dyDescent="0.3">
      <c r="A880" t="s">
        <v>1924</v>
      </c>
      <c r="B880" t="s">
        <v>1045</v>
      </c>
      <c r="C880">
        <v>143</v>
      </c>
      <c r="D880" t="s">
        <v>1038</v>
      </c>
      <c r="E880" s="1">
        <v>45227</v>
      </c>
      <c r="F880">
        <v>58</v>
      </c>
      <c r="G880">
        <v>4.3</v>
      </c>
      <c r="H880">
        <v>2024</v>
      </c>
      <c r="I880" t="s">
        <v>1062</v>
      </c>
      <c r="J880" t="s">
        <v>1031</v>
      </c>
      <c r="K880">
        <v>4</v>
      </c>
    </row>
    <row r="881" spans="1:11" x14ac:dyDescent="0.3">
      <c r="A881" t="s">
        <v>1925</v>
      </c>
      <c r="B881" t="s">
        <v>1045</v>
      </c>
      <c r="C881">
        <v>64</v>
      </c>
      <c r="D881" t="s">
        <v>1029</v>
      </c>
      <c r="E881" s="1">
        <v>45227</v>
      </c>
      <c r="F881">
        <v>185</v>
      </c>
      <c r="G881">
        <v>2.2000000000000002</v>
      </c>
      <c r="H881">
        <v>2024</v>
      </c>
      <c r="I881" t="s">
        <v>1062</v>
      </c>
      <c r="J881" t="s">
        <v>1019</v>
      </c>
      <c r="K881">
        <v>2</v>
      </c>
    </row>
    <row r="882" spans="1:11" x14ac:dyDescent="0.3">
      <c r="A882" t="s">
        <v>1926</v>
      </c>
      <c r="B882" t="s">
        <v>1045</v>
      </c>
      <c r="C882">
        <v>69</v>
      </c>
      <c r="D882" t="s">
        <v>1029</v>
      </c>
      <c r="E882" s="1">
        <v>45227</v>
      </c>
      <c r="F882">
        <v>40</v>
      </c>
      <c r="G882">
        <v>4.8</v>
      </c>
      <c r="H882">
        <v>2024</v>
      </c>
      <c r="I882" t="s">
        <v>1062</v>
      </c>
      <c r="J882" t="s">
        <v>1019</v>
      </c>
      <c r="K882">
        <v>5</v>
      </c>
    </row>
    <row r="883" spans="1:11" x14ac:dyDescent="0.3">
      <c r="A883" t="s">
        <v>1927</v>
      </c>
      <c r="B883" t="s">
        <v>1045</v>
      </c>
      <c r="C883">
        <v>18</v>
      </c>
      <c r="D883" t="s">
        <v>1042</v>
      </c>
      <c r="E883" s="1">
        <v>45227</v>
      </c>
      <c r="F883">
        <v>225</v>
      </c>
      <c r="G883">
        <v>2.6</v>
      </c>
      <c r="H883">
        <v>2024</v>
      </c>
      <c r="I883" t="s">
        <v>1062</v>
      </c>
      <c r="J883" t="s">
        <v>1056</v>
      </c>
      <c r="K883">
        <v>3</v>
      </c>
    </row>
    <row r="884" spans="1:11" x14ac:dyDescent="0.3">
      <c r="A884" t="s">
        <v>1928</v>
      </c>
      <c r="B884" t="s">
        <v>1026</v>
      </c>
      <c r="C884">
        <v>100</v>
      </c>
      <c r="D884" t="s">
        <v>1038</v>
      </c>
      <c r="E884" s="1">
        <v>45227</v>
      </c>
      <c r="F884">
        <v>150</v>
      </c>
      <c r="G884">
        <v>2.6</v>
      </c>
      <c r="H884">
        <v>2024</v>
      </c>
      <c r="I884" t="s">
        <v>1062</v>
      </c>
      <c r="J884" t="s">
        <v>1019</v>
      </c>
      <c r="K884">
        <v>3</v>
      </c>
    </row>
    <row r="885" spans="1:11" x14ac:dyDescent="0.3">
      <c r="A885" t="s">
        <v>1929</v>
      </c>
      <c r="B885" t="s">
        <v>1041</v>
      </c>
      <c r="C885">
        <v>110</v>
      </c>
      <c r="D885" t="s">
        <v>1024</v>
      </c>
      <c r="E885" s="1">
        <v>45228</v>
      </c>
      <c r="F885">
        <v>88</v>
      </c>
      <c r="G885">
        <v>3.4</v>
      </c>
      <c r="H885">
        <v>2024</v>
      </c>
      <c r="I885" t="s">
        <v>1018</v>
      </c>
      <c r="J885" t="s">
        <v>1019</v>
      </c>
      <c r="K885">
        <v>3</v>
      </c>
    </row>
    <row r="886" spans="1:11" x14ac:dyDescent="0.3">
      <c r="A886" t="s">
        <v>1930</v>
      </c>
      <c r="B886" t="s">
        <v>1059</v>
      </c>
      <c r="C886">
        <v>41</v>
      </c>
      <c r="D886" t="s">
        <v>1017</v>
      </c>
      <c r="E886" s="1">
        <v>45228</v>
      </c>
      <c r="F886">
        <v>140</v>
      </c>
      <c r="G886">
        <v>3.7</v>
      </c>
      <c r="H886">
        <v>2024</v>
      </c>
      <c r="I886" t="s">
        <v>1018</v>
      </c>
      <c r="J886" t="s">
        <v>1034</v>
      </c>
      <c r="K886">
        <v>4</v>
      </c>
    </row>
    <row r="887" spans="1:11" x14ac:dyDescent="0.3">
      <c r="A887" t="s">
        <v>1931</v>
      </c>
      <c r="B887" t="s">
        <v>1041</v>
      </c>
      <c r="C887">
        <v>147</v>
      </c>
      <c r="D887" t="s">
        <v>1024</v>
      </c>
      <c r="E887" s="1">
        <v>45228</v>
      </c>
      <c r="F887">
        <v>68</v>
      </c>
      <c r="G887">
        <v>2.1</v>
      </c>
      <c r="H887">
        <v>2024</v>
      </c>
      <c r="I887" t="s">
        <v>1018</v>
      </c>
      <c r="J887" t="s">
        <v>1031</v>
      </c>
      <c r="K887">
        <v>2</v>
      </c>
    </row>
    <row r="888" spans="1:11" x14ac:dyDescent="0.3">
      <c r="A888" t="s">
        <v>1932</v>
      </c>
      <c r="B888" t="s">
        <v>1021</v>
      </c>
      <c r="C888">
        <v>31</v>
      </c>
      <c r="D888" t="s">
        <v>1042</v>
      </c>
      <c r="E888" s="1">
        <v>45229</v>
      </c>
      <c r="F888">
        <v>105</v>
      </c>
      <c r="G888">
        <v>3.6</v>
      </c>
      <c r="H888">
        <v>2024</v>
      </c>
      <c r="I888" t="s">
        <v>1030</v>
      </c>
      <c r="J888" t="s">
        <v>1034</v>
      </c>
      <c r="K888">
        <v>4</v>
      </c>
    </row>
    <row r="889" spans="1:11" x14ac:dyDescent="0.3">
      <c r="A889" t="s">
        <v>1933</v>
      </c>
      <c r="B889" t="s">
        <v>1078</v>
      </c>
      <c r="C889">
        <v>142</v>
      </c>
      <c r="D889" t="s">
        <v>1017</v>
      </c>
      <c r="E889" s="1">
        <v>45229</v>
      </c>
      <c r="F889">
        <v>40</v>
      </c>
      <c r="G889">
        <v>3.8</v>
      </c>
      <c r="H889">
        <v>2024</v>
      </c>
      <c r="I889" t="s">
        <v>1030</v>
      </c>
      <c r="J889" t="s">
        <v>1031</v>
      </c>
      <c r="K889">
        <v>4</v>
      </c>
    </row>
    <row r="890" spans="1:11" x14ac:dyDescent="0.3">
      <c r="A890" t="s">
        <v>1934</v>
      </c>
      <c r="B890" t="s">
        <v>1055</v>
      </c>
      <c r="C890">
        <v>61</v>
      </c>
      <c r="D890" t="s">
        <v>1017</v>
      </c>
      <c r="E890" s="1">
        <v>45229</v>
      </c>
      <c r="F890">
        <v>82</v>
      </c>
      <c r="G890">
        <v>3.1</v>
      </c>
      <c r="H890">
        <v>2024</v>
      </c>
      <c r="I890" t="s">
        <v>1030</v>
      </c>
      <c r="J890" t="s">
        <v>1019</v>
      </c>
      <c r="K890">
        <v>3</v>
      </c>
    </row>
    <row r="891" spans="1:11" x14ac:dyDescent="0.3">
      <c r="A891" t="s">
        <v>1935</v>
      </c>
      <c r="B891" t="s">
        <v>1016</v>
      </c>
      <c r="C891">
        <v>86</v>
      </c>
      <c r="D891" t="s">
        <v>1042</v>
      </c>
      <c r="E891" s="1">
        <v>45230</v>
      </c>
      <c r="F891">
        <v>90</v>
      </c>
      <c r="G891">
        <v>4.4000000000000004</v>
      </c>
      <c r="H891">
        <v>2024</v>
      </c>
      <c r="I891" t="s">
        <v>1033</v>
      </c>
      <c r="J891" t="s">
        <v>1019</v>
      </c>
      <c r="K891">
        <v>4</v>
      </c>
    </row>
    <row r="892" spans="1:11" x14ac:dyDescent="0.3">
      <c r="A892" t="s">
        <v>1936</v>
      </c>
      <c r="B892" t="s">
        <v>1023</v>
      </c>
      <c r="C892">
        <v>165</v>
      </c>
      <c r="D892" t="s">
        <v>1038</v>
      </c>
      <c r="E892" s="1">
        <v>45231</v>
      </c>
      <c r="F892">
        <v>66</v>
      </c>
      <c r="G892">
        <v>4.8</v>
      </c>
      <c r="H892">
        <v>2024</v>
      </c>
      <c r="I892" t="s">
        <v>1048</v>
      </c>
      <c r="J892" t="s">
        <v>1031</v>
      </c>
      <c r="K892">
        <v>5</v>
      </c>
    </row>
    <row r="893" spans="1:11" x14ac:dyDescent="0.3">
      <c r="A893" t="s">
        <v>1937</v>
      </c>
      <c r="B893" t="s">
        <v>1098</v>
      </c>
      <c r="C893">
        <v>62</v>
      </c>
      <c r="D893" t="s">
        <v>1024</v>
      </c>
      <c r="E893" s="1">
        <v>45231</v>
      </c>
      <c r="F893">
        <v>78</v>
      </c>
      <c r="G893">
        <v>3.5</v>
      </c>
      <c r="H893">
        <v>2024</v>
      </c>
      <c r="I893" t="s">
        <v>1048</v>
      </c>
      <c r="J893" t="s">
        <v>1019</v>
      </c>
      <c r="K893">
        <v>4</v>
      </c>
    </row>
    <row r="894" spans="1:11" x14ac:dyDescent="0.3">
      <c r="A894" t="s">
        <v>1938</v>
      </c>
      <c r="B894" t="s">
        <v>1026</v>
      </c>
      <c r="C894">
        <v>103</v>
      </c>
      <c r="D894" t="s">
        <v>1038</v>
      </c>
      <c r="E894" s="1">
        <v>45232</v>
      </c>
      <c r="F894">
        <v>66</v>
      </c>
      <c r="G894">
        <v>4.4000000000000004</v>
      </c>
      <c r="H894">
        <v>2024</v>
      </c>
      <c r="I894" t="s">
        <v>1052</v>
      </c>
      <c r="J894" t="s">
        <v>1019</v>
      </c>
      <c r="K894">
        <v>4</v>
      </c>
    </row>
    <row r="895" spans="1:11" x14ac:dyDescent="0.3">
      <c r="A895" t="s">
        <v>1939</v>
      </c>
      <c r="B895" t="s">
        <v>1078</v>
      </c>
      <c r="C895">
        <v>56</v>
      </c>
      <c r="D895" t="s">
        <v>1042</v>
      </c>
      <c r="E895" s="1">
        <v>45233</v>
      </c>
      <c r="F895">
        <v>160</v>
      </c>
      <c r="G895">
        <v>3.8</v>
      </c>
      <c r="H895">
        <v>2024</v>
      </c>
      <c r="I895" t="s">
        <v>411</v>
      </c>
      <c r="J895" t="s">
        <v>1034</v>
      </c>
      <c r="K895">
        <v>4</v>
      </c>
    </row>
    <row r="896" spans="1:11" x14ac:dyDescent="0.3">
      <c r="A896" t="s">
        <v>1940</v>
      </c>
      <c r="B896" t="s">
        <v>1068</v>
      </c>
      <c r="C896">
        <v>114</v>
      </c>
      <c r="D896" t="s">
        <v>1017</v>
      </c>
      <c r="E896" s="1">
        <v>45234</v>
      </c>
      <c r="F896">
        <v>144</v>
      </c>
      <c r="G896">
        <v>3.8</v>
      </c>
      <c r="H896">
        <v>2024</v>
      </c>
      <c r="I896" t="s">
        <v>1062</v>
      </c>
      <c r="J896" t="s">
        <v>1019</v>
      </c>
      <c r="K896">
        <v>4</v>
      </c>
    </row>
    <row r="897" spans="1:11" x14ac:dyDescent="0.3">
      <c r="A897" t="s">
        <v>1941</v>
      </c>
      <c r="B897" t="s">
        <v>1078</v>
      </c>
      <c r="C897">
        <v>112</v>
      </c>
      <c r="D897" t="s">
        <v>1029</v>
      </c>
      <c r="E897" s="1">
        <v>45234</v>
      </c>
      <c r="F897">
        <v>200</v>
      </c>
      <c r="G897">
        <v>4.5999999999999996</v>
      </c>
      <c r="H897">
        <v>2024</v>
      </c>
      <c r="I897" t="s">
        <v>1062</v>
      </c>
      <c r="J897" t="s">
        <v>1019</v>
      </c>
      <c r="K897">
        <v>5</v>
      </c>
    </row>
    <row r="898" spans="1:11" x14ac:dyDescent="0.3">
      <c r="A898" t="s">
        <v>1942</v>
      </c>
      <c r="B898" t="s">
        <v>1036</v>
      </c>
      <c r="C898">
        <v>52</v>
      </c>
      <c r="D898" t="s">
        <v>1024</v>
      </c>
      <c r="E898" s="1">
        <v>45236</v>
      </c>
      <c r="F898">
        <v>220</v>
      </c>
      <c r="G898">
        <v>5</v>
      </c>
      <c r="H898">
        <v>2024</v>
      </c>
      <c r="I898" t="s">
        <v>1030</v>
      </c>
      <c r="J898" t="s">
        <v>1034</v>
      </c>
      <c r="K898">
        <v>5</v>
      </c>
    </row>
    <row r="899" spans="1:11" x14ac:dyDescent="0.3">
      <c r="A899" t="s">
        <v>1943</v>
      </c>
      <c r="B899" t="s">
        <v>1026</v>
      </c>
      <c r="C899">
        <v>105</v>
      </c>
      <c r="D899" t="s">
        <v>1038</v>
      </c>
      <c r="E899" s="1">
        <v>45237</v>
      </c>
      <c r="F899">
        <v>112</v>
      </c>
      <c r="G899">
        <v>3.2</v>
      </c>
      <c r="H899">
        <v>2024</v>
      </c>
      <c r="I899" t="s">
        <v>1033</v>
      </c>
      <c r="J899" t="s">
        <v>1019</v>
      </c>
      <c r="K899">
        <v>3</v>
      </c>
    </row>
    <row r="900" spans="1:11" x14ac:dyDescent="0.3">
      <c r="A900" t="s">
        <v>1944</v>
      </c>
      <c r="B900" t="s">
        <v>1023</v>
      </c>
      <c r="C900">
        <v>91</v>
      </c>
      <c r="D900" t="s">
        <v>1042</v>
      </c>
      <c r="E900" s="1">
        <v>45237</v>
      </c>
      <c r="F900">
        <v>110</v>
      </c>
      <c r="G900">
        <v>3.7</v>
      </c>
      <c r="H900">
        <v>2024</v>
      </c>
      <c r="I900" t="s">
        <v>1033</v>
      </c>
      <c r="J900" t="s">
        <v>1019</v>
      </c>
      <c r="K900">
        <v>4</v>
      </c>
    </row>
    <row r="901" spans="1:11" x14ac:dyDescent="0.3">
      <c r="A901" t="s">
        <v>1945</v>
      </c>
      <c r="B901" t="s">
        <v>1065</v>
      </c>
      <c r="C901">
        <v>74</v>
      </c>
      <c r="D901" t="s">
        <v>1017</v>
      </c>
      <c r="E901" s="1">
        <v>45238</v>
      </c>
      <c r="F901">
        <v>160</v>
      </c>
      <c r="G901">
        <v>2.7</v>
      </c>
      <c r="H901">
        <v>2024</v>
      </c>
      <c r="I901" t="s">
        <v>1048</v>
      </c>
      <c r="J901" t="s">
        <v>1019</v>
      </c>
      <c r="K901">
        <v>3</v>
      </c>
    </row>
    <row r="902" spans="1:11" x14ac:dyDescent="0.3">
      <c r="A902" t="s">
        <v>1946</v>
      </c>
      <c r="B902" t="s">
        <v>1065</v>
      </c>
      <c r="C902">
        <v>30</v>
      </c>
      <c r="D902" t="s">
        <v>1042</v>
      </c>
      <c r="E902" s="1">
        <v>45238</v>
      </c>
      <c r="F902">
        <v>84</v>
      </c>
      <c r="G902">
        <v>4</v>
      </c>
      <c r="H902">
        <v>2024</v>
      </c>
      <c r="I902" t="s">
        <v>1048</v>
      </c>
      <c r="J902" t="s">
        <v>1056</v>
      </c>
      <c r="K902">
        <v>4</v>
      </c>
    </row>
    <row r="903" spans="1:11" x14ac:dyDescent="0.3">
      <c r="A903" t="s">
        <v>1947</v>
      </c>
      <c r="B903" t="s">
        <v>1023</v>
      </c>
      <c r="C903">
        <v>56</v>
      </c>
      <c r="D903" t="s">
        <v>1024</v>
      </c>
      <c r="E903" s="1">
        <v>45238</v>
      </c>
      <c r="F903">
        <v>124</v>
      </c>
      <c r="G903">
        <v>2.6</v>
      </c>
      <c r="H903">
        <v>2024</v>
      </c>
      <c r="I903" t="s">
        <v>1048</v>
      </c>
      <c r="J903" t="s">
        <v>1034</v>
      </c>
      <c r="K903">
        <v>3</v>
      </c>
    </row>
    <row r="904" spans="1:11" x14ac:dyDescent="0.3">
      <c r="A904" t="s">
        <v>1948</v>
      </c>
      <c r="B904" t="s">
        <v>1065</v>
      </c>
      <c r="C904">
        <v>151</v>
      </c>
      <c r="D904" t="s">
        <v>1029</v>
      </c>
      <c r="E904" s="1">
        <v>45238</v>
      </c>
      <c r="F904">
        <v>84</v>
      </c>
      <c r="G904">
        <v>4.5999999999999996</v>
      </c>
      <c r="H904">
        <v>2024</v>
      </c>
      <c r="I904" t="s">
        <v>1048</v>
      </c>
      <c r="J904" t="s">
        <v>1031</v>
      </c>
      <c r="K904">
        <v>5</v>
      </c>
    </row>
    <row r="905" spans="1:11" x14ac:dyDescent="0.3">
      <c r="A905" t="s">
        <v>1949</v>
      </c>
      <c r="B905" t="s">
        <v>1021</v>
      </c>
      <c r="C905">
        <v>108</v>
      </c>
      <c r="D905" t="s">
        <v>1038</v>
      </c>
      <c r="E905" s="1">
        <v>45239</v>
      </c>
      <c r="F905">
        <v>130</v>
      </c>
      <c r="G905">
        <v>2.7</v>
      </c>
      <c r="H905">
        <v>2024</v>
      </c>
      <c r="I905" t="s">
        <v>1052</v>
      </c>
      <c r="J905" t="s">
        <v>1019</v>
      </c>
      <c r="K905">
        <v>3</v>
      </c>
    </row>
    <row r="906" spans="1:11" x14ac:dyDescent="0.3">
      <c r="A906" t="s">
        <v>1950</v>
      </c>
      <c r="B906" t="s">
        <v>1068</v>
      </c>
      <c r="C906">
        <v>124</v>
      </c>
      <c r="D906" t="s">
        <v>1017</v>
      </c>
      <c r="E906" s="1">
        <v>45239</v>
      </c>
      <c r="F906">
        <v>215</v>
      </c>
      <c r="G906">
        <v>3.5</v>
      </c>
      <c r="H906">
        <v>2024</v>
      </c>
      <c r="I906" t="s">
        <v>1052</v>
      </c>
      <c r="J906" t="s">
        <v>1031</v>
      </c>
      <c r="K906">
        <v>4</v>
      </c>
    </row>
    <row r="907" spans="1:11" x14ac:dyDescent="0.3">
      <c r="A907" t="s">
        <v>1951</v>
      </c>
      <c r="B907" t="s">
        <v>1026</v>
      </c>
      <c r="C907">
        <v>110</v>
      </c>
      <c r="D907" t="s">
        <v>1024</v>
      </c>
      <c r="E907" s="1">
        <v>45240</v>
      </c>
      <c r="F907">
        <v>132</v>
      </c>
      <c r="G907">
        <v>3.6</v>
      </c>
      <c r="H907">
        <v>2024</v>
      </c>
      <c r="I907" t="s">
        <v>411</v>
      </c>
      <c r="J907" t="s">
        <v>1019</v>
      </c>
      <c r="K907">
        <v>4</v>
      </c>
    </row>
    <row r="908" spans="1:11" x14ac:dyDescent="0.3">
      <c r="A908" t="s">
        <v>1952</v>
      </c>
      <c r="B908" t="s">
        <v>1041</v>
      </c>
      <c r="C908">
        <v>89</v>
      </c>
      <c r="D908" t="s">
        <v>1038</v>
      </c>
      <c r="E908" s="1">
        <v>45240</v>
      </c>
      <c r="F908">
        <v>88</v>
      </c>
      <c r="G908">
        <v>4.9000000000000004</v>
      </c>
      <c r="H908">
        <v>2024</v>
      </c>
      <c r="I908" t="s">
        <v>411</v>
      </c>
      <c r="J908" t="s">
        <v>1019</v>
      </c>
      <c r="K908">
        <v>5</v>
      </c>
    </row>
    <row r="909" spans="1:11" x14ac:dyDescent="0.3">
      <c r="A909" t="s">
        <v>1953</v>
      </c>
      <c r="B909" t="s">
        <v>1016</v>
      </c>
      <c r="C909">
        <v>95</v>
      </c>
      <c r="D909" t="s">
        <v>1024</v>
      </c>
      <c r="E909" s="1">
        <v>45240</v>
      </c>
      <c r="F909">
        <v>140</v>
      </c>
      <c r="G909">
        <v>3.9</v>
      </c>
      <c r="H909">
        <v>2024</v>
      </c>
      <c r="I909" t="s">
        <v>411</v>
      </c>
      <c r="J909" t="s">
        <v>1019</v>
      </c>
      <c r="K909">
        <v>4</v>
      </c>
    </row>
    <row r="910" spans="1:11" x14ac:dyDescent="0.3">
      <c r="A910" t="s">
        <v>1954</v>
      </c>
      <c r="B910" t="s">
        <v>1065</v>
      </c>
      <c r="C910">
        <v>84</v>
      </c>
      <c r="D910" t="s">
        <v>1038</v>
      </c>
      <c r="E910" s="1">
        <v>45241</v>
      </c>
      <c r="F910">
        <v>66</v>
      </c>
      <c r="G910">
        <v>4.7</v>
      </c>
      <c r="H910">
        <v>2024</v>
      </c>
      <c r="I910" t="s">
        <v>1062</v>
      </c>
      <c r="J910" t="s">
        <v>1019</v>
      </c>
      <c r="K910">
        <v>5</v>
      </c>
    </row>
    <row r="911" spans="1:11" x14ac:dyDescent="0.3">
      <c r="A911" t="s">
        <v>1955</v>
      </c>
      <c r="B911" t="s">
        <v>1047</v>
      </c>
      <c r="C911">
        <v>89</v>
      </c>
      <c r="D911" t="s">
        <v>1017</v>
      </c>
      <c r="E911" s="1">
        <v>45241</v>
      </c>
      <c r="F911">
        <v>23</v>
      </c>
      <c r="G911">
        <v>4.5</v>
      </c>
      <c r="H911">
        <v>2024</v>
      </c>
      <c r="I911" t="s">
        <v>1062</v>
      </c>
      <c r="J911" t="s">
        <v>1019</v>
      </c>
      <c r="K911">
        <v>5</v>
      </c>
    </row>
    <row r="912" spans="1:11" x14ac:dyDescent="0.3">
      <c r="A912" t="s">
        <v>1956</v>
      </c>
      <c r="B912" t="s">
        <v>1041</v>
      </c>
      <c r="C912">
        <v>146</v>
      </c>
      <c r="D912" t="s">
        <v>1017</v>
      </c>
      <c r="E912" s="1">
        <v>45242</v>
      </c>
      <c r="F912">
        <v>220</v>
      </c>
      <c r="G912">
        <v>4.5</v>
      </c>
      <c r="H912">
        <v>2024</v>
      </c>
      <c r="I912" t="s">
        <v>1018</v>
      </c>
      <c r="J912" t="s">
        <v>1031</v>
      </c>
      <c r="K912">
        <v>5</v>
      </c>
    </row>
    <row r="913" spans="1:11" x14ac:dyDescent="0.3">
      <c r="A913" t="s">
        <v>1957</v>
      </c>
      <c r="B913" t="s">
        <v>1045</v>
      </c>
      <c r="C913">
        <v>62</v>
      </c>
      <c r="D913" t="s">
        <v>1042</v>
      </c>
      <c r="E913" s="1">
        <v>45243</v>
      </c>
      <c r="F913">
        <v>175</v>
      </c>
      <c r="G913">
        <v>4.4000000000000004</v>
      </c>
      <c r="H913">
        <v>2024</v>
      </c>
      <c r="I913" t="s">
        <v>1030</v>
      </c>
      <c r="J913" t="s">
        <v>1019</v>
      </c>
      <c r="K913">
        <v>4</v>
      </c>
    </row>
    <row r="914" spans="1:11" x14ac:dyDescent="0.3">
      <c r="A914" t="s">
        <v>1958</v>
      </c>
      <c r="B914" t="s">
        <v>1078</v>
      </c>
      <c r="C914">
        <v>82</v>
      </c>
      <c r="D914" t="s">
        <v>1017</v>
      </c>
      <c r="E914" s="1">
        <v>45243</v>
      </c>
      <c r="F914">
        <v>172</v>
      </c>
      <c r="G914">
        <v>4.0999999999999996</v>
      </c>
      <c r="H914">
        <v>2024</v>
      </c>
      <c r="I914" t="s">
        <v>1030</v>
      </c>
      <c r="J914" t="s">
        <v>1019</v>
      </c>
      <c r="K914">
        <v>4</v>
      </c>
    </row>
    <row r="915" spans="1:11" x14ac:dyDescent="0.3">
      <c r="A915" t="s">
        <v>1959</v>
      </c>
      <c r="B915" t="s">
        <v>1055</v>
      </c>
      <c r="C915">
        <v>91</v>
      </c>
      <c r="D915" t="s">
        <v>1029</v>
      </c>
      <c r="E915" s="1">
        <v>45243</v>
      </c>
      <c r="F915">
        <v>108</v>
      </c>
      <c r="G915">
        <v>3.8</v>
      </c>
      <c r="H915">
        <v>2024</v>
      </c>
      <c r="I915" t="s">
        <v>1030</v>
      </c>
      <c r="J915" t="s">
        <v>1019</v>
      </c>
      <c r="K915">
        <v>4</v>
      </c>
    </row>
    <row r="916" spans="1:11" x14ac:dyDescent="0.3">
      <c r="A916" t="s">
        <v>1960</v>
      </c>
      <c r="B916" t="s">
        <v>1047</v>
      </c>
      <c r="C916">
        <v>39</v>
      </c>
      <c r="D916" t="s">
        <v>1017</v>
      </c>
      <c r="E916" s="1">
        <v>45244</v>
      </c>
      <c r="F916">
        <v>43</v>
      </c>
      <c r="G916">
        <v>4.2</v>
      </c>
      <c r="H916">
        <v>2024</v>
      </c>
      <c r="I916" t="s">
        <v>1033</v>
      </c>
      <c r="J916" t="s">
        <v>1034</v>
      </c>
      <c r="K916">
        <v>4</v>
      </c>
    </row>
    <row r="917" spans="1:11" x14ac:dyDescent="0.3">
      <c r="A917" t="s">
        <v>1961</v>
      </c>
      <c r="B917" t="s">
        <v>1041</v>
      </c>
      <c r="C917">
        <v>149</v>
      </c>
      <c r="D917" t="s">
        <v>1024</v>
      </c>
      <c r="E917" s="1">
        <v>45244</v>
      </c>
      <c r="F917">
        <v>44</v>
      </c>
      <c r="G917">
        <v>2.2000000000000002</v>
      </c>
      <c r="H917">
        <v>2024</v>
      </c>
      <c r="I917" t="s">
        <v>1033</v>
      </c>
      <c r="J917" t="s">
        <v>1031</v>
      </c>
      <c r="K917">
        <v>2</v>
      </c>
    </row>
    <row r="918" spans="1:11" x14ac:dyDescent="0.3">
      <c r="A918" t="s">
        <v>1962</v>
      </c>
      <c r="B918" t="s">
        <v>1078</v>
      </c>
      <c r="C918">
        <v>138</v>
      </c>
      <c r="D918" t="s">
        <v>1042</v>
      </c>
      <c r="E918" s="1">
        <v>45244</v>
      </c>
      <c r="F918">
        <v>105</v>
      </c>
      <c r="G918">
        <v>3.9</v>
      </c>
      <c r="H918">
        <v>2024</v>
      </c>
      <c r="I918" t="s">
        <v>1033</v>
      </c>
      <c r="J918" t="s">
        <v>1031</v>
      </c>
      <c r="K918">
        <v>4</v>
      </c>
    </row>
    <row r="919" spans="1:11" x14ac:dyDescent="0.3">
      <c r="A919" t="s">
        <v>1963</v>
      </c>
      <c r="B919" t="s">
        <v>1045</v>
      </c>
      <c r="C919">
        <v>113</v>
      </c>
      <c r="D919" t="s">
        <v>1024</v>
      </c>
      <c r="E919" s="1">
        <v>45245</v>
      </c>
      <c r="F919">
        <v>34</v>
      </c>
      <c r="G919">
        <v>3.9</v>
      </c>
      <c r="H919">
        <v>2024</v>
      </c>
      <c r="I919" t="s">
        <v>1048</v>
      </c>
      <c r="J919" t="s">
        <v>1019</v>
      </c>
      <c r="K919">
        <v>4</v>
      </c>
    </row>
    <row r="920" spans="1:11" x14ac:dyDescent="0.3">
      <c r="A920" t="s">
        <v>1964</v>
      </c>
      <c r="B920" t="s">
        <v>1028</v>
      </c>
      <c r="C920">
        <v>88</v>
      </c>
      <c r="D920" t="s">
        <v>1017</v>
      </c>
      <c r="E920" s="1">
        <v>45245</v>
      </c>
      <c r="F920">
        <v>220</v>
      </c>
      <c r="G920">
        <v>4.0999999999999996</v>
      </c>
      <c r="H920">
        <v>2024</v>
      </c>
      <c r="I920" t="s">
        <v>1048</v>
      </c>
      <c r="J920" t="s">
        <v>1019</v>
      </c>
      <c r="K920">
        <v>4</v>
      </c>
    </row>
    <row r="921" spans="1:11" x14ac:dyDescent="0.3">
      <c r="A921" t="s">
        <v>1965</v>
      </c>
      <c r="B921" t="s">
        <v>1016</v>
      </c>
      <c r="C921">
        <v>64</v>
      </c>
      <c r="D921" t="s">
        <v>1042</v>
      </c>
      <c r="E921" s="1">
        <v>45245</v>
      </c>
      <c r="F921">
        <v>225</v>
      </c>
      <c r="G921">
        <v>4.5999999999999996</v>
      </c>
      <c r="H921">
        <v>2024</v>
      </c>
      <c r="I921" t="s">
        <v>1048</v>
      </c>
      <c r="J921" t="s">
        <v>1019</v>
      </c>
      <c r="K921">
        <v>5</v>
      </c>
    </row>
    <row r="922" spans="1:11" x14ac:dyDescent="0.3">
      <c r="A922" t="s">
        <v>1966</v>
      </c>
      <c r="B922" t="s">
        <v>1023</v>
      </c>
      <c r="C922">
        <v>53</v>
      </c>
      <c r="D922" t="s">
        <v>1042</v>
      </c>
      <c r="E922" s="1">
        <v>45246</v>
      </c>
      <c r="F922">
        <v>37</v>
      </c>
      <c r="G922">
        <v>4.0999999999999996</v>
      </c>
      <c r="H922">
        <v>2024</v>
      </c>
      <c r="I922" t="s">
        <v>1052</v>
      </c>
      <c r="J922" t="s">
        <v>1034</v>
      </c>
      <c r="K922">
        <v>4</v>
      </c>
    </row>
    <row r="923" spans="1:11" x14ac:dyDescent="0.3">
      <c r="A923" t="s">
        <v>1967</v>
      </c>
      <c r="B923" t="s">
        <v>1068</v>
      </c>
      <c r="C923">
        <v>63</v>
      </c>
      <c r="D923" t="s">
        <v>1024</v>
      </c>
      <c r="E923" s="1">
        <v>45246</v>
      </c>
      <c r="F923">
        <v>44</v>
      </c>
      <c r="G923">
        <v>5</v>
      </c>
      <c r="H923">
        <v>2024</v>
      </c>
      <c r="I923" t="s">
        <v>1052</v>
      </c>
      <c r="J923" t="s">
        <v>1019</v>
      </c>
      <c r="K923">
        <v>5</v>
      </c>
    </row>
    <row r="924" spans="1:11" x14ac:dyDescent="0.3">
      <c r="A924" t="s">
        <v>1968</v>
      </c>
      <c r="B924" t="s">
        <v>1036</v>
      </c>
      <c r="C924">
        <v>54</v>
      </c>
      <c r="D924" t="s">
        <v>1024</v>
      </c>
      <c r="E924" s="1">
        <v>45247</v>
      </c>
      <c r="F924">
        <v>35</v>
      </c>
      <c r="G924">
        <v>2.8</v>
      </c>
      <c r="H924">
        <v>2024</v>
      </c>
      <c r="I924" t="s">
        <v>411</v>
      </c>
      <c r="J924" t="s">
        <v>1034</v>
      </c>
      <c r="K924">
        <v>3</v>
      </c>
    </row>
    <row r="925" spans="1:11" x14ac:dyDescent="0.3">
      <c r="A925" t="s">
        <v>1969</v>
      </c>
      <c r="B925" t="s">
        <v>1068</v>
      </c>
      <c r="C925">
        <v>54</v>
      </c>
      <c r="D925" t="s">
        <v>1017</v>
      </c>
      <c r="E925" s="1">
        <v>45247</v>
      </c>
      <c r="F925">
        <v>145</v>
      </c>
      <c r="G925">
        <v>2.7</v>
      </c>
      <c r="H925">
        <v>2024</v>
      </c>
      <c r="I925" t="s">
        <v>411</v>
      </c>
      <c r="J925" t="s">
        <v>1034</v>
      </c>
      <c r="K925">
        <v>3</v>
      </c>
    </row>
    <row r="926" spans="1:11" x14ac:dyDescent="0.3">
      <c r="A926" t="s">
        <v>1970</v>
      </c>
      <c r="B926" t="s">
        <v>1041</v>
      </c>
      <c r="C926">
        <v>71</v>
      </c>
      <c r="D926" t="s">
        <v>1042</v>
      </c>
      <c r="E926" s="1">
        <v>45247</v>
      </c>
      <c r="F926">
        <v>64</v>
      </c>
      <c r="G926">
        <v>3.9</v>
      </c>
      <c r="H926">
        <v>2024</v>
      </c>
      <c r="I926" t="s">
        <v>411</v>
      </c>
      <c r="J926" t="s">
        <v>1019</v>
      </c>
      <c r="K926">
        <v>4</v>
      </c>
    </row>
    <row r="927" spans="1:11" x14ac:dyDescent="0.3">
      <c r="A927" t="s">
        <v>1971</v>
      </c>
      <c r="B927" t="s">
        <v>1068</v>
      </c>
      <c r="C927">
        <v>93</v>
      </c>
      <c r="D927" t="s">
        <v>1017</v>
      </c>
      <c r="E927" s="1">
        <v>45248</v>
      </c>
      <c r="F927">
        <v>185</v>
      </c>
      <c r="G927">
        <v>4.3</v>
      </c>
      <c r="H927">
        <v>2024</v>
      </c>
      <c r="I927" t="s">
        <v>1062</v>
      </c>
      <c r="J927" t="s">
        <v>1019</v>
      </c>
      <c r="K927">
        <v>4</v>
      </c>
    </row>
    <row r="928" spans="1:11" x14ac:dyDescent="0.3">
      <c r="A928" t="s">
        <v>1972</v>
      </c>
      <c r="B928" t="s">
        <v>1026</v>
      </c>
      <c r="C928">
        <v>96</v>
      </c>
      <c r="D928" t="s">
        <v>1024</v>
      </c>
      <c r="E928" s="1">
        <v>45248</v>
      </c>
      <c r="F928">
        <v>215</v>
      </c>
      <c r="G928">
        <v>2.5</v>
      </c>
      <c r="H928">
        <v>2024</v>
      </c>
      <c r="I928" t="s">
        <v>1062</v>
      </c>
      <c r="J928" t="s">
        <v>1019</v>
      </c>
      <c r="K928">
        <v>3</v>
      </c>
    </row>
    <row r="929" spans="1:11" x14ac:dyDescent="0.3">
      <c r="A929" t="s">
        <v>1973</v>
      </c>
      <c r="B929" t="s">
        <v>1047</v>
      </c>
      <c r="C929">
        <v>31</v>
      </c>
      <c r="D929" t="s">
        <v>1029</v>
      </c>
      <c r="E929" s="1">
        <v>45248</v>
      </c>
      <c r="F929">
        <v>88</v>
      </c>
      <c r="G929">
        <v>3.4</v>
      </c>
      <c r="H929">
        <v>2024</v>
      </c>
      <c r="I929" t="s">
        <v>1062</v>
      </c>
      <c r="J929" t="s">
        <v>1034</v>
      </c>
      <c r="K929">
        <v>3</v>
      </c>
    </row>
    <row r="930" spans="1:11" x14ac:dyDescent="0.3">
      <c r="A930" t="s">
        <v>1974</v>
      </c>
      <c r="B930" t="s">
        <v>1068</v>
      </c>
      <c r="C930">
        <v>107</v>
      </c>
      <c r="D930" t="s">
        <v>1042</v>
      </c>
      <c r="E930" s="1">
        <v>45248</v>
      </c>
      <c r="F930">
        <v>23</v>
      </c>
      <c r="G930">
        <v>3.4</v>
      </c>
      <c r="H930">
        <v>2024</v>
      </c>
      <c r="I930" t="s">
        <v>1062</v>
      </c>
      <c r="J930" t="s">
        <v>1019</v>
      </c>
      <c r="K930">
        <v>3</v>
      </c>
    </row>
    <row r="931" spans="1:11" x14ac:dyDescent="0.3">
      <c r="A931" t="s">
        <v>1975</v>
      </c>
      <c r="B931" t="s">
        <v>1023</v>
      </c>
      <c r="C931">
        <v>50</v>
      </c>
      <c r="D931" t="s">
        <v>1029</v>
      </c>
      <c r="E931" s="1">
        <v>45249</v>
      </c>
      <c r="F931">
        <v>180</v>
      </c>
      <c r="G931">
        <v>1.8</v>
      </c>
      <c r="H931">
        <v>2024</v>
      </c>
      <c r="I931" t="s">
        <v>1018</v>
      </c>
      <c r="J931" t="s">
        <v>1034</v>
      </c>
      <c r="K931">
        <v>2</v>
      </c>
    </row>
    <row r="932" spans="1:11" x14ac:dyDescent="0.3">
      <c r="A932" t="s">
        <v>1976</v>
      </c>
      <c r="B932" t="s">
        <v>1078</v>
      </c>
      <c r="C932">
        <v>69</v>
      </c>
      <c r="D932" t="s">
        <v>1042</v>
      </c>
      <c r="E932" s="1">
        <v>45250</v>
      </c>
      <c r="F932">
        <v>225</v>
      </c>
      <c r="G932">
        <v>3.7</v>
      </c>
      <c r="H932">
        <v>2024</v>
      </c>
      <c r="I932" t="s">
        <v>1030</v>
      </c>
      <c r="J932" t="s">
        <v>1019</v>
      </c>
      <c r="K932">
        <v>4</v>
      </c>
    </row>
    <row r="933" spans="1:11" x14ac:dyDescent="0.3">
      <c r="A933" t="s">
        <v>1977</v>
      </c>
      <c r="B933" t="s">
        <v>1028</v>
      </c>
      <c r="C933">
        <v>26</v>
      </c>
      <c r="D933" t="s">
        <v>1024</v>
      </c>
      <c r="E933" s="1">
        <v>45251</v>
      </c>
      <c r="F933">
        <v>74</v>
      </c>
      <c r="G933">
        <v>4.0999999999999996</v>
      </c>
      <c r="H933">
        <v>2024</v>
      </c>
      <c r="I933" t="s">
        <v>1033</v>
      </c>
      <c r="J933" t="s">
        <v>1056</v>
      </c>
      <c r="K933">
        <v>4</v>
      </c>
    </row>
    <row r="934" spans="1:11" x14ac:dyDescent="0.3">
      <c r="A934" t="s">
        <v>1978</v>
      </c>
      <c r="B934" t="s">
        <v>1026</v>
      </c>
      <c r="C934">
        <v>158</v>
      </c>
      <c r="D934" t="s">
        <v>1042</v>
      </c>
      <c r="E934" s="1">
        <v>45251</v>
      </c>
      <c r="F934">
        <v>36</v>
      </c>
      <c r="G934">
        <v>3</v>
      </c>
      <c r="H934">
        <v>2024</v>
      </c>
      <c r="I934" t="s">
        <v>1033</v>
      </c>
      <c r="J934" t="s">
        <v>1031</v>
      </c>
      <c r="K934">
        <v>3</v>
      </c>
    </row>
    <row r="935" spans="1:11" x14ac:dyDescent="0.3">
      <c r="A935" t="s">
        <v>1979</v>
      </c>
      <c r="B935" t="s">
        <v>1036</v>
      </c>
      <c r="C935">
        <v>99</v>
      </c>
      <c r="D935" t="s">
        <v>1042</v>
      </c>
      <c r="E935" s="1">
        <v>45253</v>
      </c>
      <c r="F935">
        <v>116</v>
      </c>
      <c r="G935">
        <v>3.9</v>
      </c>
      <c r="H935">
        <v>2024</v>
      </c>
      <c r="I935" t="s">
        <v>1052</v>
      </c>
      <c r="J935" t="s">
        <v>1019</v>
      </c>
      <c r="K935">
        <v>4</v>
      </c>
    </row>
    <row r="936" spans="1:11" x14ac:dyDescent="0.3">
      <c r="A936" t="s">
        <v>1980</v>
      </c>
      <c r="B936" t="s">
        <v>1026</v>
      </c>
      <c r="C936">
        <v>78</v>
      </c>
      <c r="D936" t="s">
        <v>1029</v>
      </c>
      <c r="E936" s="1">
        <v>45253</v>
      </c>
      <c r="F936">
        <v>140</v>
      </c>
      <c r="G936">
        <v>4</v>
      </c>
      <c r="H936">
        <v>2024</v>
      </c>
      <c r="I936" t="s">
        <v>1052</v>
      </c>
      <c r="J936" t="s">
        <v>1019</v>
      </c>
      <c r="K936">
        <v>4</v>
      </c>
    </row>
    <row r="937" spans="1:11" x14ac:dyDescent="0.3">
      <c r="A937" t="s">
        <v>1981</v>
      </c>
      <c r="B937" t="s">
        <v>1026</v>
      </c>
      <c r="C937">
        <v>102</v>
      </c>
      <c r="D937" t="s">
        <v>1024</v>
      </c>
      <c r="E937" s="1">
        <v>45254</v>
      </c>
      <c r="F937">
        <v>104</v>
      </c>
      <c r="G937">
        <v>4.5</v>
      </c>
      <c r="H937">
        <v>2024</v>
      </c>
      <c r="I937" t="s">
        <v>411</v>
      </c>
      <c r="J937" t="s">
        <v>1019</v>
      </c>
      <c r="K937">
        <v>5</v>
      </c>
    </row>
    <row r="938" spans="1:11" x14ac:dyDescent="0.3">
      <c r="A938" t="s">
        <v>1982</v>
      </c>
      <c r="B938" t="s">
        <v>1036</v>
      </c>
      <c r="C938">
        <v>158</v>
      </c>
      <c r="D938" t="s">
        <v>1038</v>
      </c>
      <c r="E938" s="1">
        <v>45254</v>
      </c>
      <c r="F938">
        <v>148</v>
      </c>
      <c r="G938">
        <v>4</v>
      </c>
      <c r="H938">
        <v>2024</v>
      </c>
      <c r="I938" t="s">
        <v>411</v>
      </c>
      <c r="J938" t="s">
        <v>1031</v>
      </c>
      <c r="K938">
        <v>4</v>
      </c>
    </row>
    <row r="939" spans="1:11" x14ac:dyDescent="0.3">
      <c r="A939" t="s">
        <v>1983</v>
      </c>
      <c r="B939" t="s">
        <v>1047</v>
      </c>
      <c r="C939">
        <v>56</v>
      </c>
      <c r="D939" t="s">
        <v>1042</v>
      </c>
      <c r="E939" s="1">
        <v>45254</v>
      </c>
      <c r="F939">
        <v>205</v>
      </c>
      <c r="G939">
        <v>4.3</v>
      </c>
      <c r="H939">
        <v>2024</v>
      </c>
      <c r="I939" t="s">
        <v>411</v>
      </c>
      <c r="J939" t="s">
        <v>1034</v>
      </c>
      <c r="K939">
        <v>4</v>
      </c>
    </row>
    <row r="940" spans="1:11" x14ac:dyDescent="0.3">
      <c r="A940" t="s">
        <v>1984</v>
      </c>
      <c r="B940" t="s">
        <v>1021</v>
      </c>
      <c r="C940">
        <v>17</v>
      </c>
      <c r="D940" t="s">
        <v>1017</v>
      </c>
      <c r="E940" s="1">
        <v>45254</v>
      </c>
      <c r="F940">
        <v>210</v>
      </c>
      <c r="G940">
        <v>4.8</v>
      </c>
      <c r="H940">
        <v>2024</v>
      </c>
      <c r="I940" t="s">
        <v>411</v>
      </c>
      <c r="J940" t="s">
        <v>1056</v>
      </c>
      <c r="K940">
        <v>5</v>
      </c>
    </row>
    <row r="941" spans="1:11" x14ac:dyDescent="0.3">
      <c r="A941" t="s">
        <v>1985</v>
      </c>
      <c r="B941" t="s">
        <v>1028</v>
      </c>
      <c r="C941">
        <v>104</v>
      </c>
      <c r="D941" t="s">
        <v>1038</v>
      </c>
      <c r="E941" s="1">
        <v>45256</v>
      </c>
      <c r="F941">
        <v>41</v>
      </c>
      <c r="G941">
        <v>4.7</v>
      </c>
      <c r="H941">
        <v>2024</v>
      </c>
      <c r="I941" t="s">
        <v>1018</v>
      </c>
      <c r="J941" t="s">
        <v>1019</v>
      </c>
      <c r="K941">
        <v>5</v>
      </c>
    </row>
    <row r="942" spans="1:11" x14ac:dyDescent="0.3">
      <c r="A942" t="s">
        <v>1986</v>
      </c>
      <c r="B942" t="s">
        <v>1065</v>
      </c>
      <c r="C942">
        <v>96</v>
      </c>
      <c r="D942" t="s">
        <v>1029</v>
      </c>
      <c r="E942" s="1">
        <v>45256</v>
      </c>
      <c r="F942">
        <v>136</v>
      </c>
      <c r="G942">
        <v>5</v>
      </c>
      <c r="H942">
        <v>2024</v>
      </c>
      <c r="I942" t="s">
        <v>1018</v>
      </c>
      <c r="J942" t="s">
        <v>1019</v>
      </c>
      <c r="K942">
        <v>5</v>
      </c>
    </row>
    <row r="943" spans="1:11" x14ac:dyDescent="0.3">
      <c r="A943" t="s">
        <v>1987</v>
      </c>
      <c r="B943" t="s">
        <v>1055</v>
      </c>
      <c r="C943">
        <v>83</v>
      </c>
      <c r="D943" t="s">
        <v>1024</v>
      </c>
      <c r="E943" s="1">
        <v>45257</v>
      </c>
      <c r="F943">
        <v>126</v>
      </c>
      <c r="G943">
        <v>1.5</v>
      </c>
      <c r="H943">
        <v>2024</v>
      </c>
      <c r="I943" t="s">
        <v>1030</v>
      </c>
      <c r="J943" t="s">
        <v>1019</v>
      </c>
      <c r="K943">
        <v>2</v>
      </c>
    </row>
    <row r="944" spans="1:11" x14ac:dyDescent="0.3">
      <c r="A944" t="s">
        <v>1988</v>
      </c>
      <c r="B944" t="s">
        <v>1023</v>
      </c>
      <c r="C944">
        <v>80</v>
      </c>
      <c r="D944" t="s">
        <v>1017</v>
      </c>
      <c r="E944" s="1">
        <v>45258</v>
      </c>
      <c r="F944">
        <v>148</v>
      </c>
      <c r="G944">
        <v>4.0999999999999996</v>
      </c>
      <c r="H944">
        <v>2024</v>
      </c>
      <c r="I944" t="s">
        <v>1033</v>
      </c>
      <c r="J944" t="s">
        <v>1019</v>
      </c>
      <c r="K944">
        <v>4</v>
      </c>
    </row>
    <row r="945" spans="1:11" x14ac:dyDescent="0.3">
      <c r="A945" t="s">
        <v>1989</v>
      </c>
      <c r="B945" t="s">
        <v>1055</v>
      </c>
      <c r="C945">
        <v>152</v>
      </c>
      <c r="D945" t="s">
        <v>1024</v>
      </c>
      <c r="E945" s="1">
        <v>45258</v>
      </c>
      <c r="F945">
        <v>125</v>
      </c>
      <c r="G945">
        <v>3.9</v>
      </c>
      <c r="H945">
        <v>2024</v>
      </c>
      <c r="I945" t="s">
        <v>1033</v>
      </c>
      <c r="J945" t="s">
        <v>1031</v>
      </c>
      <c r="K945">
        <v>4</v>
      </c>
    </row>
    <row r="946" spans="1:11" x14ac:dyDescent="0.3">
      <c r="A946" t="s">
        <v>1990</v>
      </c>
      <c r="B946" t="s">
        <v>1041</v>
      </c>
      <c r="C946">
        <v>34</v>
      </c>
      <c r="D946" t="s">
        <v>1029</v>
      </c>
      <c r="E946" s="1">
        <v>45258</v>
      </c>
      <c r="F946">
        <v>25</v>
      </c>
      <c r="G946">
        <v>4.0999999999999996</v>
      </c>
      <c r="H946">
        <v>2024</v>
      </c>
      <c r="I946" t="s">
        <v>1033</v>
      </c>
      <c r="J946" t="s">
        <v>1034</v>
      </c>
      <c r="K946">
        <v>4</v>
      </c>
    </row>
    <row r="947" spans="1:11" x14ac:dyDescent="0.3">
      <c r="A947" t="s">
        <v>1991</v>
      </c>
      <c r="B947" t="s">
        <v>1045</v>
      </c>
      <c r="C947">
        <v>2</v>
      </c>
      <c r="D947" t="s">
        <v>1042</v>
      </c>
      <c r="E947" s="1">
        <v>45259</v>
      </c>
      <c r="F947">
        <v>62</v>
      </c>
      <c r="G947">
        <v>2.8</v>
      </c>
      <c r="H947">
        <v>2024</v>
      </c>
      <c r="I947" t="s">
        <v>1048</v>
      </c>
      <c r="J947" t="s">
        <v>1186</v>
      </c>
      <c r="K947">
        <v>3</v>
      </c>
    </row>
    <row r="948" spans="1:11" x14ac:dyDescent="0.3">
      <c r="A948" t="s">
        <v>1992</v>
      </c>
      <c r="B948" t="s">
        <v>1023</v>
      </c>
      <c r="C948">
        <v>140</v>
      </c>
      <c r="D948" t="s">
        <v>1029</v>
      </c>
      <c r="E948" s="1">
        <v>45260</v>
      </c>
      <c r="F948">
        <v>90</v>
      </c>
      <c r="G948">
        <v>4.5999999999999996</v>
      </c>
      <c r="H948">
        <v>2024</v>
      </c>
      <c r="I948" t="s">
        <v>1052</v>
      </c>
      <c r="J948" t="s">
        <v>1031</v>
      </c>
      <c r="K948">
        <v>5</v>
      </c>
    </row>
    <row r="949" spans="1:11" x14ac:dyDescent="0.3">
      <c r="A949" t="s">
        <v>1993</v>
      </c>
      <c r="B949" t="s">
        <v>1021</v>
      </c>
      <c r="C949">
        <v>126</v>
      </c>
      <c r="D949" t="s">
        <v>1038</v>
      </c>
      <c r="E949" s="1">
        <v>45261</v>
      </c>
      <c r="F949">
        <v>33</v>
      </c>
      <c r="G949">
        <v>4.8</v>
      </c>
      <c r="H949">
        <v>2024</v>
      </c>
      <c r="I949" t="s">
        <v>411</v>
      </c>
      <c r="J949" t="s">
        <v>1031</v>
      </c>
      <c r="K949">
        <v>5</v>
      </c>
    </row>
    <row r="950" spans="1:11" x14ac:dyDescent="0.3">
      <c r="A950" t="s">
        <v>1994</v>
      </c>
      <c r="B950" t="s">
        <v>1026</v>
      </c>
      <c r="C950">
        <v>79</v>
      </c>
      <c r="D950" t="s">
        <v>1042</v>
      </c>
      <c r="E950" s="1">
        <v>45261</v>
      </c>
      <c r="F950">
        <v>115</v>
      </c>
      <c r="G950">
        <v>2.2999999999999998</v>
      </c>
      <c r="H950">
        <v>2024</v>
      </c>
      <c r="I950" t="s">
        <v>411</v>
      </c>
      <c r="J950" t="s">
        <v>1019</v>
      </c>
      <c r="K950">
        <v>2</v>
      </c>
    </row>
    <row r="951" spans="1:11" x14ac:dyDescent="0.3">
      <c r="A951" t="s">
        <v>1995</v>
      </c>
      <c r="B951" t="s">
        <v>1021</v>
      </c>
      <c r="C951">
        <v>133</v>
      </c>
      <c r="D951" t="s">
        <v>1038</v>
      </c>
      <c r="E951" s="1">
        <v>45261</v>
      </c>
      <c r="F951">
        <v>45</v>
      </c>
      <c r="G951">
        <v>2.6</v>
      </c>
      <c r="H951">
        <v>2024</v>
      </c>
      <c r="I951" t="s">
        <v>411</v>
      </c>
      <c r="J951" t="s">
        <v>1031</v>
      </c>
      <c r="K951">
        <v>3</v>
      </c>
    </row>
    <row r="952" spans="1:11" x14ac:dyDescent="0.3">
      <c r="A952" t="s">
        <v>1996</v>
      </c>
      <c r="B952" t="s">
        <v>1041</v>
      </c>
      <c r="C952">
        <v>97</v>
      </c>
      <c r="D952" t="s">
        <v>1017</v>
      </c>
      <c r="E952" s="1">
        <v>45261</v>
      </c>
      <c r="F952">
        <v>114</v>
      </c>
      <c r="G952">
        <v>4.8</v>
      </c>
      <c r="H952">
        <v>2024</v>
      </c>
      <c r="I952" t="s">
        <v>411</v>
      </c>
      <c r="J952" t="s">
        <v>1019</v>
      </c>
      <c r="K952">
        <v>5</v>
      </c>
    </row>
    <row r="953" spans="1:11" x14ac:dyDescent="0.3">
      <c r="A953" t="s">
        <v>1997</v>
      </c>
      <c r="B953" t="s">
        <v>1026</v>
      </c>
      <c r="C953">
        <v>102</v>
      </c>
      <c r="D953" t="s">
        <v>1024</v>
      </c>
      <c r="E953" s="1">
        <v>45262</v>
      </c>
      <c r="F953">
        <v>72</v>
      </c>
      <c r="G953">
        <v>3.7</v>
      </c>
      <c r="H953">
        <v>2024</v>
      </c>
      <c r="I953" t="s">
        <v>1062</v>
      </c>
      <c r="J953" t="s">
        <v>1019</v>
      </c>
      <c r="K953">
        <v>4</v>
      </c>
    </row>
    <row r="954" spans="1:11" x14ac:dyDescent="0.3">
      <c r="A954" t="s">
        <v>1998</v>
      </c>
      <c r="B954" t="s">
        <v>1059</v>
      </c>
      <c r="C954">
        <v>62</v>
      </c>
      <c r="D954" t="s">
        <v>1017</v>
      </c>
      <c r="E954" s="1">
        <v>45262</v>
      </c>
      <c r="F954">
        <v>205</v>
      </c>
      <c r="G954">
        <v>4.2</v>
      </c>
      <c r="H954">
        <v>2024</v>
      </c>
      <c r="I954" t="s">
        <v>1062</v>
      </c>
      <c r="J954" t="s">
        <v>1019</v>
      </c>
      <c r="K954">
        <v>4</v>
      </c>
    </row>
    <row r="955" spans="1:11" x14ac:dyDescent="0.3">
      <c r="A955" t="s">
        <v>1999</v>
      </c>
      <c r="B955" t="s">
        <v>1021</v>
      </c>
      <c r="C955">
        <v>149</v>
      </c>
      <c r="D955" t="s">
        <v>1024</v>
      </c>
      <c r="E955" s="1">
        <v>45263</v>
      </c>
      <c r="F955">
        <v>42</v>
      </c>
      <c r="G955">
        <v>3.3</v>
      </c>
      <c r="H955">
        <v>2024</v>
      </c>
      <c r="I955" t="s">
        <v>1018</v>
      </c>
      <c r="J955" t="s">
        <v>1031</v>
      </c>
      <c r="K955">
        <v>3</v>
      </c>
    </row>
    <row r="956" spans="1:11" x14ac:dyDescent="0.3">
      <c r="A956" t="s">
        <v>2000</v>
      </c>
      <c r="B956" t="s">
        <v>1045</v>
      </c>
      <c r="C956">
        <v>133</v>
      </c>
      <c r="D956" t="s">
        <v>1017</v>
      </c>
      <c r="E956" s="1">
        <v>45263</v>
      </c>
      <c r="F956">
        <v>96</v>
      </c>
      <c r="G956">
        <v>4.3</v>
      </c>
      <c r="H956">
        <v>2024</v>
      </c>
      <c r="I956" t="s">
        <v>1018</v>
      </c>
      <c r="J956" t="s">
        <v>1031</v>
      </c>
      <c r="K956">
        <v>4</v>
      </c>
    </row>
    <row r="957" spans="1:11" x14ac:dyDescent="0.3">
      <c r="A957" t="s">
        <v>2001</v>
      </c>
      <c r="B957" t="s">
        <v>1026</v>
      </c>
      <c r="C957">
        <v>51</v>
      </c>
      <c r="D957" t="s">
        <v>1042</v>
      </c>
      <c r="E957" s="1">
        <v>45263</v>
      </c>
      <c r="F957">
        <v>64</v>
      </c>
      <c r="G957">
        <v>3.7</v>
      </c>
      <c r="H957">
        <v>2024</v>
      </c>
      <c r="I957" t="s">
        <v>1018</v>
      </c>
      <c r="J957" t="s">
        <v>1034</v>
      </c>
      <c r="K957">
        <v>4</v>
      </c>
    </row>
    <row r="958" spans="1:11" x14ac:dyDescent="0.3">
      <c r="A958" t="s">
        <v>2002</v>
      </c>
      <c r="B958" t="s">
        <v>1059</v>
      </c>
      <c r="C958">
        <v>110</v>
      </c>
      <c r="D958" t="s">
        <v>1017</v>
      </c>
      <c r="E958" s="1">
        <v>45264</v>
      </c>
      <c r="F958">
        <v>72</v>
      </c>
      <c r="G958">
        <v>3.7</v>
      </c>
      <c r="H958">
        <v>2024</v>
      </c>
      <c r="I958" t="s">
        <v>1030</v>
      </c>
      <c r="J958" t="s">
        <v>1019</v>
      </c>
      <c r="K958">
        <v>4</v>
      </c>
    </row>
    <row r="959" spans="1:11" x14ac:dyDescent="0.3">
      <c r="A959" t="s">
        <v>2003</v>
      </c>
      <c r="B959" t="s">
        <v>1041</v>
      </c>
      <c r="C959">
        <v>38</v>
      </c>
      <c r="D959" t="s">
        <v>1038</v>
      </c>
      <c r="E959" s="1">
        <v>45265</v>
      </c>
      <c r="F959">
        <v>27</v>
      </c>
      <c r="G959">
        <v>3.1</v>
      </c>
      <c r="H959">
        <v>2024</v>
      </c>
      <c r="I959" t="s">
        <v>1033</v>
      </c>
      <c r="J959" t="s">
        <v>1034</v>
      </c>
      <c r="K959">
        <v>3</v>
      </c>
    </row>
    <row r="960" spans="1:11" x14ac:dyDescent="0.3">
      <c r="A960" t="s">
        <v>2004</v>
      </c>
      <c r="B960" t="s">
        <v>1045</v>
      </c>
      <c r="C960">
        <v>78</v>
      </c>
      <c r="D960" t="s">
        <v>1038</v>
      </c>
      <c r="E960" s="1">
        <v>45267</v>
      </c>
      <c r="F960">
        <v>200</v>
      </c>
      <c r="G960">
        <v>2.4</v>
      </c>
      <c r="H960">
        <v>2024</v>
      </c>
      <c r="I960" t="s">
        <v>1052</v>
      </c>
      <c r="J960" t="s">
        <v>1019</v>
      </c>
      <c r="K960">
        <v>2</v>
      </c>
    </row>
    <row r="961" spans="1:11" x14ac:dyDescent="0.3">
      <c r="A961" t="s">
        <v>2005</v>
      </c>
      <c r="B961" t="s">
        <v>1041</v>
      </c>
      <c r="C961">
        <v>25</v>
      </c>
      <c r="D961" t="s">
        <v>1024</v>
      </c>
      <c r="E961" s="1">
        <v>45268</v>
      </c>
      <c r="F961">
        <v>93</v>
      </c>
      <c r="G961">
        <v>3.5</v>
      </c>
      <c r="H961">
        <v>2024</v>
      </c>
      <c r="I961" t="s">
        <v>411</v>
      </c>
      <c r="J961" t="s">
        <v>1056</v>
      </c>
      <c r="K961">
        <v>4</v>
      </c>
    </row>
    <row r="962" spans="1:11" x14ac:dyDescent="0.3">
      <c r="A962" t="s">
        <v>2006</v>
      </c>
      <c r="B962" t="s">
        <v>1068</v>
      </c>
      <c r="C962">
        <v>50</v>
      </c>
      <c r="D962" t="s">
        <v>1042</v>
      </c>
      <c r="E962" s="1">
        <v>45268</v>
      </c>
      <c r="F962">
        <v>54</v>
      </c>
      <c r="G962">
        <v>4.3</v>
      </c>
      <c r="H962">
        <v>2024</v>
      </c>
      <c r="I962" t="s">
        <v>411</v>
      </c>
      <c r="J962" t="s">
        <v>1034</v>
      </c>
      <c r="K962">
        <v>4</v>
      </c>
    </row>
    <row r="963" spans="1:11" x14ac:dyDescent="0.3">
      <c r="A963" t="s">
        <v>2007</v>
      </c>
      <c r="B963" t="s">
        <v>1041</v>
      </c>
      <c r="C963">
        <v>103</v>
      </c>
      <c r="D963" t="s">
        <v>1024</v>
      </c>
      <c r="E963" s="1">
        <v>45269</v>
      </c>
      <c r="F963">
        <v>72</v>
      </c>
      <c r="G963">
        <v>3.4</v>
      </c>
      <c r="H963">
        <v>2024</v>
      </c>
      <c r="I963" t="s">
        <v>1062</v>
      </c>
      <c r="J963" t="s">
        <v>1019</v>
      </c>
      <c r="K963">
        <v>3</v>
      </c>
    </row>
    <row r="964" spans="1:11" x14ac:dyDescent="0.3">
      <c r="A964" t="s">
        <v>2008</v>
      </c>
      <c r="B964" t="s">
        <v>1055</v>
      </c>
      <c r="C964">
        <v>63</v>
      </c>
      <c r="D964" t="s">
        <v>1029</v>
      </c>
      <c r="E964" s="1">
        <v>45269</v>
      </c>
      <c r="F964">
        <v>82</v>
      </c>
      <c r="G964">
        <v>3.7</v>
      </c>
      <c r="H964">
        <v>2024</v>
      </c>
      <c r="I964" t="s">
        <v>1062</v>
      </c>
      <c r="J964" t="s">
        <v>1019</v>
      </c>
      <c r="K964">
        <v>4</v>
      </c>
    </row>
    <row r="965" spans="1:11" x14ac:dyDescent="0.3">
      <c r="A965" t="s">
        <v>2009</v>
      </c>
      <c r="B965" t="s">
        <v>1068</v>
      </c>
      <c r="C965">
        <v>96</v>
      </c>
      <c r="D965" t="s">
        <v>1042</v>
      </c>
      <c r="E965" s="1">
        <v>45273</v>
      </c>
      <c r="F965">
        <v>164</v>
      </c>
      <c r="G965">
        <v>4.8</v>
      </c>
      <c r="H965">
        <v>2024</v>
      </c>
      <c r="I965" t="s">
        <v>1048</v>
      </c>
      <c r="J965" t="s">
        <v>1019</v>
      </c>
      <c r="K965">
        <v>5</v>
      </c>
    </row>
    <row r="966" spans="1:11" x14ac:dyDescent="0.3">
      <c r="A966" t="s">
        <v>2010</v>
      </c>
      <c r="B966" t="s">
        <v>1023</v>
      </c>
      <c r="C966">
        <v>94</v>
      </c>
      <c r="D966" t="s">
        <v>1024</v>
      </c>
      <c r="E966" s="1">
        <v>45273</v>
      </c>
      <c r="F966">
        <v>78</v>
      </c>
      <c r="G966">
        <v>3.3</v>
      </c>
      <c r="H966">
        <v>2024</v>
      </c>
      <c r="I966" t="s">
        <v>1048</v>
      </c>
      <c r="J966" t="s">
        <v>1019</v>
      </c>
      <c r="K966">
        <v>3</v>
      </c>
    </row>
    <row r="967" spans="1:11" x14ac:dyDescent="0.3">
      <c r="A967" t="s">
        <v>2011</v>
      </c>
      <c r="B967" t="s">
        <v>1059</v>
      </c>
      <c r="C967">
        <v>46</v>
      </c>
      <c r="D967" t="s">
        <v>1038</v>
      </c>
      <c r="E967" s="1">
        <v>45274</v>
      </c>
      <c r="F967">
        <v>135</v>
      </c>
      <c r="G967">
        <v>4.2</v>
      </c>
      <c r="H967">
        <v>2024</v>
      </c>
      <c r="I967" t="s">
        <v>1052</v>
      </c>
      <c r="J967" t="s">
        <v>1034</v>
      </c>
      <c r="K967">
        <v>4</v>
      </c>
    </row>
    <row r="968" spans="1:11" x14ac:dyDescent="0.3">
      <c r="A968" t="s">
        <v>2012</v>
      </c>
      <c r="B968" t="s">
        <v>1098</v>
      </c>
      <c r="C968">
        <v>127</v>
      </c>
      <c r="D968" t="s">
        <v>1042</v>
      </c>
      <c r="E968" s="1">
        <v>45275</v>
      </c>
      <c r="F968">
        <v>145</v>
      </c>
      <c r="G968">
        <v>2.6</v>
      </c>
      <c r="H968">
        <v>2024</v>
      </c>
      <c r="I968" t="s">
        <v>411</v>
      </c>
      <c r="J968" t="s">
        <v>1031</v>
      </c>
      <c r="K968">
        <v>3</v>
      </c>
    </row>
    <row r="969" spans="1:11" x14ac:dyDescent="0.3">
      <c r="A969" t="s">
        <v>2013</v>
      </c>
      <c r="B969" t="s">
        <v>1036</v>
      </c>
      <c r="C969">
        <v>96</v>
      </c>
      <c r="D969" t="s">
        <v>1038</v>
      </c>
      <c r="E969" s="1">
        <v>45275</v>
      </c>
      <c r="F969">
        <v>115</v>
      </c>
      <c r="G969">
        <v>4.9000000000000004</v>
      </c>
      <c r="H969">
        <v>2024</v>
      </c>
      <c r="I969" t="s">
        <v>411</v>
      </c>
      <c r="J969" t="s">
        <v>1019</v>
      </c>
      <c r="K969">
        <v>5</v>
      </c>
    </row>
    <row r="970" spans="1:11" x14ac:dyDescent="0.3">
      <c r="A970" t="s">
        <v>2014</v>
      </c>
      <c r="B970" t="s">
        <v>1078</v>
      </c>
      <c r="C970">
        <v>151</v>
      </c>
      <c r="D970" t="s">
        <v>1024</v>
      </c>
      <c r="E970" s="1">
        <v>45275</v>
      </c>
      <c r="F970">
        <v>117</v>
      </c>
      <c r="G970">
        <v>2</v>
      </c>
      <c r="H970">
        <v>2024</v>
      </c>
      <c r="I970" t="s">
        <v>411</v>
      </c>
      <c r="J970" t="s">
        <v>1031</v>
      </c>
      <c r="K970">
        <v>2</v>
      </c>
    </row>
    <row r="971" spans="1:11" x14ac:dyDescent="0.3">
      <c r="A971" t="s">
        <v>2015</v>
      </c>
      <c r="B971" t="s">
        <v>1098</v>
      </c>
      <c r="C971">
        <v>158</v>
      </c>
      <c r="D971" t="s">
        <v>1017</v>
      </c>
      <c r="E971" s="1">
        <v>45276</v>
      </c>
      <c r="F971">
        <v>36</v>
      </c>
      <c r="G971">
        <v>4.7</v>
      </c>
      <c r="H971">
        <v>2024</v>
      </c>
      <c r="I971" t="s">
        <v>1062</v>
      </c>
      <c r="J971" t="s">
        <v>1031</v>
      </c>
      <c r="K971">
        <v>5</v>
      </c>
    </row>
    <row r="972" spans="1:11" x14ac:dyDescent="0.3">
      <c r="A972" t="s">
        <v>2016</v>
      </c>
      <c r="B972" t="s">
        <v>1023</v>
      </c>
      <c r="C972">
        <v>45</v>
      </c>
      <c r="D972" t="s">
        <v>1017</v>
      </c>
      <c r="E972" s="1">
        <v>45276</v>
      </c>
      <c r="F972">
        <v>84</v>
      </c>
      <c r="G972">
        <v>2.8</v>
      </c>
      <c r="H972">
        <v>2024</v>
      </c>
      <c r="I972" t="s">
        <v>1062</v>
      </c>
      <c r="J972" t="s">
        <v>1034</v>
      </c>
      <c r="K972">
        <v>3</v>
      </c>
    </row>
    <row r="973" spans="1:11" x14ac:dyDescent="0.3">
      <c r="A973" t="s">
        <v>2017</v>
      </c>
      <c r="B973" t="s">
        <v>1047</v>
      </c>
      <c r="C973">
        <v>141</v>
      </c>
      <c r="D973" t="s">
        <v>1017</v>
      </c>
      <c r="E973" s="1">
        <v>45276</v>
      </c>
      <c r="F973">
        <v>66</v>
      </c>
      <c r="G973">
        <v>3.2</v>
      </c>
      <c r="H973">
        <v>2024</v>
      </c>
      <c r="I973" t="s">
        <v>1062</v>
      </c>
      <c r="J973" t="s">
        <v>1031</v>
      </c>
      <c r="K973">
        <v>3</v>
      </c>
    </row>
    <row r="974" spans="1:11" x14ac:dyDescent="0.3">
      <c r="A974" t="s">
        <v>2018</v>
      </c>
      <c r="B974" t="s">
        <v>1041</v>
      </c>
      <c r="C974">
        <v>147</v>
      </c>
      <c r="D974" t="s">
        <v>1038</v>
      </c>
      <c r="E974" s="1">
        <v>45276</v>
      </c>
      <c r="F974">
        <v>76</v>
      </c>
      <c r="G974">
        <v>4.7</v>
      </c>
      <c r="H974">
        <v>2024</v>
      </c>
      <c r="I974" t="s">
        <v>1062</v>
      </c>
      <c r="J974" t="s">
        <v>1031</v>
      </c>
      <c r="K974">
        <v>5</v>
      </c>
    </row>
    <row r="975" spans="1:11" x14ac:dyDescent="0.3">
      <c r="A975" t="s">
        <v>2019</v>
      </c>
      <c r="B975" t="s">
        <v>1065</v>
      </c>
      <c r="C975">
        <v>126</v>
      </c>
      <c r="D975" t="s">
        <v>1038</v>
      </c>
      <c r="E975" s="1">
        <v>45276</v>
      </c>
      <c r="F975">
        <v>185</v>
      </c>
      <c r="G975">
        <v>4.8</v>
      </c>
      <c r="H975">
        <v>2024</v>
      </c>
      <c r="I975" t="s">
        <v>1062</v>
      </c>
      <c r="J975" t="s">
        <v>1031</v>
      </c>
      <c r="K975">
        <v>5</v>
      </c>
    </row>
    <row r="976" spans="1:11" x14ac:dyDescent="0.3">
      <c r="A976" t="s">
        <v>2020</v>
      </c>
      <c r="B976" t="s">
        <v>1023</v>
      </c>
      <c r="C976">
        <v>126</v>
      </c>
      <c r="D976" t="s">
        <v>1029</v>
      </c>
      <c r="E976" s="1">
        <v>45277</v>
      </c>
      <c r="F976">
        <v>80</v>
      </c>
      <c r="G976">
        <v>4.7</v>
      </c>
      <c r="H976">
        <v>2024</v>
      </c>
      <c r="I976" t="s">
        <v>1018</v>
      </c>
      <c r="J976" t="s">
        <v>1031</v>
      </c>
      <c r="K976">
        <v>5</v>
      </c>
    </row>
    <row r="977" spans="1:11" x14ac:dyDescent="0.3">
      <c r="A977" t="s">
        <v>2021</v>
      </c>
      <c r="B977" t="s">
        <v>1045</v>
      </c>
      <c r="C977">
        <v>32</v>
      </c>
      <c r="D977" t="s">
        <v>1038</v>
      </c>
      <c r="E977" s="1">
        <v>45277</v>
      </c>
      <c r="F977">
        <v>148</v>
      </c>
      <c r="G977">
        <v>4</v>
      </c>
      <c r="H977">
        <v>2024</v>
      </c>
      <c r="I977" t="s">
        <v>1018</v>
      </c>
      <c r="J977" t="s">
        <v>1034</v>
      </c>
      <c r="K977">
        <v>4</v>
      </c>
    </row>
    <row r="978" spans="1:11" x14ac:dyDescent="0.3">
      <c r="A978" t="s">
        <v>2022</v>
      </c>
      <c r="B978" t="s">
        <v>1023</v>
      </c>
      <c r="C978">
        <v>84</v>
      </c>
      <c r="D978" t="s">
        <v>1042</v>
      </c>
      <c r="E978" s="1">
        <v>45279</v>
      </c>
      <c r="F978">
        <v>180</v>
      </c>
      <c r="G978">
        <v>4.9000000000000004</v>
      </c>
      <c r="H978">
        <v>2024</v>
      </c>
      <c r="I978" t="s">
        <v>1033</v>
      </c>
      <c r="J978" t="s">
        <v>1019</v>
      </c>
      <c r="K978">
        <v>5</v>
      </c>
    </row>
    <row r="979" spans="1:11" x14ac:dyDescent="0.3">
      <c r="A979" t="s">
        <v>2023</v>
      </c>
      <c r="B979" t="s">
        <v>1055</v>
      </c>
      <c r="C979">
        <v>120</v>
      </c>
      <c r="D979" t="s">
        <v>1029</v>
      </c>
      <c r="E979" s="1">
        <v>45280</v>
      </c>
      <c r="F979">
        <v>190</v>
      </c>
      <c r="G979">
        <v>3.7</v>
      </c>
      <c r="H979">
        <v>2024</v>
      </c>
      <c r="I979" t="s">
        <v>1048</v>
      </c>
      <c r="J979" t="s">
        <v>1019</v>
      </c>
      <c r="K979">
        <v>4</v>
      </c>
    </row>
    <row r="980" spans="1:11" x14ac:dyDescent="0.3">
      <c r="A980" t="s">
        <v>2024</v>
      </c>
      <c r="B980" t="s">
        <v>1028</v>
      </c>
      <c r="C980">
        <v>93</v>
      </c>
      <c r="D980" t="s">
        <v>1038</v>
      </c>
      <c r="E980" s="1">
        <v>45280</v>
      </c>
      <c r="F980">
        <v>38</v>
      </c>
      <c r="G980">
        <v>4.5</v>
      </c>
      <c r="H980">
        <v>2024</v>
      </c>
      <c r="I980" t="s">
        <v>1048</v>
      </c>
      <c r="J980" t="s">
        <v>1019</v>
      </c>
      <c r="K980">
        <v>5</v>
      </c>
    </row>
    <row r="981" spans="1:11" x14ac:dyDescent="0.3">
      <c r="A981" t="s">
        <v>2025</v>
      </c>
      <c r="B981" t="s">
        <v>1036</v>
      </c>
      <c r="C981">
        <v>76</v>
      </c>
      <c r="D981" t="s">
        <v>1024</v>
      </c>
      <c r="E981" s="1">
        <v>45281</v>
      </c>
      <c r="F981">
        <v>82</v>
      </c>
      <c r="G981">
        <v>2.1</v>
      </c>
      <c r="H981">
        <v>2024</v>
      </c>
      <c r="I981" t="s">
        <v>1052</v>
      </c>
      <c r="J981" t="s">
        <v>1019</v>
      </c>
      <c r="K981">
        <v>2</v>
      </c>
    </row>
    <row r="982" spans="1:11" x14ac:dyDescent="0.3">
      <c r="A982" t="s">
        <v>2026</v>
      </c>
      <c r="B982" t="s">
        <v>1098</v>
      </c>
      <c r="C982">
        <v>89</v>
      </c>
      <c r="D982" t="s">
        <v>1038</v>
      </c>
      <c r="E982" s="1">
        <v>45284</v>
      </c>
      <c r="F982">
        <v>88</v>
      </c>
      <c r="G982">
        <v>2.8</v>
      </c>
      <c r="H982">
        <v>2024</v>
      </c>
      <c r="I982" t="s">
        <v>1018</v>
      </c>
      <c r="J982" t="s">
        <v>1019</v>
      </c>
      <c r="K982">
        <v>3</v>
      </c>
    </row>
    <row r="983" spans="1:11" x14ac:dyDescent="0.3">
      <c r="A983" t="s">
        <v>2027</v>
      </c>
      <c r="B983" t="s">
        <v>1026</v>
      </c>
      <c r="C983">
        <v>91</v>
      </c>
      <c r="D983" t="s">
        <v>1042</v>
      </c>
      <c r="E983" s="1">
        <v>45284</v>
      </c>
      <c r="F983">
        <v>42</v>
      </c>
      <c r="G983">
        <v>4.0999999999999996</v>
      </c>
      <c r="H983">
        <v>2024</v>
      </c>
      <c r="I983" t="s">
        <v>1018</v>
      </c>
      <c r="J983" t="s">
        <v>1019</v>
      </c>
      <c r="K983">
        <v>4</v>
      </c>
    </row>
    <row r="984" spans="1:11" x14ac:dyDescent="0.3">
      <c r="A984" t="s">
        <v>2028</v>
      </c>
      <c r="B984" t="s">
        <v>1059</v>
      </c>
      <c r="C984">
        <v>7</v>
      </c>
      <c r="D984" t="s">
        <v>1017</v>
      </c>
      <c r="E984" s="1">
        <v>45285</v>
      </c>
      <c r="F984">
        <v>64</v>
      </c>
      <c r="G984">
        <v>3.3</v>
      </c>
      <c r="H984">
        <v>2024</v>
      </c>
      <c r="I984" t="s">
        <v>1030</v>
      </c>
      <c r="J984" t="s">
        <v>1186</v>
      </c>
      <c r="K984">
        <v>3</v>
      </c>
    </row>
    <row r="985" spans="1:11" x14ac:dyDescent="0.3">
      <c r="A985" t="s">
        <v>2029</v>
      </c>
      <c r="B985" t="s">
        <v>1045</v>
      </c>
      <c r="C985">
        <v>140</v>
      </c>
      <c r="D985" t="s">
        <v>1017</v>
      </c>
      <c r="E985" s="1">
        <v>45285</v>
      </c>
      <c r="F985">
        <v>105</v>
      </c>
      <c r="G985">
        <v>1.7</v>
      </c>
      <c r="H985">
        <v>2024</v>
      </c>
      <c r="I985" t="s">
        <v>1030</v>
      </c>
      <c r="J985" t="s">
        <v>1031</v>
      </c>
      <c r="K985">
        <v>2</v>
      </c>
    </row>
    <row r="986" spans="1:11" x14ac:dyDescent="0.3">
      <c r="A986" t="s">
        <v>2030</v>
      </c>
      <c r="B986" t="s">
        <v>1021</v>
      </c>
      <c r="C986">
        <v>58</v>
      </c>
      <c r="D986" t="s">
        <v>1029</v>
      </c>
      <c r="E986" s="1">
        <v>45285</v>
      </c>
      <c r="F986">
        <v>25</v>
      </c>
      <c r="G986">
        <v>3.6</v>
      </c>
      <c r="H986">
        <v>2024</v>
      </c>
      <c r="I986" t="s">
        <v>1030</v>
      </c>
      <c r="J986" t="s">
        <v>1034</v>
      </c>
      <c r="K986">
        <v>4</v>
      </c>
    </row>
    <row r="987" spans="1:11" x14ac:dyDescent="0.3">
      <c r="A987" t="s">
        <v>2031</v>
      </c>
      <c r="B987" t="s">
        <v>1016</v>
      </c>
      <c r="C987">
        <v>90</v>
      </c>
      <c r="D987" t="s">
        <v>1024</v>
      </c>
      <c r="E987" s="1">
        <v>45286</v>
      </c>
      <c r="F987">
        <v>176</v>
      </c>
      <c r="G987">
        <v>3.6</v>
      </c>
      <c r="H987">
        <v>2024</v>
      </c>
      <c r="I987" t="s">
        <v>1033</v>
      </c>
      <c r="J987" t="s">
        <v>1019</v>
      </c>
      <c r="K987">
        <v>4</v>
      </c>
    </row>
    <row r="988" spans="1:11" x14ac:dyDescent="0.3">
      <c r="A988" t="s">
        <v>2032</v>
      </c>
      <c r="B988" t="s">
        <v>1016</v>
      </c>
      <c r="C988">
        <v>106</v>
      </c>
      <c r="D988" t="s">
        <v>1038</v>
      </c>
      <c r="E988" s="1">
        <v>45287</v>
      </c>
      <c r="F988">
        <v>46</v>
      </c>
      <c r="G988">
        <v>4.5999999999999996</v>
      </c>
      <c r="H988">
        <v>2024</v>
      </c>
      <c r="I988" t="s">
        <v>1048</v>
      </c>
      <c r="J988" t="s">
        <v>1019</v>
      </c>
      <c r="K988">
        <v>5</v>
      </c>
    </row>
    <row r="989" spans="1:11" x14ac:dyDescent="0.3">
      <c r="A989" t="s">
        <v>2033</v>
      </c>
      <c r="B989" t="s">
        <v>1055</v>
      </c>
      <c r="C989">
        <v>72</v>
      </c>
      <c r="D989" t="s">
        <v>1017</v>
      </c>
      <c r="E989" s="1">
        <v>45287</v>
      </c>
      <c r="F989">
        <v>164</v>
      </c>
      <c r="G989">
        <v>4.8</v>
      </c>
      <c r="H989">
        <v>2024</v>
      </c>
      <c r="I989" t="s">
        <v>1048</v>
      </c>
      <c r="J989" t="s">
        <v>1019</v>
      </c>
      <c r="K989">
        <v>5</v>
      </c>
    </row>
    <row r="990" spans="1:11" x14ac:dyDescent="0.3">
      <c r="A990" t="s">
        <v>2034</v>
      </c>
      <c r="B990" t="s">
        <v>1059</v>
      </c>
      <c r="C990">
        <v>124</v>
      </c>
      <c r="D990" t="s">
        <v>1017</v>
      </c>
      <c r="E990" s="1">
        <v>45288</v>
      </c>
      <c r="F990">
        <v>64</v>
      </c>
      <c r="G990">
        <v>4.5</v>
      </c>
      <c r="H990">
        <v>2024</v>
      </c>
      <c r="I990" t="s">
        <v>1052</v>
      </c>
      <c r="J990" t="s">
        <v>1031</v>
      </c>
      <c r="K990">
        <v>5</v>
      </c>
    </row>
    <row r="991" spans="1:11" x14ac:dyDescent="0.3">
      <c r="A991" t="s">
        <v>2035</v>
      </c>
      <c r="B991" t="s">
        <v>1047</v>
      </c>
      <c r="C991">
        <v>86</v>
      </c>
      <c r="D991" t="s">
        <v>1042</v>
      </c>
      <c r="E991" s="1">
        <v>45288</v>
      </c>
      <c r="F991">
        <v>205</v>
      </c>
      <c r="G991">
        <v>4.5</v>
      </c>
      <c r="H991">
        <v>2024</v>
      </c>
      <c r="I991" t="s">
        <v>1052</v>
      </c>
      <c r="J991" t="s">
        <v>1019</v>
      </c>
      <c r="K991">
        <v>5</v>
      </c>
    </row>
    <row r="992" spans="1:11" x14ac:dyDescent="0.3">
      <c r="A992" t="s">
        <v>2036</v>
      </c>
      <c r="B992" t="s">
        <v>1023</v>
      </c>
      <c r="C992">
        <v>164</v>
      </c>
      <c r="D992" t="s">
        <v>1042</v>
      </c>
      <c r="E992" s="1">
        <v>45289</v>
      </c>
      <c r="F992">
        <v>100</v>
      </c>
      <c r="G992">
        <v>4.5999999999999996</v>
      </c>
      <c r="H992">
        <v>2024</v>
      </c>
      <c r="I992" t="s">
        <v>411</v>
      </c>
      <c r="J992" t="s">
        <v>1031</v>
      </c>
      <c r="K992">
        <v>5</v>
      </c>
    </row>
    <row r="993" spans="1:19" x14ac:dyDescent="0.3">
      <c r="A993" t="s">
        <v>2037</v>
      </c>
      <c r="B993" t="s">
        <v>1028</v>
      </c>
      <c r="C993">
        <v>40</v>
      </c>
      <c r="D993" t="s">
        <v>1024</v>
      </c>
      <c r="E993" s="1">
        <v>45289</v>
      </c>
      <c r="F993">
        <v>111</v>
      </c>
      <c r="G993">
        <v>4.5999999999999996</v>
      </c>
      <c r="H993">
        <v>2024</v>
      </c>
      <c r="I993" t="s">
        <v>411</v>
      </c>
      <c r="J993" t="s">
        <v>1034</v>
      </c>
      <c r="K993">
        <v>5</v>
      </c>
    </row>
    <row r="994" spans="1:19" x14ac:dyDescent="0.3">
      <c r="A994" t="s">
        <v>2038</v>
      </c>
      <c r="B994" t="s">
        <v>1026</v>
      </c>
      <c r="C994">
        <v>76</v>
      </c>
      <c r="D994" t="s">
        <v>1029</v>
      </c>
      <c r="E994" s="1">
        <v>45289</v>
      </c>
      <c r="F994">
        <v>80</v>
      </c>
      <c r="G994">
        <v>3.5</v>
      </c>
      <c r="H994">
        <v>2024</v>
      </c>
      <c r="I994" t="s">
        <v>411</v>
      </c>
      <c r="J994" t="s">
        <v>1019</v>
      </c>
      <c r="K994">
        <v>4</v>
      </c>
    </row>
    <row r="995" spans="1:19" x14ac:dyDescent="0.3">
      <c r="A995" t="s">
        <v>2039</v>
      </c>
      <c r="B995" t="s">
        <v>1059</v>
      </c>
      <c r="C995">
        <v>95</v>
      </c>
      <c r="D995" t="s">
        <v>1038</v>
      </c>
      <c r="E995" s="1">
        <v>45289</v>
      </c>
      <c r="F995">
        <v>50</v>
      </c>
      <c r="G995">
        <v>2.9</v>
      </c>
      <c r="H995">
        <v>2024</v>
      </c>
      <c r="I995" t="s">
        <v>411</v>
      </c>
      <c r="J995" t="s">
        <v>1019</v>
      </c>
      <c r="K995">
        <v>3</v>
      </c>
    </row>
    <row r="996" spans="1:19" x14ac:dyDescent="0.3">
      <c r="A996" t="s">
        <v>2040</v>
      </c>
      <c r="B996" t="s">
        <v>1026</v>
      </c>
      <c r="C996">
        <v>113</v>
      </c>
      <c r="D996" t="s">
        <v>1017</v>
      </c>
      <c r="E996" s="1">
        <v>45290</v>
      </c>
      <c r="F996">
        <v>165</v>
      </c>
      <c r="G996">
        <v>4.7</v>
      </c>
      <c r="H996">
        <v>2024</v>
      </c>
      <c r="I996" t="s">
        <v>1062</v>
      </c>
      <c r="J996" t="s">
        <v>1019</v>
      </c>
      <c r="K996">
        <v>5</v>
      </c>
    </row>
    <row r="997" spans="1:19" x14ac:dyDescent="0.3">
      <c r="A997" t="s">
        <v>2041</v>
      </c>
      <c r="B997" t="s">
        <v>1047</v>
      </c>
      <c r="C997">
        <v>81</v>
      </c>
      <c r="D997" t="s">
        <v>1017</v>
      </c>
      <c r="E997" s="1">
        <v>45290</v>
      </c>
      <c r="F997">
        <v>28</v>
      </c>
      <c r="G997">
        <v>3.9</v>
      </c>
      <c r="H997">
        <v>2024</v>
      </c>
      <c r="I997" t="s">
        <v>1062</v>
      </c>
      <c r="J997" t="s">
        <v>1019</v>
      </c>
      <c r="K997">
        <v>4</v>
      </c>
    </row>
    <row r="998" spans="1:19" x14ac:dyDescent="0.3">
      <c r="A998" t="s">
        <v>2042</v>
      </c>
      <c r="B998" t="s">
        <v>1036</v>
      </c>
      <c r="C998">
        <v>127</v>
      </c>
      <c r="D998" t="s">
        <v>1038</v>
      </c>
      <c r="E998" s="1">
        <v>45290</v>
      </c>
      <c r="F998">
        <v>215</v>
      </c>
      <c r="G998">
        <v>3.8</v>
      </c>
      <c r="H998">
        <v>2024</v>
      </c>
      <c r="I998" t="s">
        <v>1062</v>
      </c>
      <c r="J998" t="s">
        <v>1031</v>
      </c>
      <c r="K998">
        <v>4</v>
      </c>
    </row>
    <row r="999" spans="1:19" x14ac:dyDescent="0.3">
      <c r="A999" t="s">
        <v>2043</v>
      </c>
      <c r="B999" t="s">
        <v>1045</v>
      </c>
      <c r="C999">
        <v>146</v>
      </c>
      <c r="D999" t="s">
        <v>1017</v>
      </c>
      <c r="E999" s="1">
        <v>45291</v>
      </c>
      <c r="F999">
        <v>115</v>
      </c>
      <c r="G999">
        <v>2.2999999999999998</v>
      </c>
      <c r="H999">
        <v>2024</v>
      </c>
      <c r="I999" t="s">
        <v>1018</v>
      </c>
      <c r="J999" t="s">
        <v>1031</v>
      </c>
      <c r="K999">
        <v>2</v>
      </c>
    </row>
    <row r="1000" spans="1:19" x14ac:dyDescent="0.3">
      <c r="A1000" t="s">
        <v>2044</v>
      </c>
      <c r="B1000" t="s">
        <v>1041</v>
      </c>
      <c r="C1000">
        <v>123</v>
      </c>
      <c r="D1000" t="s">
        <v>1017</v>
      </c>
      <c r="E1000" s="1">
        <v>45291</v>
      </c>
      <c r="F1000">
        <v>64</v>
      </c>
      <c r="G1000">
        <v>3.7</v>
      </c>
      <c r="H1000">
        <v>2024</v>
      </c>
      <c r="I1000" t="s">
        <v>1018</v>
      </c>
      <c r="J1000" t="s">
        <v>1031</v>
      </c>
      <c r="K1000">
        <v>4</v>
      </c>
    </row>
    <row r="1001" spans="1:19" x14ac:dyDescent="0.3">
      <c r="A1001" t="s">
        <v>2045</v>
      </c>
      <c r="B1001" t="s">
        <v>1055</v>
      </c>
      <c r="C1001">
        <v>114</v>
      </c>
      <c r="D1001" t="s">
        <v>1029</v>
      </c>
      <c r="E1001" s="1">
        <v>45291</v>
      </c>
      <c r="F1001">
        <v>40</v>
      </c>
      <c r="G1001">
        <v>3.9</v>
      </c>
      <c r="H1001">
        <v>2024</v>
      </c>
      <c r="I1001" t="s">
        <v>1018</v>
      </c>
      <c r="J1001" t="s">
        <v>1019</v>
      </c>
      <c r="K1001">
        <v>4</v>
      </c>
    </row>
    <row r="1002" spans="1:19" x14ac:dyDescent="0.3">
      <c r="A1002" t="s">
        <v>145</v>
      </c>
      <c r="S1002">
        <f>SUBTOTAL(103,Data__2[City])</f>
        <v>15</v>
      </c>
    </row>
  </sheetData>
  <phoneticPr fontId="16" type="noConversion"/>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E4ED1-0025-4AF9-90DF-A258191CE903}">
  <dimension ref="A1:B6"/>
  <sheetViews>
    <sheetView workbookViewId="0">
      <selection activeCell="G28" sqref="G28"/>
    </sheetView>
  </sheetViews>
  <sheetFormatPr defaultRowHeight="14.4" x14ac:dyDescent="0.3"/>
  <cols>
    <col min="1" max="1" width="8.5546875" bestFit="1" customWidth="1"/>
    <col min="2" max="2" width="11.88671875" bestFit="1" customWidth="1"/>
  </cols>
  <sheetData>
    <row r="1" spans="1:2" x14ac:dyDescent="0.3">
      <c r="A1" t="s">
        <v>2046</v>
      </c>
      <c r="B1" t="s">
        <v>2047</v>
      </c>
    </row>
    <row r="2" spans="1:2" x14ac:dyDescent="0.3">
      <c r="A2" t="s">
        <v>1029</v>
      </c>
    </row>
    <row r="3" spans="1:2" x14ac:dyDescent="0.3">
      <c r="A3" t="s">
        <v>1024</v>
      </c>
    </row>
    <row r="4" spans="1:2" x14ac:dyDescent="0.3">
      <c r="A4" t="s">
        <v>1042</v>
      </c>
    </row>
    <row r="5" spans="1:2" x14ac:dyDescent="0.3">
      <c r="A5" t="s">
        <v>1038</v>
      </c>
    </row>
    <row r="6" spans="1:2" x14ac:dyDescent="0.3">
      <c r="A6" t="s">
        <v>1017</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51AB4-E81E-498F-B6EE-69D654BD3907}">
  <dimension ref="A1:D16"/>
  <sheetViews>
    <sheetView workbookViewId="0">
      <selection activeCell="G28" sqref="G28"/>
    </sheetView>
  </sheetViews>
  <sheetFormatPr defaultRowHeight="14.4" x14ac:dyDescent="0.3"/>
  <cols>
    <col min="1" max="1" width="13.44140625" bestFit="1" customWidth="1"/>
    <col min="2" max="2" width="9.33203125" bestFit="1" customWidth="1"/>
    <col min="3" max="3" width="6.21875" bestFit="1" customWidth="1"/>
    <col min="4" max="4" width="9.109375" bestFit="1" customWidth="1"/>
  </cols>
  <sheetData>
    <row r="1" spans="1:4" x14ac:dyDescent="0.3">
      <c r="A1" t="s">
        <v>1005</v>
      </c>
      <c r="B1" t="s">
        <v>2054</v>
      </c>
      <c r="C1" t="s">
        <v>312</v>
      </c>
      <c r="D1" t="s">
        <v>2055</v>
      </c>
    </row>
    <row r="2" spans="1:4" x14ac:dyDescent="0.3">
      <c r="A2" t="s">
        <v>1078</v>
      </c>
      <c r="B2" t="s">
        <v>24</v>
      </c>
      <c r="C2">
        <v>41</v>
      </c>
      <c r="D2" t="s">
        <v>2056</v>
      </c>
    </row>
    <row r="3" spans="1:4" x14ac:dyDescent="0.3">
      <c r="A3" t="s">
        <v>1047</v>
      </c>
      <c r="B3" t="s">
        <v>24</v>
      </c>
      <c r="C3">
        <v>31</v>
      </c>
      <c r="D3" t="s">
        <v>2057</v>
      </c>
    </row>
    <row r="4" spans="1:4" x14ac:dyDescent="0.3">
      <c r="A4" t="s">
        <v>1016</v>
      </c>
      <c r="B4" t="s">
        <v>24</v>
      </c>
      <c r="C4">
        <v>26</v>
      </c>
      <c r="D4" t="s">
        <v>2058</v>
      </c>
    </row>
    <row r="5" spans="1:4" x14ac:dyDescent="0.3">
      <c r="A5" t="s">
        <v>1021</v>
      </c>
      <c r="B5" t="s">
        <v>24</v>
      </c>
      <c r="C5">
        <v>36</v>
      </c>
      <c r="D5" t="s">
        <v>2058</v>
      </c>
    </row>
    <row r="6" spans="1:4" x14ac:dyDescent="0.3">
      <c r="A6" t="s">
        <v>1023</v>
      </c>
      <c r="B6" t="s">
        <v>24</v>
      </c>
      <c r="C6">
        <v>37</v>
      </c>
      <c r="D6" t="s">
        <v>2056</v>
      </c>
    </row>
    <row r="7" spans="1:4" x14ac:dyDescent="0.3">
      <c r="A7" t="s">
        <v>1059</v>
      </c>
      <c r="B7" t="s">
        <v>24</v>
      </c>
      <c r="C7">
        <v>23</v>
      </c>
      <c r="D7" t="s">
        <v>2056</v>
      </c>
    </row>
    <row r="8" spans="1:4" x14ac:dyDescent="0.3">
      <c r="A8" t="s">
        <v>1036</v>
      </c>
      <c r="B8" t="s">
        <v>11</v>
      </c>
      <c r="C8">
        <v>22</v>
      </c>
      <c r="D8" t="s">
        <v>2057</v>
      </c>
    </row>
    <row r="9" spans="1:4" x14ac:dyDescent="0.3">
      <c r="A9" t="s">
        <v>1098</v>
      </c>
      <c r="B9" t="s">
        <v>11</v>
      </c>
      <c r="C9">
        <v>42</v>
      </c>
      <c r="D9" t="s">
        <v>2057</v>
      </c>
    </row>
    <row r="10" spans="1:4" x14ac:dyDescent="0.3">
      <c r="A10" t="s">
        <v>1055</v>
      </c>
      <c r="B10" t="s">
        <v>11</v>
      </c>
      <c r="C10">
        <v>25</v>
      </c>
      <c r="D10" t="s">
        <v>2056</v>
      </c>
    </row>
    <row r="11" spans="1:4" x14ac:dyDescent="0.3">
      <c r="A11" t="s">
        <v>1041</v>
      </c>
      <c r="B11" t="s">
        <v>11</v>
      </c>
      <c r="C11">
        <v>30</v>
      </c>
      <c r="D11" t="s">
        <v>2057</v>
      </c>
    </row>
    <row r="12" spans="1:4" x14ac:dyDescent="0.3">
      <c r="A12" t="s">
        <v>1028</v>
      </c>
      <c r="B12" t="s">
        <v>11</v>
      </c>
      <c r="C12">
        <v>30</v>
      </c>
      <c r="D12" t="s">
        <v>2058</v>
      </c>
    </row>
    <row r="13" spans="1:4" x14ac:dyDescent="0.3">
      <c r="A13" t="s">
        <v>1068</v>
      </c>
      <c r="B13" t="s">
        <v>11</v>
      </c>
      <c r="C13">
        <v>28</v>
      </c>
      <c r="D13" t="s">
        <v>2058</v>
      </c>
    </row>
    <row r="14" spans="1:4" x14ac:dyDescent="0.3">
      <c r="A14" t="s">
        <v>1045</v>
      </c>
      <c r="B14" t="s">
        <v>11</v>
      </c>
      <c r="C14">
        <v>37</v>
      </c>
      <c r="D14" t="s">
        <v>2057</v>
      </c>
    </row>
    <row r="15" spans="1:4" x14ac:dyDescent="0.3">
      <c r="A15" t="s">
        <v>1026</v>
      </c>
      <c r="B15" t="s">
        <v>11</v>
      </c>
      <c r="C15">
        <v>38</v>
      </c>
      <c r="D15" t="s">
        <v>2056</v>
      </c>
    </row>
    <row r="16" spans="1:4" x14ac:dyDescent="0.3">
      <c r="A16" t="s">
        <v>1065</v>
      </c>
      <c r="B16" t="s">
        <v>11</v>
      </c>
      <c r="C16">
        <v>43</v>
      </c>
      <c r="D16" t="s">
        <v>2057</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90A3-3371-4A3B-9648-77E229B5C0A7}">
  <dimension ref="A1:K1001"/>
  <sheetViews>
    <sheetView workbookViewId="0">
      <selection activeCell="G28" sqref="G28"/>
    </sheetView>
  </sheetViews>
  <sheetFormatPr defaultRowHeight="14.4" x14ac:dyDescent="0.3"/>
  <cols>
    <col min="1" max="1" width="13.33203125" bestFit="1" customWidth="1"/>
    <col min="2" max="2" width="13.44140625" bestFit="1" customWidth="1"/>
    <col min="3" max="3" width="10.33203125" bestFit="1" customWidth="1"/>
    <col min="4" max="4" width="15.88671875" bestFit="1" customWidth="1"/>
    <col min="5" max="5" width="12.6640625" bestFit="1" customWidth="1"/>
    <col min="6" max="6" width="17.77734375" bestFit="1" customWidth="1"/>
    <col min="7" max="7" width="18.88671875" bestFit="1" customWidth="1"/>
    <col min="8" max="8" width="5.21875" bestFit="1" customWidth="1"/>
    <col min="9" max="9" width="12.88671875" bestFit="1" customWidth="1"/>
    <col min="10" max="10" width="16.5546875" bestFit="1" customWidth="1"/>
    <col min="11" max="11" width="15.77734375" bestFit="1" customWidth="1"/>
  </cols>
  <sheetData>
    <row r="1" spans="1:11" x14ac:dyDescent="0.3">
      <c r="A1" t="s">
        <v>1004</v>
      </c>
      <c r="B1" t="s">
        <v>1005</v>
      </c>
      <c r="C1" t="s">
        <v>1006</v>
      </c>
      <c r="D1" t="s">
        <v>1007</v>
      </c>
      <c r="E1" t="s">
        <v>1008</v>
      </c>
      <c r="F1" t="s">
        <v>1009</v>
      </c>
      <c r="G1" t="s">
        <v>1010</v>
      </c>
      <c r="H1" t="s">
        <v>1011</v>
      </c>
      <c r="I1" t="s">
        <v>1012</v>
      </c>
      <c r="J1" t="s">
        <v>1013</v>
      </c>
      <c r="K1" t="s">
        <v>1014</v>
      </c>
    </row>
    <row r="2" spans="1:11" x14ac:dyDescent="0.3">
      <c r="A2" t="s">
        <v>1015</v>
      </c>
      <c r="B2" t="s">
        <v>1016</v>
      </c>
      <c r="C2">
        <v>116</v>
      </c>
      <c r="D2" t="s">
        <v>1017</v>
      </c>
      <c r="E2" s="1">
        <v>44927</v>
      </c>
      <c r="F2">
        <v>128</v>
      </c>
      <c r="G2">
        <v>4.9000000000000004</v>
      </c>
      <c r="H2">
        <v>2023</v>
      </c>
      <c r="I2" t="s">
        <v>1018</v>
      </c>
      <c r="J2" t="s">
        <v>1019</v>
      </c>
      <c r="K2">
        <v>5</v>
      </c>
    </row>
    <row r="3" spans="1:11" x14ac:dyDescent="0.3">
      <c r="A3" t="s">
        <v>1020</v>
      </c>
      <c r="B3" t="s">
        <v>1021</v>
      </c>
      <c r="C3">
        <v>119</v>
      </c>
      <c r="D3" t="s">
        <v>1017</v>
      </c>
      <c r="E3" s="1">
        <v>44927</v>
      </c>
      <c r="F3">
        <v>135</v>
      </c>
      <c r="G3">
        <v>2.9</v>
      </c>
      <c r="H3">
        <v>2023</v>
      </c>
      <c r="I3" t="s">
        <v>1018</v>
      </c>
      <c r="J3" t="s">
        <v>1019</v>
      </c>
      <c r="K3">
        <v>3</v>
      </c>
    </row>
    <row r="4" spans="1:11" x14ac:dyDescent="0.3">
      <c r="A4" t="s">
        <v>1022</v>
      </c>
      <c r="B4" t="s">
        <v>1023</v>
      </c>
      <c r="C4">
        <v>68</v>
      </c>
      <c r="D4" t="s">
        <v>1024</v>
      </c>
      <c r="E4" s="1">
        <v>44927</v>
      </c>
      <c r="F4">
        <v>66</v>
      </c>
      <c r="G4">
        <v>4.7</v>
      </c>
      <c r="H4">
        <v>2023</v>
      </c>
      <c r="I4" t="s">
        <v>1018</v>
      </c>
      <c r="J4" t="s">
        <v>1019</v>
      </c>
      <c r="K4">
        <v>5</v>
      </c>
    </row>
    <row r="5" spans="1:11" x14ac:dyDescent="0.3">
      <c r="A5" t="s">
        <v>1025</v>
      </c>
      <c r="B5" t="s">
        <v>1026</v>
      </c>
      <c r="C5">
        <v>119</v>
      </c>
      <c r="D5" t="s">
        <v>1024</v>
      </c>
      <c r="E5" s="1">
        <v>44927</v>
      </c>
      <c r="F5">
        <v>22</v>
      </c>
      <c r="G5">
        <v>2.9</v>
      </c>
      <c r="H5">
        <v>2023</v>
      </c>
      <c r="I5" t="s">
        <v>1018</v>
      </c>
      <c r="J5" t="s">
        <v>1019</v>
      </c>
      <c r="K5">
        <v>3</v>
      </c>
    </row>
    <row r="6" spans="1:11" x14ac:dyDescent="0.3">
      <c r="A6" t="s">
        <v>1027</v>
      </c>
      <c r="B6" t="s">
        <v>1028</v>
      </c>
      <c r="C6">
        <v>128</v>
      </c>
      <c r="D6" t="s">
        <v>1029</v>
      </c>
      <c r="E6" s="1">
        <v>44928</v>
      </c>
      <c r="F6">
        <v>31</v>
      </c>
      <c r="G6">
        <v>2.8</v>
      </c>
      <c r="H6">
        <v>2023</v>
      </c>
      <c r="I6" t="s">
        <v>1030</v>
      </c>
      <c r="J6" t="s">
        <v>1031</v>
      </c>
      <c r="K6">
        <v>3</v>
      </c>
    </row>
    <row r="7" spans="1:11" x14ac:dyDescent="0.3">
      <c r="A7" t="s">
        <v>1032</v>
      </c>
      <c r="B7" t="s">
        <v>1028</v>
      </c>
      <c r="C7">
        <v>49</v>
      </c>
      <c r="D7" t="s">
        <v>1024</v>
      </c>
      <c r="E7" s="1">
        <v>44929</v>
      </c>
      <c r="F7">
        <v>135</v>
      </c>
      <c r="G7">
        <v>4.8</v>
      </c>
      <c r="H7">
        <v>2023</v>
      </c>
      <c r="I7" t="s">
        <v>1033</v>
      </c>
      <c r="J7" t="s">
        <v>1034</v>
      </c>
      <c r="K7">
        <v>5</v>
      </c>
    </row>
    <row r="8" spans="1:11" x14ac:dyDescent="0.3">
      <c r="A8" t="s">
        <v>1035</v>
      </c>
      <c r="B8" t="s">
        <v>1036</v>
      </c>
      <c r="C8">
        <v>84</v>
      </c>
      <c r="D8" t="s">
        <v>1017</v>
      </c>
      <c r="E8" s="1">
        <v>44929</v>
      </c>
      <c r="F8">
        <v>60</v>
      </c>
      <c r="G8">
        <v>4.7</v>
      </c>
      <c r="H8">
        <v>2023</v>
      </c>
      <c r="I8" t="s">
        <v>1033</v>
      </c>
      <c r="J8" t="s">
        <v>1019</v>
      </c>
      <c r="K8">
        <v>5</v>
      </c>
    </row>
    <row r="9" spans="1:11" x14ac:dyDescent="0.3">
      <c r="A9" t="s">
        <v>1037</v>
      </c>
      <c r="B9" t="s">
        <v>1016</v>
      </c>
      <c r="C9">
        <v>103</v>
      </c>
      <c r="D9" t="s">
        <v>1038</v>
      </c>
      <c r="E9" s="1">
        <v>44929</v>
      </c>
      <c r="F9">
        <v>148</v>
      </c>
      <c r="G9">
        <v>4.4000000000000004</v>
      </c>
      <c r="H9">
        <v>2023</v>
      </c>
      <c r="I9" t="s">
        <v>1033</v>
      </c>
      <c r="J9" t="s">
        <v>1019</v>
      </c>
      <c r="K9">
        <v>4</v>
      </c>
    </row>
    <row r="10" spans="1:11" x14ac:dyDescent="0.3">
      <c r="A10" t="s">
        <v>1039</v>
      </c>
      <c r="B10" t="s">
        <v>1023</v>
      </c>
      <c r="C10">
        <v>31</v>
      </c>
      <c r="D10" t="s">
        <v>1024</v>
      </c>
      <c r="E10" s="1">
        <v>44929</v>
      </c>
      <c r="F10">
        <v>135</v>
      </c>
      <c r="G10">
        <v>3.6</v>
      </c>
      <c r="H10">
        <v>2023</v>
      </c>
      <c r="I10" t="s">
        <v>1033</v>
      </c>
      <c r="J10" t="s">
        <v>1034</v>
      </c>
      <c r="K10">
        <v>4</v>
      </c>
    </row>
    <row r="11" spans="1:11" x14ac:dyDescent="0.3">
      <c r="A11" t="s">
        <v>1040</v>
      </c>
      <c r="B11" t="s">
        <v>1041</v>
      </c>
      <c r="C11">
        <v>44</v>
      </c>
      <c r="D11" t="s">
        <v>1042</v>
      </c>
      <c r="E11" s="1">
        <v>44929</v>
      </c>
      <c r="F11">
        <v>105</v>
      </c>
      <c r="G11">
        <v>2.9</v>
      </c>
      <c r="H11">
        <v>2023</v>
      </c>
      <c r="I11" t="s">
        <v>1033</v>
      </c>
      <c r="J11" t="s">
        <v>1034</v>
      </c>
      <c r="K11">
        <v>3</v>
      </c>
    </row>
    <row r="12" spans="1:11" x14ac:dyDescent="0.3">
      <c r="A12" t="s">
        <v>1043</v>
      </c>
      <c r="B12" t="s">
        <v>1028</v>
      </c>
      <c r="C12">
        <v>102</v>
      </c>
      <c r="D12" t="s">
        <v>1024</v>
      </c>
      <c r="E12" s="1">
        <v>44929</v>
      </c>
      <c r="F12">
        <v>69</v>
      </c>
      <c r="G12">
        <v>4.9000000000000004</v>
      </c>
      <c r="H12">
        <v>2023</v>
      </c>
      <c r="I12" t="s">
        <v>1033</v>
      </c>
      <c r="J12" t="s">
        <v>1019</v>
      </c>
      <c r="K12">
        <v>5</v>
      </c>
    </row>
    <row r="13" spans="1:11" x14ac:dyDescent="0.3">
      <c r="A13" t="s">
        <v>1044</v>
      </c>
      <c r="B13" t="s">
        <v>1045</v>
      </c>
      <c r="C13">
        <v>135</v>
      </c>
      <c r="D13" t="s">
        <v>1017</v>
      </c>
      <c r="E13" s="1">
        <v>44929</v>
      </c>
      <c r="F13">
        <v>46</v>
      </c>
      <c r="G13">
        <v>3.4</v>
      </c>
      <c r="H13">
        <v>2023</v>
      </c>
      <c r="I13" t="s">
        <v>1033</v>
      </c>
      <c r="J13" t="s">
        <v>1031</v>
      </c>
      <c r="K13">
        <v>3</v>
      </c>
    </row>
    <row r="14" spans="1:11" x14ac:dyDescent="0.3">
      <c r="A14" t="s">
        <v>1046</v>
      </c>
      <c r="B14" t="s">
        <v>1047</v>
      </c>
      <c r="C14">
        <v>98</v>
      </c>
      <c r="D14" t="s">
        <v>1024</v>
      </c>
      <c r="E14" s="1">
        <v>44930</v>
      </c>
      <c r="F14">
        <v>108</v>
      </c>
      <c r="G14">
        <v>3.5</v>
      </c>
      <c r="H14">
        <v>2023</v>
      </c>
      <c r="I14" t="s">
        <v>1048</v>
      </c>
      <c r="J14" t="s">
        <v>1019</v>
      </c>
      <c r="K14">
        <v>4</v>
      </c>
    </row>
    <row r="15" spans="1:11" x14ac:dyDescent="0.3">
      <c r="A15" t="s">
        <v>1049</v>
      </c>
      <c r="B15" t="s">
        <v>1041</v>
      </c>
      <c r="C15">
        <v>139</v>
      </c>
      <c r="D15" t="s">
        <v>1024</v>
      </c>
      <c r="E15" s="1">
        <v>44930</v>
      </c>
      <c r="F15">
        <v>96</v>
      </c>
      <c r="G15">
        <v>4</v>
      </c>
      <c r="H15">
        <v>2023</v>
      </c>
      <c r="I15" t="s">
        <v>1048</v>
      </c>
      <c r="J15" t="s">
        <v>1031</v>
      </c>
      <c r="K15">
        <v>4</v>
      </c>
    </row>
    <row r="16" spans="1:11" x14ac:dyDescent="0.3">
      <c r="A16" t="s">
        <v>1050</v>
      </c>
      <c r="B16" t="s">
        <v>1045</v>
      </c>
      <c r="C16">
        <v>48</v>
      </c>
      <c r="D16" t="s">
        <v>1029</v>
      </c>
      <c r="E16" s="1">
        <v>44930</v>
      </c>
      <c r="F16">
        <v>68</v>
      </c>
      <c r="G16">
        <v>4.9000000000000004</v>
      </c>
      <c r="H16">
        <v>2023</v>
      </c>
      <c r="I16" t="s">
        <v>1048</v>
      </c>
      <c r="J16" t="s">
        <v>1034</v>
      </c>
      <c r="K16">
        <v>5</v>
      </c>
    </row>
    <row r="17" spans="1:11" x14ac:dyDescent="0.3">
      <c r="A17" t="s">
        <v>1051</v>
      </c>
      <c r="B17" t="s">
        <v>1041</v>
      </c>
      <c r="C17">
        <v>176</v>
      </c>
      <c r="D17" t="s">
        <v>1017</v>
      </c>
      <c r="E17" s="1">
        <v>44931</v>
      </c>
      <c r="F17">
        <v>24</v>
      </c>
      <c r="G17">
        <v>4.8</v>
      </c>
      <c r="H17">
        <v>2023</v>
      </c>
      <c r="I17" t="s">
        <v>1052</v>
      </c>
      <c r="J17" t="s">
        <v>1031</v>
      </c>
      <c r="K17">
        <v>5</v>
      </c>
    </row>
    <row r="18" spans="1:11" x14ac:dyDescent="0.3">
      <c r="A18" t="s">
        <v>1053</v>
      </c>
      <c r="B18" t="s">
        <v>1041</v>
      </c>
      <c r="C18">
        <v>99</v>
      </c>
      <c r="D18" t="s">
        <v>1029</v>
      </c>
      <c r="E18" s="1">
        <v>44931</v>
      </c>
      <c r="F18">
        <v>195</v>
      </c>
      <c r="G18">
        <v>3.9</v>
      </c>
      <c r="H18">
        <v>2023</v>
      </c>
      <c r="I18" t="s">
        <v>1052</v>
      </c>
      <c r="J18" t="s">
        <v>1019</v>
      </c>
      <c r="K18">
        <v>4</v>
      </c>
    </row>
    <row r="19" spans="1:11" x14ac:dyDescent="0.3">
      <c r="A19" t="s">
        <v>1054</v>
      </c>
      <c r="B19" t="s">
        <v>1055</v>
      </c>
      <c r="C19">
        <v>28</v>
      </c>
      <c r="D19" t="s">
        <v>1042</v>
      </c>
      <c r="E19" s="1">
        <v>44931</v>
      </c>
      <c r="F19">
        <v>28</v>
      </c>
      <c r="G19">
        <v>3.8</v>
      </c>
      <c r="H19">
        <v>2023</v>
      </c>
      <c r="I19" t="s">
        <v>1052</v>
      </c>
      <c r="J19" t="s">
        <v>1056</v>
      </c>
      <c r="K19">
        <v>4</v>
      </c>
    </row>
    <row r="20" spans="1:11" x14ac:dyDescent="0.3">
      <c r="A20" t="s">
        <v>1057</v>
      </c>
      <c r="B20" t="s">
        <v>1036</v>
      </c>
      <c r="C20">
        <v>54</v>
      </c>
      <c r="D20" t="s">
        <v>1024</v>
      </c>
      <c r="E20" s="1">
        <v>44931</v>
      </c>
      <c r="F20">
        <v>170</v>
      </c>
      <c r="G20">
        <v>4.3</v>
      </c>
      <c r="H20">
        <v>2023</v>
      </c>
      <c r="I20" t="s">
        <v>1052</v>
      </c>
      <c r="J20" t="s">
        <v>1034</v>
      </c>
      <c r="K20">
        <v>4</v>
      </c>
    </row>
    <row r="21" spans="1:11" x14ac:dyDescent="0.3">
      <c r="A21" t="s">
        <v>1058</v>
      </c>
      <c r="B21" t="s">
        <v>1059</v>
      </c>
      <c r="C21">
        <v>48</v>
      </c>
      <c r="D21" t="s">
        <v>1017</v>
      </c>
      <c r="E21" s="1">
        <v>44932</v>
      </c>
      <c r="F21">
        <v>30</v>
      </c>
      <c r="G21">
        <v>4.4000000000000004</v>
      </c>
      <c r="H21">
        <v>2023</v>
      </c>
      <c r="I21" t="s">
        <v>411</v>
      </c>
      <c r="J21" t="s">
        <v>1034</v>
      </c>
      <c r="K21">
        <v>4</v>
      </c>
    </row>
    <row r="22" spans="1:11" x14ac:dyDescent="0.3">
      <c r="A22" t="s">
        <v>1060</v>
      </c>
      <c r="B22" t="s">
        <v>1021</v>
      </c>
      <c r="C22">
        <v>128</v>
      </c>
      <c r="D22" t="s">
        <v>1017</v>
      </c>
      <c r="E22" s="1">
        <v>44932</v>
      </c>
      <c r="F22">
        <v>72</v>
      </c>
      <c r="G22">
        <v>5</v>
      </c>
      <c r="H22">
        <v>2023</v>
      </c>
      <c r="I22" t="s">
        <v>411</v>
      </c>
      <c r="J22" t="s">
        <v>1031</v>
      </c>
      <c r="K22">
        <v>5</v>
      </c>
    </row>
    <row r="23" spans="1:11" x14ac:dyDescent="0.3">
      <c r="A23" t="s">
        <v>1061</v>
      </c>
      <c r="B23" t="s">
        <v>1021</v>
      </c>
      <c r="C23">
        <v>38</v>
      </c>
      <c r="D23" t="s">
        <v>1038</v>
      </c>
      <c r="E23" s="1">
        <v>44933</v>
      </c>
      <c r="F23">
        <v>92</v>
      </c>
      <c r="G23">
        <v>4.9000000000000004</v>
      </c>
      <c r="H23">
        <v>2023</v>
      </c>
      <c r="I23" t="s">
        <v>1062</v>
      </c>
      <c r="J23" t="s">
        <v>1034</v>
      </c>
      <c r="K23">
        <v>5</v>
      </c>
    </row>
    <row r="24" spans="1:11" x14ac:dyDescent="0.3">
      <c r="A24" t="s">
        <v>1063</v>
      </c>
      <c r="B24" t="s">
        <v>1016</v>
      </c>
      <c r="C24">
        <v>67</v>
      </c>
      <c r="D24" t="s">
        <v>1038</v>
      </c>
      <c r="E24" s="1">
        <v>44934</v>
      </c>
      <c r="F24">
        <v>165</v>
      </c>
      <c r="G24">
        <v>4.5</v>
      </c>
      <c r="H24">
        <v>2023</v>
      </c>
      <c r="I24" t="s">
        <v>1018</v>
      </c>
      <c r="J24" t="s">
        <v>1019</v>
      </c>
      <c r="K24">
        <v>5</v>
      </c>
    </row>
    <row r="25" spans="1:11" x14ac:dyDescent="0.3">
      <c r="A25" t="s">
        <v>1064</v>
      </c>
      <c r="B25" t="s">
        <v>1065</v>
      </c>
      <c r="C25">
        <v>58</v>
      </c>
      <c r="D25" t="s">
        <v>1024</v>
      </c>
      <c r="E25" s="1">
        <v>44934</v>
      </c>
      <c r="F25">
        <v>140</v>
      </c>
      <c r="G25">
        <v>2.1</v>
      </c>
      <c r="H25">
        <v>2023</v>
      </c>
      <c r="I25" t="s">
        <v>1018</v>
      </c>
      <c r="J25" t="s">
        <v>1034</v>
      </c>
      <c r="K25">
        <v>2</v>
      </c>
    </row>
    <row r="26" spans="1:11" x14ac:dyDescent="0.3">
      <c r="A26" t="s">
        <v>1066</v>
      </c>
      <c r="B26" t="s">
        <v>1041</v>
      </c>
      <c r="C26">
        <v>54</v>
      </c>
      <c r="D26" t="s">
        <v>1029</v>
      </c>
      <c r="E26" s="1">
        <v>44934</v>
      </c>
      <c r="F26">
        <v>111</v>
      </c>
      <c r="G26">
        <v>3.3</v>
      </c>
      <c r="H26">
        <v>2023</v>
      </c>
      <c r="I26" t="s">
        <v>1018</v>
      </c>
      <c r="J26" t="s">
        <v>1034</v>
      </c>
      <c r="K26">
        <v>3</v>
      </c>
    </row>
    <row r="27" spans="1:11" x14ac:dyDescent="0.3">
      <c r="A27" t="s">
        <v>1067</v>
      </c>
      <c r="B27" t="s">
        <v>1068</v>
      </c>
      <c r="C27">
        <v>28</v>
      </c>
      <c r="D27" t="s">
        <v>1017</v>
      </c>
      <c r="E27" s="1">
        <v>44935</v>
      </c>
      <c r="F27">
        <v>63</v>
      </c>
      <c r="G27">
        <v>4.0999999999999996</v>
      </c>
      <c r="H27">
        <v>2023</v>
      </c>
      <c r="I27" t="s">
        <v>1030</v>
      </c>
      <c r="J27" t="s">
        <v>1056</v>
      </c>
      <c r="K27">
        <v>4</v>
      </c>
    </row>
    <row r="28" spans="1:11" x14ac:dyDescent="0.3">
      <c r="A28" t="s">
        <v>1069</v>
      </c>
      <c r="B28" t="s">
        <v>1047</v>
      </c>
      <c r="C28">
        <v>73</v>
      </c>
      <c r="D28" t="s">
        <v>1017</v>
      </c>
      <c r="E28" s="1">
        <v>44935</v>
      </c>
      <c r="F28">
        <v>80</v>
      </c>
      <c r="G28">
        <v>4.2</v>
      </c>
      <c r="H28">
        <v>2023</v>
      </c>
      <c r="I28" t="s">
        <v>1030</v>
      </c>
      <c r="J28" t="s">
        <v>1019</v>
      </c>
      <c r="K28">
        <v>4</v>
      </c>
    </row>
    <row r="29" spans="1:11" x14ac:dyDescent="0.3">
      <c r="A29" t="s">
        <v>1070</v>
      </c>
      <c r="B29" t="s">
        <v>1028</v>
      </c>
      <c r="C29">
        <v>81</v>
      </c>
      <c r="D29" t="s">
        <v>1017</v>
      </c>
      <c r="E29" s="1">
        <v>44936</v>
      </c>
      <c r="F29">
        <v>50</v>
      </c>
      <c r="G29">
        <v>4.5999999999999996</v>
      </c>
      <c r="H29">
        <v>2023</v>
      </c>
      <c r="I29" t="s">
        <v>1033</v>
      </c>
      <c r="J29" t="s">
        <v>1019</v>
      </c>
      <c r="K29">
        <v>5</v>
      </c>
    </row>
    <row r="30" spans="1:11" x14ac:dyDescent="0.3">
      <c r="A30" t="s">
        <v>1071</v>
      </c>
      <c r="B30" t="s">
        <v>1055</v>
      </c>
      <c r="C30">
        <v>31</v>
      </c>
      <c r="D30" t="s">
        <v>1038</v>
      </c>
      <c r="E30" s="1">
        <v>44936</v>
      </c>
      <c r="F30">
        <v>123</v>
      </c>
      <c r="G30">
        <v>2.9</v>
      </c>
      <c r="H30">
        <v>2023</v>
      </c>
      <c r="I30" t="s">
        <v>1033</v>
      </c>
      <c r="J30" t="s">
        <v>1034</v>
      </c>
      <c r="K30">
        <v>3</v>
      </c>
    </row>
    <row r="31" spans="1:11" x14ac:dyDescent="0.3">
      <c r="A31" t="s">
        <v>1072</v>
      </c>
      <c r="B31" t="s">
        <v>1065</v>
      </c>
      <c r="C31">
        <v>155</v>
      </c>
      <c r="D31" t="s">
        <v>1029</v>
      </c>
      <c r="E31" s="1">
        <v>44936</v>
      </c>
      <c r="F31">
        <v>110</v>
      </c>
      <c r="G31">
        <v>4.8</v>
      </c>
      <c r="H31">
        <v>2023</v>
      </c>
      <c r="I31" t="s">
        <v>1033</v>
      </c>
      <c r="J31" t="s">
        <v>1031</v>
      </c>
      <c r="K31">
        <v>5</v>
      </c>
    </row>
    <row r="32" spans="1:11" x14ac:dyDescent="0.3">
      <c r="A32" t="s">
        <v>1073</v>
      </c>
      <c r="B32" t="s">
        <v>1055</v>
      </c>
      <c r="C32">
        <v>80</v>
      </c>
      <c r="D32" t="s">
        <v>1017</v>
      </c>
      <c r="E32" s="1">
        <v>44936</v>
      </c>
      <c r="F32">
        <v>140</v>
      </c>
      <c r="G32">
        <v>4.2</v>
      </c>
      <c r="H32">
        <v>2023</v>
      </c>
      <c r="I32" t="s">
        <v>1033</v>
      </c>
      <c r="J32" t="s">
        <v>1019</v>
      </c>
      <c r="K32">
        <v>4</v>
      </c>
    </row>
    <row r="33" spans="1:11" x14ac:dyDescent="0.3">
      <c r="A33" t="s">
        <v>1074</v>
      </c>
      <c r="B33" t="s">
        <v>1028</v>
      </c>
      <c r="C33">
        <v>82</v>
      </c>
      <c r="D33" t="s">
        <v>1017</v>
      </c>
      <c r="E33" s="1">
        <v>44938</v>
      </c>
      <c r="F33">
        <v>42</v>
      </c>
      <c r="G33">
        <v>3.7</v>
      </c>
      <c r="H33">
        <v>2023</v>
      </c>
      <c r="I33" t="s">
        <v>1052</v>
      </c>
      <c r="J33" t="s">
        <v>1019</v>
      </c>
      <c r="K33">
        <v>4</v>
      </c>
    </row>
    <row r="34" spans="1:11" x14ac:dyDescent="0.3">
      <c r="A34" t="s">
        <v>1075</v>
      </c>
      <c r="B34" t="s">
        <v>1028</v>
      </c>
      <c r="C34">
        <v>29</v>
      </c>
      <c r="D34" t="s">
        <v>1029</v>
      </c>
      <c r="E34" s="1">
        <v>44938</v>
      </c>
      <c r="F34">
        <v>170</v>
      </c>
      <c r="G34">
        <v>5</v>
      </c>
      <c r="H34">
        <v>2023</v>
      </c>
      <c r="I34" t="s">
        <v>1052</v>
      </c>
      <c r="J34" t="s">
        <v>1056</v>
      </c>
      <c r="K34">
        <v>5</v>
      </c>
    </row>
    <row r="35" spans="1:11" x14ac:dyDescent="0.3">
      <c r="A35" t="s">
        <v>1076</v>
      </c>
      <c r="B35" t="s">
        <v>1059</v>
      </c>
      <c r="C35">
        <v>160</v>
      </c>
      <c r="D35" t="s">
        <v>1024</v>
      </c>
      <c r="E35" s="1">
        <v>44940</v>
      </c>
      <c r="F35">
        <v>105</v>
      </c>
      <c r="G35">
        <v>5</v>
      </c>
      <c r="H35">
        <v>2023</v>
      </c>
      <c r="I35" t="s">
        <v>1062</v>
      </c>
      <c r="J35" t="s">
        <v>1031</v>
      </c>
      <c r="K35">
        <v>5</v>
      </c>
    </row>
    <row r="36" spans="1:11" x14ac:dyDescent="0.3">
      <c r="A36" t="s">
        <v>1077</v>
      </c>
      <c r="B36" t="s">
        <v>1078</v>
      </c>
      <c r="C36">
        <v>105</v>
      </c>
      <c r="D36" t="s">
        <v>1017</v>
      </c>
      <c r="E36" s="1">
        <v>44941</v>
      </c>
      <c r="F36">
        <v>125</v>
      </c>
      <c r="G36">
        <v>4.8</v>
      </c>
      <c r="H36">
        <v>2023</v>
      </c>
      <c r="I36" t="s">
        <v>1018</v>
      </c>
      <c r="J36" t="s">
        <v>1019</v>
      </c>
      <c r="K36">
        <v>5</v>
      </c>
    </row>
    <row r="37" spans="1:11" x14ac:dyDescent="0.3">
      <c r="A37" t="s">
        <v>1079</v>
      </c>
      <c r="B37" t="s">
        <v>1055</v>
      </c>
      <c r="C37">
        <v>75</v>
      </c>
      <c r="D37" t="s">
        <v>1042</v>
      </c>
      <c r="E37" s="1">
        <v>44941</v>
      </c>
      <c r="F37">
        <v>26</v>
      </c>
      <c r="G37">
        <v>2.4</v>
      </c>
      <c r="H37">
        <v>2023</v>
      </c>
      <c r="I37" t="s">
        <v>1018</v>
      </c>
      <c r="J37" t="s">
        <v>1019</v>
      </c>
      <c r="K37">
        <v>2</v>
      </c>
    </row>
    <row r="38" spans="1:11" x14ac:dyDescent="0.3">
      <c r="A38" t="s">
        <v>1080</v>
      </c>
      <c r="B38" t="s">
        <v>1065</v>
      </c>
      <c r="C38">
        <v>94</v>
      </c>
      <c r="D38" t="s">
        <v>1042</v>
      </c>
      <c r="E38" s="1">
        <v>44942</v>
      </c>
      <c r="F38">
        <v>120</v>
      </c>
      <c r="G38">
        <v>3.1</v>
      </c>
      <c r="H38">
        <v>2023</v>
      </c>
      <c r="I38" t="s">
        <v>1030</v>
      </c>
      <c r="J38" t="s">
        <v>1019</v>
      </c>
      <c r="K38">
        <v>3</v>
      </c>
    </row>
    <row r="39" spans="1:11" x14ac:dyDescent="0.3">
      <c r="A39" t="s">
        <v>1081</v>
      </c>
      <c r="B39" t="s">
        <v>1021</v>
      </c>
      <c r="C39">
        <v>90</v>
      </c>
      <c r="D39" t="s">
        <v>1024</v>
      </c>
      <c r="E39" s="1">
        <v>44942</v>
      </c>
      <c r="F39">
        <v>132</v>
      </c>
      <c r="G39">
        <v>3.2</v>
      </c>
      <c r="H39">
        <v>2023</v>
      </c>
      <c r="I39" t="s">
        <v>1030</v>
      </c>
      <c r="J39" t="s">
        <v>1019</v>
      </c>
      <c r="K39">
        <v>3</v>
      </c>
    </row>
    <row r="40" spans="1:11" x14ac:dyDescent="0.3">
      <c r="A40" t="s">
        <v>1082</v>
      </c>
      <c r="B40" t="s">
        <v>1065</v>
      </c>
      <c r="C40">
        <v>81</v>
      </c>
      <c r="D40" t="s">
        <v>1038</v>
      </c>
      <c r="E40" s="1">
        <v>44943</v>
      </c>
      <c r="F40">
        <v>86</v>
      </c>
      <c r="G40">
        <v>2.4</v>
      </c>
      <c r="H40">
        <v>2023</v>
      </c>
      <c r="I40" t="s">
        <v>1033</v>
      </c>
      <c r="J40" t="s">
        <v>1019</v>
      </c>
      <c r="K40">
        <v>2</v>
      </c>
    </row>
    <row r="41" spans="1:11" x14ac:dyDescent="0.3">
      <c r="A41" t="s">
        <v>1083</v>
      </c>
      <c r="B41" t="s">
        <v>1055</v>
      </c>
      <c r="C41">
        <v>106</v>
      </c>
      <c r="D41" t="s">
        <v>1017</v>
      </c>
      <c r="E41" s="1">
        <v>44943</v>
      </c>
      <c r="F41">
        <v>108</v>
      </c>
      <c r="G41">
        <v>5</v>
      </c>
      <c r="H41">
        <v>2023</v>
      </c>
      <c r="I41" t="s">
        <v>1033</v>
      </c>
      <c r="J41" t="s">
        <v>1019</v>
      </c>
      <c r="K41">
        <v>5</v>
      </c>
    </row>
    <row r="42" spans="1:11" x14ac:dyDescent="0.3">
      <c r="A42" t="s">
        <v>1084</v>
      </c>
      <c r="B42" t="s">
        <v>1021</v>
      </c>
      <c r="C42">
        <v>74</v>
      </c>
      <c r="D42" t="s">
        <v>1038</v>
      </c>
      <c r="E42" s="1">
        <v>44943</v>
      </c>
      <c r="F42">
        <v>96</v>
      </c>
      <c r="G42">
        <v>4.7</v>
      </c>
      <c r="H42">
        <v>2023</v>
      </c>
      <c r="I42" t="s">
        <v>1033</v>
      </c>
      <c r="J42" t="s">
        <v>1019</v>
      </c>
      <c r="K42">
        <v>5</v>
      </c>
    </row>
    <row r="43" spans="1:11" x14ac:dyDescent="0.3">
      <c r="A43" t="s">
        <v>1085</v>
      </c>
      <c r="B43" t="s">
        <v>1041</v>
      </c>
      <c r="C43">
        <v>105</v>
      </c>
      <c r="D43" t="s">
        <v>1024</v>
      </c>
      <c r="E43" s="1">
        <v>44944</v>
      </c>
      <c r="F43">
        <v>80</v>
      </c>
      <c r="G43">
        <v>4.7</v>
      </c>
      <c r="H43">
        <v>2023</v>
      </c>
      <c r="I43" t="s">
        <v>1048</v>
      </c>
      <c r="J43" t="s">
        <v>1019</v>
      </c>
      <c r="K43">
        <v>5</v>
      </c>
    </row>
    <row r="44" spans="1:11" x14ac:dyDescent="0.3">
      <c r="A44" t="s">
        <v>1086</v>
      </c>
      <c r="B44" t="s">
        <v>1055</v>
      </c>
      <c r="C44">
        <v>89</v>
      </c>
      <c r="D44" t="s">
        <v>1017</v>
      </c>
      <c r="E44" s="1">
        <v>44944</v>
      </c>
      <c r="F44">
        <v>155</v>
      </c>
      <c r="G44">
        <v>4.0999999999999996</v>
      </c>
      <c r="H44">
        <v>2023</v>
      </c>
      <c r="I44" t="s">
        <v>1048</v>
      </c>
      <c r="J44" t="s">
        <v>1019</v>
      </c>
      <c r="K44">
        <v>4</v>
      </c>
    </row>
    <row r="45" spans="1:11" x14ac:dyDescent="0.3">
      <c r="A45" t="s">
        <v>1087</v>
      </c>
      <c r="B45" t="s">
        <v>1045</v>
      </c>
      <c r="C45">
        <v>132</v>
      </c>
      <c r="D45" t="s">
        <v>1042</v>
      </c>
      <c r="E45" s="1">
        <v>44944</v>
      </c>
      <c r="F45">
        <v>168</v>
      </c>
      <c r="G45">
        <v>4.0999999999999996</v>
      </c>
      <c r="H45">
        <v>2023</v>
      </c>
      <c r="I45" t="s">
        <v>1048</v>
      </c>
      <c r="J45" t="s">
        <v>1031</v>
      </c>
      <c r="K45">
        <v>4</v>
      </c>
    </row>
    <row r="46" spans="1:11" x14ac:dyDescent="0.3">
      <c r="A46" t="s">
        <v>1088</v>
      </c>
      <c r="B46" t="s">
        <v>1078</v>
      </c>
      <c r="C46">
        <v>105</v>
      </c>
      <c r="D46" t="s">
        <v>1029</v>
      </c>
      <c r="E46" s="1">
        <v>44944</v>
      </c>
      <c r="F46">
        <v>56</v>
      </c>
      <c r="G46">
        <v>3.6</v>
      </c>
      <c r="H46">
        <v>2023</v>
      </c>
      <c r="I46" t="s">
        <v>1048</v>
      </c>
      <c r="J46" t="s">
        <v>1019</v>
      </c>
      <c r="K46">
        <v>4</v>
      </c>
    </row>
    <row r="47" spans="1:11" x14ac:dyDescent="0.3">
      <c r="A47" t="s">
        <v>1089</v>
      </c>
      <c r="B47" t="s">
        <v>1028</v>
      </c>
      <c r="C47">
        <v>13</v>
      </c>
      <c r="D47" t="s">
        <v>1042</v>
      </c>
      <c r="E47" s="1">
        <v>44945</v>
      </c>
      <c r="F47">
        <v>32</v>
      </c>
      <c r="G47">
        <v>4.4000000000000004</v>
      </c>
      <c r="H47">
        <v>2023</v>
      </c>
      <c r="I47" t="s">
        <v>1052</v>
      </c>
      <c r="J47" t="s">
        <v>1056</v>
      </c>
      <c r="K47">
        <v>4</v>
      </c>
    </row>
    <row r="48" spans="1:11" x14ac:dyDescent="0.3">
      <c r="A48" t="s">
        <v>1090</v>
      </c>
      <c r="B48" t="s">
        <v>1026</v>
      </c>
      <c r="C48">
        <v>131</v>
      </c>
      <c r="D48" t="s">
        <v>1029</v>
      </c>
      <c r="E48" s="1">
        <v>44945</v>
      </c>
      <c r="F48">
        <v>78</v>
      </c>
      <c r="G48">
        <v>4.4000000000000004</v>
      </c>
      <c r="H48">
        <v>2023</v>
      </c>
      <c r="I48" t="s">
        <v>1052</v>
      </c>
      <c r="J48" t="s">
        <v>1031</v>
      </c>
      <c r="K48">
        <v>4</v>
      </c>
    </row>
    <row r="49" spans="1:11" x14ac:dyDescent="0.3">
      <c r="A49" t="s">
        <v>1091</v>
      </c>
      <c r="B49" t="s">
        <v>1021</v>
      </c>
      <c r="C49">
        <v>104</v>
      </c>
      <c r="D49" t="s">
        <v>1017</v>
      </c>
      <c r="E49" s="1">
        <v>44945</v>
      </c>
      <c r="F49">
        <v>86</v>
      </c>
      <c r="G49">
        <v>4</v>
      </c>
      <c r="H49">
        <v>2023</v>
      </c>
      <c r="I49" t="s">
        <v>1052</v>
      </c>
      <c r="J49" t="s">
        <v>1019</v>
      </c>
      <c r="K49">
        <v>4</v>
      </c>
    </row>
    <row r="50" spans="1:11" x14ac:dyDescent="0.3">
      <c r="A50" t="s">
        <v>1092</v>
      </c>
      <c r="B50" t="s">
        <v>1016</v>
      </c>
      <c r="C50">
        <v>90</v>
      </c>
      <c r="D50" t="s">
        <v>1024</v>
      </c>
      <c r="E50" s="1">
        <v>44946</v>
      </c>
      <c r="F50">
        <v>64</v>
      </c>
      <c r="G50">
        <v>3.8</v>
      </c>
      <c r="H50">
        <v>2023</v>
      </c>
      <c r="I50" t="s">
        <v>411</v>
      </c>
      <c r="J50" t="s">
        <v>1019</v>
      </c>
      <c r="K50">
        <v>4</v>
      </c>
    </row>
    <row r="51" spans="1:11" x14ac:dyDescent="0.3">
      <c r="A51" t="s">
        <v>1093</v>
      </c>
      <c r="B51" t="s">
        <v>1068</v>
      </c>
      <c r="C51">
        <v>37</v>
      </c>
      <c r="D51" t="s">
        <v>1024</v>
      </c>
      <c r="E51" s="1">
        <v>44946</v>
      </c>
      <c r="F51">
        <v>96</v>
      </c>
      <c r="G51">
        <v>3.6</v>
      </c>
      <c r="H51">
        <v>2023</v>
      </c>
      <c r="I51" t="s">
        <v>411</v>
      </c>
      <c r="J51" t="s">
        <v>1034</v>
      </c>
      <c r="K51">
        <v>4</v>
      </c>
    </row>
    <row r="52" spans="1:11" x14ac:dyDescent="0.3">
      <c r="A52" t="s">
        <v>1094</v>
      </c>
      <c r="B52" t="s">
        <v>1047</v>
      </c>
      <c r="C52">
        <v>149</v>
      </c>
      <c r="D52" t="s">
        <v>1029</v>
      </c>
      <c r="E52" s="1">
        <v>44946</v>
      </c>
      <c r="F52">
        <v>72</v>
      </c>
      <c r="G52">
        <v>4.3</v>
      </c>
      <c r="H52">
        <v>2023</v>
      </c>
      <c r="I52" t="s">
        <v>411</v>
      </c>
      <c r="J52" t="s">
        <v>1031</v>
      </c>
      <c r="K52">
        <v>4</v>
      </c>
    </row>
    <row r="53" spans="1:11" x14ac:dyDescent="0.3">
      <c r="A53" t="s">
        <v>1095</v>
      </c>
      <c r="B53" t="s">
        <v>1045</v>
      </c>
      <c r="C53">
        <v>100</v>
      </c>
      <c r="D53" t="s">
        <v>1038</v>
      </c>
      <c r="E53" s="1">
        <v>44947</v>
      </c>
      <c r="F53">
        <v>135</v>
      </c>
      <c r="G53">
        <v>3.8</v>
      </c>
      <c r="H53">
        <v>2023</v>
      </c>
      <c r="I53" t="s">
        <v>1062</v>
      </c>
      <c r="J53" t="s">
        <v>1019</v>
      </c>
      <c r="K53">
        <v>4</v>
      </c>
    </row>
    <row r="54" spans="1:11" x14ac:dyDescent="0.3">
      <c r="A54" t="s">
        <v>1096</v>
      </c>
      <c r="B54" t="s">
        <v>1045</v>
      </c>
      <c r="C54">
        <v>79</v>
      </c>
      <c r="D54" t="s">
        <v>1042</v>
      </c>
      <c r="E54" s="1">
        <v>44947</v>
      </c>
      <c r="F54">
        <v>140</v>
      </c>
      <c r="G54">
        <v>4.5</v>
      </c>
      <c r="H54">
        <v>2023</v>
      </c>
      <c r="I54" t="s">
        <v>1062</v>
      </c>
      <c r="J54" t="s">
        <v>1019</v>
      </c>
      <c r="K54">
        <v>5</v>
      </c>
    </row>
    <row r="55" spans="1:11" x14ac:dyDescent="0.3">
      <c r="A55" t="s">
        <v>1097</v>
      </c>
      <c r="B55" t="s">
        <v>1098</v>
      </c>
      <c r="C55">
        <v>157</v>
      </c>
      <c r="D55" t="s">
        <v>1029</v>
      </c>
      <c r="E55" s="1">
        <v>44947</v>
      </c>
      <c r="F55">
        <v>69</v>
      </c>
      <c r="G55">
        <v>4.5</v>
      </c>
      <c r="H55">
        <v>2023</v>
      </c>
      <c r="I55" t="s">
        <v>1062</v>
      </c>
      <c r="J55" t="s">
        <v>1031</v>
      </c>
      <c r="K55">
        <v>5</v>
      </c>
    </row>
    <row r="56" spans="1:11" x14ac:dyDescent="0.3">
      <c r="A56" t="s">
        <v>1099</v>
      </c>
      <c r="B56" t="s">
        <v>1045</v>
      </c>
      <c r="C56">
        <v>59</v>
      </c>
      <c r="D56" t="s">
        <v>1017</v>
      </c>
      <c r="E56" s="1">
        <v>44948</v>
      </c>
      <c r="F56">
        <v>136</v>
      </c>
      <c r="G56">
        <v>4.5999999999999996</v>
      </c>
      <c r="H56">
        <v>2023</v>
      </c>
      <c r="I56" t="s">
        <v>1018</v>
      </c>
      <c r="J56" t="s">
        <v>1034</v>
      </c>
      <c r="K56">
        <v>5</v>
      </c>
    </row>
    <row r="57" spans="1:11" x14ac:dyDescent="0.3">
      <c r="A57" t="s">
        <v>1100</v>
      </c>
      <c r="B57" t="s">
        <v>1068</v>
      </c>
      <c r="C57">
        <v>83</v>
      </c>
      <c r="D57" t="s">
        <v>1029</v>
      </c>
      <c r="E57" s="1">
        <v>44948</v>
      </c>
      <c r="F57">
        <v>28</v>
      </c>
      <c r="G57">
        <v>4.5</v>
      </c>
      <c r="H57">
        <v>2023</v>
      </c>
      <c r="I57" t="s">
        <v>1018</v>
      </c>
      <c r="J57" t="s">
        <v>1019</v>
      </c>
      <c r="K57">
        <v>5</v>
      </c>
    </row>
    <row r="58" spans="1:11" x14ac:dyDescent="0.3">
      <c r="A58" t="s">
        <v>1101</v>
      </c>
      <c r="B58" t="s">
        <v>1098</v>
      </c>
      <c r="C58">
        <v>58</v>
      </c>
      <c r="D58" t="s">
        <v>1024</v>
      </c>
      <c r="E58" s="1">
        <v>44949</v>
      </c>
      <c r="F58">
        <v>135</v>
      </c>
      <c r="G58">
        <v>3.3</v>
      </c>
      <c r="H58">
        <v>2023</v>
      </c>
      <c r="I58" t="s">
        <v>1030</v>
      </c>
      <c r="J58" t="s">
        <v>1034</v>
      </c>
      <c r="K58">
        <v>3</v>
      </c>
    </row>
    <row r="59" spans="1:11" x14ac:dyDescent="0.3">
      <c r="A59" t="s">
        <v>1102</v>
      </c>
      <c r="B59" t="s">
        <v>1065</v>
      </c>
      <c r="C59">
        <v>118</v>
      </c>
      <c r="D59" t="s">
        <v>1024</v>
      </c>
      <c r="E59" s="1">
        <v>44949</v>
      </c>
      <c r="F59">
        <v>126</v>
      </c>
      <c r="G59">
        <v>2.2999999999999998</v>
      </c>
      <c r="H59">
        <v>2023</v>
      </c>
      <c r="I59" t="s">
        <v>1030</v>
      </c>
      <c r="J59" t="s">
        <v>1019</v>
      </c>
      <c r="K59">
        <v>2</v>
      </c>
    </row>
    <row r="60" spans="1:11" x14ac:dyDescent="0.3">
      <c r="A60" t="s">
        <v>1103</v>
      </c>
      <c r="B60" t="s">
        <v>1028</v>
      </c>
      <c r="C60">
        <v>63</v>
      </c>
      <c r="D60" t="s">
        <v>1017</v>
      </c>
      <c r="E60" s="1">
        <v>44949</v>
      </c>
      <c r="F60">
        <v>160</v>
      </c>
      <c r="G60">
        <v>4.3</v>
      </c>
      <c r="H60">
        <v>2023</v>
      </c>
      <c r="I60" t="s">
        <v>1030</v>
      </c>
      <c r="J60" t="s">
        <v>1019</v>
      </c>
      <c r="K60">
        <v>4</v>
      </c>
    </row>
    <row r="61" spans="1:11" x14ac:dyDescent="0.3">
      <c r="A61" t="s">
        <v>1104</v>
      </c>
      <c r="B61" t="s">
        <v>1098</v>
      </c>
      <c r="C61">
        <v>95</v>
      </c>
      <c r="D61" t="s">
        <v>1024</v>
      </c>
      <c r="E61" s="1">
        <v>44950</v>
      </c>
      <c r="F61">
        <v>48</v>
      </c>
      <c r="G61">
        <v>4.5999999999999996</v>
      </c>
      <c r="H61">
        <v>2023</v>
      </c>
      <c r="I61" t="s">
        <v>1033</v>
      </c>
      <c r="J61" t="s">
        <v>1019</v>
      </c>
      <c r="K61">
        <v>5</v>
      </c>
    </row>
    <row r="62" spans="1:11" x14ac:dyDescent="0.3">
      <c r="A62" t="s">
        <v>1105</v>
      </c>
      <c r="B62" t="s">
        <v>1045</v>
      </c>
      <c r="C62">
        <v>74</v>
      </c>
      <c r="D62" t="s">
        <v>1029</v>
      </c>
      <c r="E62" s="1">
        <v>44950</v>
      </c>
      <c r="F62">
        <v>66</v>
      </c>
      <c r="G62">
        <v>4</v>
      </c>
      <c r="H62">
        <v>2023</v>
      </c>
      <c r="I62" t="s">
        <v>1033</v>
      </c>
      <c r="J62" t="s">
        <v>1019</v>
      </c>
      <c r="K62">
        <v>4</v>
      </c>
    </row>
    <row r="63" spans="1:11" x14ac:dyDescent="0.3">
      <c r="A63" t="s">
        <v>1106</v>
      </c>
      <c r="B63" t="s">
        <v>1041</v>
      </c>
      <c r="C63">
        <v>130</v>
      </c>
      <c r="D63" t="s">
        <v>1038</v>
      </c>
      <c r="E63" s="1">
        <v>44950</v>
      </c>
      <c r="F63">
        <v>126</v>
      </c>
      <c r="G63">
        <v>2.5</v>
      </c>
      <c r="H63">
        <v>2023</v>
      </c>
      <c r="I63" t="s">
        <v>1033</v>
      </c>
      <c r="J63" t="s">
        <v>1031</v>
      </c>
      <c r="K63">
        <v>3</v>
      </c>
    </row>
    <row r="64" spans="1:11" x14ac:dyDescent="0.3">
      <c r="A64" t="s">
        <v>1107</v>
      </c>
      <c r="B64" t="s">
        <v>1065</v>
      </c>
      <c r="C64">
        <v>110</v>
      </c>
      <c r="D64" t="s">
        <v>1042</v>
      </c>
      <c r="E64" s="1">
        <v>44950</v>
      </c>
      <c r="F64">
        <v>96</v>
      </c>
      <c r="G64">
        <v>5</v>
      </c>
      <c r="H64">
        <v>2023</v>
      </c>
      <c r="I64" t="s">
        <v>1033</v>
      </c>
      <c r="J64" t="s">
        <v>1019</v>
      </c>
      <c r="K64">
        <v>5</v>
      </c>
    </row>
    <row r="65" spans="1:11" x14ac:dyDescent="0.3">
      <c r="A65" t="s">
        <v>1108</v>
      </c>
      <c r="B65" t="s">
        <v>1045</v>
      </c>
      <c r="C65">
        <v>71</v>
      </c>
      <c r="D65" t="s">
        <v>1017</v>
      </c>
      <c r="E65" s="1">
        <v>44951</v>
      </c>
      <c r="F65">
        <v>90</v>
      </c>
      <c r="G65">
        <v>3.8</v>
      </c>
      <c r="H65">
        <v>2023</v>
      </c>
      <c r="I65" t="s">
        <v>1048</v>
      </c>
      <c r="J65" t="s">
        <v>1019</v>
      </c>
      <c r="K65">
        <v>4</v>
      </c>
    </row>
    <row r="66" spans="1:11" x14ac:dyDescent="0.3">
      <c r="A66" t="s">
        <v>1109</v>
      </c>
      <c r="B66" t="s">
        <v>1078</v>
      </c>
      <c r="C66">
        <v>147</v>
      </c>
      <c r="D66" t="s">
        <v>1038</v>
      </c>
      <c r="E66" s="1">
        <v>44951</v>
      </c>
      <c r="F66">
        <v>105</v>
      </c>
      <c r="G66">
        <v>4.4000000000000004</v>
      </c>
      <c r="H66">
        <v>2023</v>
      </c>
      <c r="I66" t="s">
        <v>1048</v>
      </c>
      <c r="J66" t="s">
        <v>1031</v>
      </c>
      <c r="K66">
        <v>4</v>
      </c>
    </row>
    <row r="67" spans="1:11" x14ac:dyDescent="0.3">
      <c r="A67" t="s">
        <v>1110</v>
      </c>
      <c r="B67" t="s">
        <v>1021</v>
      </c>
      <c r="C67">
        <v>69</v>
      </c>
      <c r="D67" t="s">
        <v>1024</v>
      </c>
      <c r="E67" s="1">
        <v>44952</v>
      </c>
      <c r="F67">
        <v>40</v>
      </c>
      <c r="G67">
        <v>3.8</v>
      </c>
      <c r="H67">
        <v>2023</v>
      </c>
      <c r="I67" t="s">
        <v>1052</v>
      </c>
      <c r="J67" t="s">
        <v>1019</v>
      </c>
      <c r="K67">
        <v>4</v>
      </c>
    </row>
    <row r="68" spans="1:11" x14ac:dyDescent="0.3">
      <c r="A68" t="s">
        <v>1111</v>
      </c>
      <c r="B68" t="s">
        <v>1065</v>
      </c>
      <c r="C68">
        <v>50</v>
      </c>
      <c r="D68" t="s">
        <v>1017</v>
      </c>
      <c r="E68" s="1">
        <v>44952</v>
      </c>
      <c r="F68">
        <v>60</v>
      </c>
      <c r="G68">
        <v>2</v>
      </c>
      <c r="H68">
        <v>2023</v>
      </c>
      <c r="I68" t="s">
        <v>1052</v>
      </c>
      <c r="J68" t="s">
        <v>1034</v>
      </c>
      <c r="K68">
        <v>2</v>
      </c>
    </row>
    <row r="69" spans="1:11" x14ac:dyDescent="0.3">
      <c r="A69" t="s">
        <v>1112</v>
      </c>
      <c r="B69" t="s">
        <v>1041</v>
      </c>
      <c r="C69">
        <v>124</v>
      </c>
      <c r="D69" t="s">
        <v>1038</v>
      </c>
      <c r="E69" s="1">
        <v>44953</v>
      </c>
      <c r="F69">
        <v>215</v>
      </c>
      <c r="G69">
        <v>4.0999999999999996</v>
      </c>
      <c r="H69">
        <v>2023</v>
      </c>
      <c r="I69" t="s">
        <v>411</v>
      </c>
      <c r="J69" t="s">
        <v>1031</v>
      </c>
      <c r="K69">
        <v>4</v>
      </c>
    </row>
    <row r="70" spans="1:11" x14ac:dyDescent="0.3">
      <c r="A70" t="s">
        <v>1113</v>
      </c>
      <c r="B70" t="s">
        <v>1023</v>
      </c>
      <c r="C70">
        <v>81</v>
      </c>
      <c r="D70" t="s">
        <v>1029</v>
      </c>
      <c r="E70" s="1">
        <v>44953</v>
      </c>
      <c r="F70">
        <v>156</v>
      </c>
      <c r="G70">
        <v>2.6</v>
      </c>
      <c r="H70">
        <v>2023</v>
      </c>
      <c r="I70" t="s">
        <v>411</v>
      </c>
      <c r="J70" t="s">
        <v>1019</v>
      </c>
      <c r="K70">
        <v>3</v>
      </c>
    </row>
    <row r="71" spans="1:11" x14ac:dyDescent="0.3">
      <c r="A71" t="s">
        <v>1114</v>
      </c>
      <c r="B71" t="s">
        <v>1059</v>
      </c>
      <c r="C71">
        <v>141</v>
      </c>
      <c r="D71" t="s">
        <v>1042</v>
      </c>
      <c r="E71" s="1">
        <v>44953</v>
      </c>
      <c r="F71">
        <v>54</v>
      </c>
      <c r="G71">
        <v>0</v>
      </c>
      <c r="H71">
        <v>2023</v>
      </c>
      <c r="I71" t="s">
        <v>411</v>
      </c>
      <c r="J71" t="s">
        <v>1031</v>
      </c>
      <c r="K71">
        <v>0</v>
      </c>
    </row>
    <row r="72" spans="1:11" x14ac:dyDescent="0.3">
      <c r="A72" t="s">
        <v>1115</v>
      </c>
      <c r="B72" t="s">
        <v>1059</v>
      </c>
      <c r="C72">
        <v>168</v>
      </c>
      <c r="D72" t="s">
        <v>1042</v>
      </c>
      <c r="E72" s="1">
        <v>44954</v>
      </c>
      <c r="F72">
        <v>160</v>
      </c>
      <c r="G72">
        <v>3.9</v>
      </c>
      <c r="H72">
        <v>2023</v>
      </c>
      <c r="I72" t="s">
        <v>1062</v>
      </c>
      <c r="J72" t="s">
        <v>1031</v>
      </c>
      <c r="K72">
        <v>4</v>
      </c>
    </row>
    <row r="73" spans="1:11" x14ac:dyDescent="0.3">
      <c r="A73" t="s">
        <v>1116</v>
      </c>
      <c r="B73" t="s">
        <v>1078</v>
      </c>
      <c r="C73">
        <v>101</v>
      </c>
      <c r="D73" t="s">
        <v>1029</v>
      </c>
      <c r="E73" s="1">
        <v>44954</v>
      </c>
      <c r="F73">
        <v>80</v>
      </c>
      <c r="G73">
        <v>4.8</v>
      </c>
      <c r="H73">
        <v>2023</v>
      </c>
      <c r="I73" t="s">
        <v>1062</v>
      </c>
      <c r="J73" t="s">
        <v>1019</v>
      </c>
      <c r="K73">
        <v>5</v>
      </c>
    </row>
    <row r="74" spans="1:11" x14ac:dyDescent="0.3">
      <c r="A74" t="s">
        <v>1117</v>
      </c>
      <c r="B74" t="s">
        <v>1045</v>
      </c>
      <c r="C74">
        <v>67</v>
      </c>
      <c r="D74" t="s">
        <v>1029</v>
      </c>
      <c r="E74" s="1">
        <v>44954</v>
      </c>
      <c r="F74">
        <v>168</v>
      </c>
      <c r="G74">
        <v>2.6</v>
      </c>
      <c r="H74">
        <v>2023</v>
      </c>
      <c r="I74" t="s">
        <v>1062</v>
      </c>
      <c r="J74" t="s">
        <v>1019</v>
      </c>
      <c r="K74">
        <v>3</v>
      </c>
    </row>
    <row r="75" spans="1:11" x14ac:dyDescent="0.3">
      <c r="A75" t="s">
        <v>1118</v>
      </c>
      <c r="B75" t="s">
        <v>1098</v>
      </c>
      <c r="C75">
        <v>114</v>
      </c>
      <c r="D75" t="s">
        <v>1042</v>
      </c>
      <c r="E75" s="1">
        <v>44956</v>
      </c>
      <c r="F75">
        <v>42</v>
      </c>
      <c r="G75">
        <v>2.6</v>
      </c>
      <c r="H75">
        <v>2023</v>
      </c>
      <c r="I75" t="s">
        <v>1030</v>
      </c>
      <c r="J75" t="s">
        <v>1019</v>
      </c>
      <c r="K75">
        <v>3</v>
      </c>
    </row>
    <row r="76" spans="1:11" x14ac:dyDescent="0.3">
      <c r="A76" t="s">
        <v>1119</v>
      </c>
      <c r="B76" t="s">
        <v>1023</v>
      </c>
      <c r="C76">
        <v>42</v>
      </c>
      <c r="D76" t="s">
        <v>1029</v>
      </c>
      <c r="E76" s="1">
        <v>44956</v>
      </c>
      <c r="F76">
        <v>205</v>
      </c>
      <c r="G76">
        <v>3.6</v>
      </c>
      <c r="H76">
        <v>2023</v>
      </c>
      <c r="I76" t="s">
        <v>1030</v>
      </c>
      <c r="J76" t="s">
        <v>1034</v>
      </c>
      <c r="K76">
        <v>4</v>
      </c>
    </row>
    <row r="77" spans="1:11" x14ac:dyDescent="0.3">
      <c r="A77" t="s">
        <v>1120</v>
      </c>
      <c r="B77" t="s">
        <v>1028</v>
      </c>
      <c r="C77">
        <v>69</v>
      </c>
      <c r="D77" t="s">
        <v>1042</v>
      </c>
      <c r="E77" s="1">
        <v>44956</v>
      </c>
      <c r="F77">
        <v>108</v>
      </c>
      <c r="G77">
        <v>3.3</v>
      </c>
      <c r="H77">
        <v>2023</v>
      </c>
      <c r="I77" t="s">
        <v>1030</v>
      </c>
      <c r="J77" t="s">
        <v>1019</v>
      </c>
      <c r="K77">
        <v>3</v>
      </c>
    </row>
    <row r="78" spans="1:11" x14ac:dyDescent="0.3">
      <c r="A78" t="s">
        <v>1121</v>
      </c>
      <c r="B78" t="s">
        <v>1041</v>
      </c>
      <c r="C78">
        <v>145</v>
      </c>
      <c r="D78" t="s">
        <v>1024</v>
      </c>
      <c r="E78" s="1">
        <v>44956</v>
      </c>
      <c r="F78">
        <v>78</v>
      </c>
      <c r="G78">
        <v>1.9</v>
      </c>
      <c r="H78">
        <v>2023</v>
      </c>
      <c r="I78" t="s">
        <v>1030</v>
      </c>
      <c r="J78" t="s">
        <v>1031</v>
      </c>
      <c r="K78">
        <v>2</v>
      </c>
    </row>
    <row r="79" spans="1:11" x14ac:dyDescent="0.3">
      <c r="A79" t="s">
        <v>1122</v>
      </c>
      <c r="B79" t="s">
        <v>1021</v>
      </c>
      <c r="C79">
        <v>43</v>
      </c>
      <c r="D79" t="s">
        <v>1042</v>
      </c>
      <c r="E79" s="1">
        <v>44956</v>
      </c>
      <c r="F79">
        <v>23</v>
      </c>
      <c r="G79">
        <v>4.9000000000000004</v>
      </c>
      <c r="H79">
        <v>2023</v>
      </c>
      <c r="I79" t="s">
        <v>1030</v>
      </c>
      <c r="J79" t="s">
        <v>1034</v>
      </c>
      <c r="K79">
        <v>5</v>
      </c>
    </row>
    <row r="80" spans="1:11" x14ac:dyDescent="0.3">
      <c r="A80" t="s">
        <v>1123</v>
      </c>
      <c r="B80" t="s">
        <v>1028</v>
      </c>
      <c r="C80">
        <v>62</v>
      </c>
      <c r="D80" t="s">
        <v>1017</v>
      </c>
      <c r="E80" s="1">
        <v>44957</v>
      </c>
      <c r="F80">
        <v>99</v>
      </c>
      <c r="G80">
        <v>3.6</v>
      </c>
      <c r="H80">
        <v>2023</v>
      </c>
      <c r="I80" t="s">
        <v>1033</v>
      </c>
      <c r="J80" t="s">
        <v>1019</v>
      </c>
      <c r="K80">
        <v>4</v>
      </c>
    </row>
    <row r="81" spans="1:11" x14ac:dyDescent="0.3">
      <c r="A81" t="s">
        <v>1124</v>
      </c>
      <c r="B81" t="s">
        <v>1055</v>
      </c>
      <c r="C81">
        <v>79</v>
      </c>
      <c r="D81" t="s">
        <v>1042</v>
      </c>
      <c r="E81" s="1">
        <v>44958</v>
      </c>
      <c r="F81">
        <v>148</v>
      </c>
      <c r="G81">
        <v>4.5</v>
      </c>
      <c r="H81">
        <v>2023</v>
      </c>
      <c r="I81" t="s">
        <v>1048</v>
      </c>
      <c r="J81" t="s">
        <v>1019</v>
      </c>
      <c r="K81">
        <v>5</v>
      </c>
    </row>
    <row r="82" spans="1:11" x14ac:dyDescent="0.3">
      <c r="A82" t="s">
        <v>1125</v>
      </c>
      <c r="B82" t="s">
        <v>1041</v>
      </c>
      <c r="C82">
        <v>45</v>
      </c>
      <c r="D82" t="s">
        <v>1038</v>
      </c>
      <c r="E82" s="1">
        <v>44958</v>
      </c>
      <c r="F82">
        <v>34</v>
      </c>
      <c r="G82">
        <v>3.7</v>
      </c>
      <c r="H82">
        <v>2023</v>
      </c>
      <c r="I82" t="s">
        <v>1048</v>
      </c>
      <c r="J82" t="s">
        <v>1034</v>
      </c>
      <c r="K82">
        <v>4</v>
      </c>
    </row>
    <row r="83" spans="1:11" x14ac:dyDescent="0.3">
      <c r="A83" t="s">
        <v>1126</v>
      </c>
      <c r="B83" t="s">
        <v>1028</v>
      </c>
      <c r="C83">
        <v>137</v>
      </c>
      <c r="D83" t="s">
        <v>1042</v>
      </c>
      <c r="E83" s="1">
        <v>44958</v>
      </c>
      <c r="F83">
        <v>86</v>
      </c>
      <c r="G83">
        <v>4.8</v>
      </c>
      <c r="H83">
        <v>2023</v>
      </c>
      <c r="I83" t="s">
        <v>1048</v>
      </c>
      <c r="J83" t="s">
        <v>1031</v>
      </c>
      <c r="K83">
        <v>5</v>
      </c>
    </row>
    <row r="84" spans="1:11" x14ac:dyDescent="0.3">
      <c r="A84" t="s">
        <v>1127</v>
      </c>
      <c r="B84" t="s">
        <v>1098</v>
      </c>
      <c r="C84">
        <v>109</v>
      </c>
      <c r="D84" t="s">
        <v>1017</v>
      </c>
      <c r="E84" s="1">
        <v>44958</v>
      </c>
      <c r="F84">
        <v>105</v>
      </c>
      <c r="G84">
        <v>3.3</v>
      </c>
      <c r="H84">
        <v>2023</v>
      </c>
      <c r="I84" t="s">
        <v>1048</v>
      </c>
      <c r="J84" t="s">
        <v>1019</v>
      </c>
      <c r="K84">
        <v>3</v>
      </c>
    </row>
    <row r="85" spans="1:11" x14ac:dyDescent="0.3">
      <c r="A85" t="s">
        <v>1128</v>
      </c>
      <c r="B85" t="s">
        <v>1021</v>
      </c>
      <c r="C85">
        <v>78</v>
      </c>
      <c r="D85" t="s">
        <v>1017</v>
      </c>
      <c r="E85" s="1">
        <v>44958</v>
      </c>
      <c r="F85">
        <v>62</v>
      </c>
      <c r="G85">
        <v>3.1</v>
      </c>
      <c r="H85">
        <v>2023</v>
      </c>
      <c r="I85" t="s">
        <v>1048</v>
      </c>
      <c r="J85" t="s">
        <v>1019</v>
      </c>
      <c r="K85">
        <v>3</v>
      </c>
    </row>
    <row r="86" spans="1:11" x14ac:dyDescent="0.3">
      <c r="A86" t="s">
        <v>1129</v>
      </c>
      <c r="B86" t="s">
        <v>1028</v>
      </c>
      <c r="C86">
        <v>137</v>
      </c>
      <c r="D86" t="s">
        <v>1038</v>
      </c>
      <c r="E86" s="1">
        <v>44958</v>
      </c>
      <c r="F86">
        <v>90</v>
      </c>
      <c r="G86">
        <v>4.0999999999999996</v>
      </c>
      <c r="H86">
        <v>2023</v>
      </c>
      <c r="I86" t="s">
        <v>1048</v>
      </c>
      <c r="J86" t="s">
        <v>1031</v>
      </c>
      <c r="K86">
        <v>4</v>
      </c>
    </row>
    <row r="87" spans="1:11" x14ac:dyDescent="0.3">
      <c r="A87" t="s">
        <v>1130</v>
      </c>
      <c r="B87" t="s">
        <v>1026</v>
      </c>
      <c r="C87">
        <v>99</v>
      </c>
      <c r="D87" t="s">
        <v>1017</v>
      </c>
      <c r="E87" s="1">
        <v>44959</v>
      </c>
      <c r="F87">
        <v>112</v>
      </c>
      <c r="G87">
        <v>4.9000000000000004</v>
      </c>
      <c r="H87">
        <v>2023</v>
      </c>
      <c r="I87" t="s">
        <v>1052</v>
      </c>
      <c r="J87" t="s">
        <v>1019</v>
      </c>
      <c r="K87">
        <v>5</v>
      </c>
    </row>
    <row r="88" spans="1:11" x14ac:dyDescent="0.3">
      <c r="A88" t="s">
        <v>1131</v>
      </c>
      <c r="B88" t="s">
        <v>1065</v>
      </c>
      <c r="C88">
        <v>100</v>
      </c>
      <c r="D88" t="s">
        <v>1017</v>
      </c>
      <c r="E88" s="1">
        <v>44959</v>
      </c>
      <c r="F88">
        <v>135</v>
      </c>
      <c r="G88">
        <v>4</v>
      </c>
      <c r="H88">
        <v>2023</v>
      </c>
      <c r="I88" t="s">
        <v>1052</v>
      </c>
      <c r="J88" t="s">
        <v>1019</v>
      </c>
      <c r="K88">
        <v>4</v>
      </c>
    </row>
    <row r="89" spans="1:11" x14ac:dyDescent="0.3">
      <c r="A89" t="s">
        <v>1132</v>
      </c>
      <c r="B89" t="s">
        <v>1021</v>
      </c>
      <c r="C89">
        <v>47</v>
      </c>
      <c r="D89" t="s">
        <v>1024</v>
      </c>
      <c r="E89" s="1">
        <v>44959</v>
      </c>
      <c r="F89">
        <v>34</v>
      </c>
      <c r="G89">
        <v>2.1</v>
      </c>
      <c r="H89">
        <v>2023</v>
      </c>
      <c r="I89" t="s">
        <v>1052</v>
      </c>
      <c r="J89" t="s">
        <v>1034</v>
      </c>
      <c r="K89">
        <v>2</v>
      </c>
    </row>
    <row r="90" spans="1:11" x14ac:dyDescent="0.3">
      <c r="A90" t="s">
        <v>1133</v>
      </c>
      <c r="B90" t="s">
        <v>1098</v>
      </c>
      <c r="C90">
        <v>87</v>
      </c>
      <c r="D90" t="s">
        <v>1029</v>
      </c>
      <c r="E90" s="1">
        <v>44959</v>
      </c>
      <c r="F90">
        <v>155</v>
      </c>
      <c r="G90">
        <v>4.5</v>
      </c>
      <c r="H90">
        <v>2023</v>
      </c>
      <c r="I90" t="s">
        <v>1052</v>
      </c>
      <c r="J90" t="s">
        <v>1019</v>
      </c>
      <c r="K90">
        <v>5</v>
      </c>
    </row>
    <row r="91" spans="1:11" x14ac:dyDescent="0.3">
      <c r="A91" t="s">
        <v>1134</v>
      </c>
      <c r="B91" t="s">
        <v>1026</v>
      </c>
      <c r="C91">
        <v>143</v>
      </c>
      <c r="D91" t="s">
        <v>1029</v>
      </c>
      <c r="E91" s="1">
        <v>44961</v>
      </c>
      <c r="F91">
        <v>124</v>
      </c>
      <c r="G91">
        <v>4.9000000000000004</v>
      </c>
      <c r="H91">
        <v>2023</v>
      </c>
      <c r="I91" t="s">
        <v>1062</v>
      </c>
      <c r="J91" t="s">
        <v>1031</v>
      </c>
      <c r="K91">
        <v>5</v>
      </c>
    </row>
    <row r="92" spans="1:11" x14ac:dyDescent="0.3">
      <c r="A92" t="s">
        <v>1135</v>
      </c>
      <c r="B92" t="s">
        <v>1065</v>
      </c>
      <c r="C92">
        <v>84</v>
      </c>
      <c r="D92" t="s">
        <v>1017</v>
      </c>
      <c r="E92" s="1">
        <v>44961</v>
      </c>
      <c r="F92">
        <v>195</v>
      </c>
      <c r="G92">
        <v>4.0999999999999996</v>
      </c>
      <c r="H92">
        <v>2023</v>
      </c>
      <c r="I92" t="s">
        <v>1062</v>
      </c>
      <c r="J92" t="s">
        <v>1019</v>
      </c>
      <c r="K92">
        <v>4</v>
      </c>
    </row>
    <row r="93" spans="1:11" x14ac:dyDescent="0.3">
      <c r="A93" t="s">
        <v>1136</v>
      </c>
      <c r="B93" t="s">
        <v>1078</v>
      </c>
      <c r="C93">
        <v>55</v>
      </c>
      <c r="D93" t="s">
        <v>1029</v>
      </c>
      <c r="E93" s="1">
        <v>44962</v>
      </c>
      <c r="F93">
        <v>78</v>
      </c>
      <c r="G93">
        <v>4.5</v>
      </c>
      <c r="H93">
        <v>2023</v>
      </c>
      <c r="I93" t="s">
        <v>1018</v>
      </c>
      <c r="J93" t="s">
        <v>1034</v>
      </c>
      <c r="K93">
        <v>5</v>
      </c>
    </row>
    <row r="94" spans="1:11" x14ac:dyDescent="0.3">
      <c r="A94" t="s">
        <v>1137</v>
      </c>
      <c r="B94" t="s">
        <v>1036</v>
      </c>
      <c r="C94">
        <v>135</v>
      </c>
      <c r="D94" t="s">
        <v>1038</v>
      </c>
      <c r="E94" s="1">
        <v>44964</v>
      </c>
      <c r="F94">
        <v>35</v>
      </c>
      <c r="G94">
        <v>4.8</v>
      </c>
      <c r="H94">
        <v>2023</v>
      </c>
      <c r="I94" t="s">
        <v>1033</v>
      </c>
      <c r="J94" t="s">
        <v>1031</v>
      </c>
      <c r="K94">
        <v>5</v>
      </c>
    </row>
    <row r="95" spans="1:11" x14ac:dyDescent="0.3">
      <c r="A95" t="s">
        <v>1138</v>
      </c>
      <c r="B95" t="s">
        <v>1068</v>
      </c>
      <c r="C95">
        <v>152</v>
      </c>
      <c r="D95" t="s">
        <v>1024</v>
      </c>
      <c r="E95" s="1">
        <v>44964</v>
      </c>
      <c r="F95">
        <v>123</v>
      </c>
      <c r="G95">
        <v>4.5999999999999996</v>
      </c>
      <c r="H95">
        <v>2023</v>
      </c>
      <c r="I95" t="s">
        <v>1033</v>
      </c>
      <c r="J95" t="s">
        <v>1031</v>
      </c>
      <c r="K95">
        <v>5</v>
      </c>
    </row>
    <row r="96" spans="1:11" x14ac:dyDescent="0.3">
      <c r="A96" t="s">
        <v>1139</v>
      </c>
      <c r="B96" t="s">
        <v>1023</v>
      </c>
      <c r="C96">
        <v>132</v>
      </c>
      <c r="D96" t="s">
        <v>1024</v>
      </c>
      <c r="E96" s="1">
        <v>44964</v>
      </c>
      <c r="F96">
        <v>43</v>
      </c>
      <c r="G96">
        <v>4.5999999999999996</v>
      </c>
      <c r="H96">
        <v>2023</v>
      </c>
      <c r="I96" t="s">
        <v>1033</v>
      </c>
      <c r="J96" t="s">
        <v>1031</v>
      </c>
      <c r="K96">
        <v>5</v>
      </c>
    </row>
    <row r="97" spans="1:11" x14ac:dyDescent="0.3">
      <c r="A97" t="s">
        <v>1140</v>
      </c>
      <c r="B97" t="s">
        <v>1059</v>
      </c>
      <c r="C97">
        <v>60</v>
      </c>
      <c r="D97" t="s">
        <v>1017</v>
      </c>
      <c r="E97" s="1">
        <v>44965</v>
      </c>
      <c r="F97">
        <v>69</v>
      </c>
      <c r="G97">
        <v>4.3</v>
      </c>
      <c r="H97">
        <v>2023</v>
      </c>
      <c r="I97" t="s">
        <v>1048</v>
      </c>
      <c r="J97" t="s">
        <v>1034</v>
      </c>
      <c r="K97">
        <v>4</v>
      </c>
    </row>
    <row r="98" spans="1:11" x14ac:dyDescent="0.3">
      <c r="A98" t="s">
        <v>1141</v>
      </c>
      <c r="B98" t="s">
        <v>1068</v>
      </c>
      <c r="C98">
        <v>95</v>
      </c>
      <c r="D98" t="s">
        <v>1024</v>
      </c>
      <c r="E98" s="1">
        <v>44965</v>
      </c>
      <c r="F98">
        <v>130</v>
      </c>
      <c r="G98">
        <v>5</v>
      </c>
      <c r="H98">
        <v>2023</v>
      </c>
      <c r="I98" t="s">
        <v>1048</v>
      </c>
      <c r="J98" t="s">
        <v>1019</v>
      </c>
      <c r="K98">
        <v>5</v>
      </c>
    </row>
    <row r="99" spans="1:11" x14ac:dyDescent="0.3">
      <c r="A99" t="s">
        <v>1142</v>
      </c>
      <c r="B99" t="s">
        <v>1016</v>
      </c>
      <c r="C99">
        <v>96</v>
      </c>
      <c r="D99" t="s">
        <v>1042</v>
      </c>
      <c r="E99" s="1">
        <v>44965</v>
      </c>
      <c r="F99">
        <v>120</v>
      </c>
      <c r="G99">
        <v>4</v>
      </c>
      <c r="H99">
        <v>2023</v>
      </c>
      <c r="I99" t="s">
        <v>1048</v>
      </c>
      <c r="J99" t="s">
        <v>1019</v>
      </c>
      <c r="K99">
        <v>4</v>
      </c>
    </row>
    <row r="100" spans="1:11" x14ac:dyDescent="0.3">
      <c r="A100" t="s">
        <v>1143</v>
      </c>
      <c r="B100" t="s">
        <v>1078</v>
      </c>
      <c r="C100">
        <v>45</v>
      </c>
      <c r="D100" t="s">
        <v>1017</v>
      </c>
      <c r="E100" s="1">
        <v>44966</v>
      </c>
      <c r="F100">
        <v>84</v>
      </c>
      <c r="G100">
        <v>4.5999999999999996</v>
      </c>
      <c r="H100">
        <v>2023</v>
      </c>
      <c r="I100" t="s">
        <v>1052</v>
      </c>
      <c r="J100" t="s">
        <v>1034</v>
      </c>
      <c r="K100">
        <v>5</v>
      </c>
    </row>
    <row r="101" spans="1:11" x14ac:dyDescent="0.3">
      <c r="A101" t="s">
        <v>1144</v>
      </c>
      <c r="B101" t="s">
        <v>1016</v>
      </c>
      <c r="C101">
        <v>132</v>
      </c>
      <c r="D101" t="s">
        <v>1042</v>
      </c>
      <c r="E101" s="1">
        <v>44967</v>
      </c>
      <c r="F101">
        <v>112</v>
      </c>
      <c r="G101">
        <v>4.5</v>
      </c>
      <c r="H101">
        <v>2023</v>
      </c>
      <c r="I101" t="s">
        <v>411</v>
      </c>
      <c r="J101" t="s">
        <v>1031</v>
      </c>
      <c r="K101">
        <v>5</v>
      </c>
    </row>
    <row r="102" spans="1:11" x14ac:dyDescent="0.3">
      <c r="A102" t="s">
        <v>1145</v>
      </c>
      <c r="B102" t="s">
        <v>1045</v>
      </c>
      <c r="C102">
        <v>95</v>
      </c>
      <c r="D102" t="s">
        <v>1017</v>
      </c>
      <c r="E102" s="1">
        <v>44967</v>
      </c>
      <c r="F102">
        <v>66</v>
      </c>
      <c r="G102">
        <v>4.5999999999999996</v>
      </c>
      <c r="H102">
        <v>2023</v>
      </c>
      <c r="I102" t="s">
        <v>411</v>
      </c>
      <c r="J102" t="s">
        <v>1019</v>
      </c>
      <c r="K102">
        <v>5</v>
      </c>
    </row>
    <row r="103" spans="1:11" x14ac:dyDescent="0.3">
      <c r="A103" t="s">
        <v>1146</v>
      </c>
      <c r="B103" t="s">
        <v>1068</v>
      </c>
      <c r="C103">
        <v>131</v>
      </c>
      <c r="D103" t="s">
        <v>1029</v>
      </c>
      <c r="E103" s="1">
        <v>44967</v>
      </c>
      <c r="F103">
        <v>172</v>
      </c>
      <c r="G103">
        <v>2.6</v>
      </c>
      <c r="H103">
        <v>2023</v>
      </c>
      <c r="I103" t="s">
        <v>411</v>
      </c>
      <c r="J103" t="s">
        <v>1031</v>
      </c>
      <c r="K103">
        <v>3</v>
      </c>
    </row>
    <row r="104" spans="1:11" x14ac:dyDescent="0.3">
      <c r="A104" t="s">
        <v>1147</v>
      </c>
      <c r="B104" t="s">
        <v>1055</v>
      </c>
      <c r="C104">
        <v>67</v>
      </c>
      <c r="D104" t="s">
        <v>1038</v>
      </c>
      <c r="E104" s="1">
        <v>44968</v>
      </c>
      <c r="F104">
        <v>24</v>
      </c>
      <c r="G104">
        <v>4.3</v>
      </c>
      <c r="H104">
        <v>2023</v>
      </c>
      <c r="I104" t="s">
        <v>1062</v>
      </c>
      <c r="J104" t="s">
        <v>1019</v>
      </c>
      <c r="K104">
        <v>4</v>
      </c>
    </row>
    <row r="105" spans="1:11" x14ac:dyDescent="0.3">
      <c r="A105" t="s">
        <v>1148</v>
      </c>
      <c r="B105" t="s">
        <v>1026</v>
      </c>
      <c r="C105">
        <v>111</v>
      </c>
      <c r="D105" t="s">
        <v>1029</v>
      </c>
      <c r="E105" s="1">
        <v>44969</v>
      </c>
      <c r="F105">
        <v>43</v>
      </c>
      <c r="G105">
        <v>3.9</v>
      </c>
      <c r="H105">
        <v>2023</v>
      </c>
      <c r="I105" t="s">
        <v>1018</v>
      </c>
      <c r="J105" t="s">
        <v>1019</v>
      </c>
      <c r="K105">
        <v>4</v>
      </c>
    </row>
    <row r="106" spans="1:11" x14ac:dyDescent="0.3">
      <c r="A106" t="s">
        <v>1149</v>
      </c>
      <c r="B106" t="s">
        <v>1023</v>
      </c>
      <c r="C106">
        <v>78</v>
      </c>
      <c r="D106" t="s">
        <v>1024</v>
      </c>
      <c r="E106" s="1">
        <v>44969</v>
      </c>
      <c r="F106">
        <v>23</v>
      </c>
      <c r="G106">
        <v>5</v>
      </c>
      <c r="H106">
        <v>2023</v>
      </c>
      <c r="I106" t="s">
        <v>1018</v>
      </c>
      <c r="J106" t="s">
        <v>1019</v>
      </c>
      <c r="K106">
        <v>5</v>
      </c>
    </row>
    <row r="107" spans="1:11" x14ac:dyDescent="0.3">
      <c r="A107" t="s">
        <v>1150</v>
      </c>
      <c r="B107" t="s">
        <v>1047</v>
      </c>
      <c r="C107">
        <v>28</v>
      </c>
      <c r="D107" t="s">
        <v>1042</v>
      </c>
      <c r="E107" s="1">
        <v>44969</v>
      </c>
      <c r="F107">
        <v>74</v>
      </c>
      <c r="G107">
        <v>3.5</v>
      </c>
      <c r="H107">
        <v>2023</v>
      </c>
      <c r="I107" t="s">
        <v>1018</v>
      </c>
      <c r="J107" t="s">
        <v>1056</v>
      </c>
      <c r="K107">
        <v>4</v>
      </c>
    </row>
    <row r="108" spans="1:11" x14ac:dyDescent="0.3">
      <c r="A108" t="s">
        <v>1151</v>
      </c>
      <c r="B108" t="s">
        <v>1021</v>
      </c>
      <c r="C108">
        <v>127</v>
      </c>
      <c r="D108" t="s">
        <v>1038</v>
      </c>
      <c r="E108" s="1">
        <v>44970</v>
      </c>
      <c r="F108">
        <v>165</v>
      </c>
      <c r="G108">
        <v>4.7</v>
      </c>
      <c r="H108">
        <v>2023</v>
      </c>
      <c r="I108" t="s">
        <v>1030</v>
      </c>
      <c r="J108" t="s">
        <v>1031</v>
      </c>
      <c r="K108">
        <v>5</v>
      </c>
    </row>
    <row r="109" spans="1:11" x14ac:dyDescent="0.3">
      <c r="A109" t="s">
        <v>1152</v>
      </c>
      <c r="B109" t="s">
        <v>1065</v>
      </c>
      <c r="C109">
        <v>137</v>
      </c>
      <c r="D109" t="s">
        <v>1029</v>
      </c>
      <c r="E109" s="1">
        <v>44970</v>
      </c>
      <c r="F109">
        <v>34</v>
      </c>
      <c r="G109">
        <v>2.9</v>
      </c>
      <c r="H109">
        <v>2023</v>
      </c>
      <c r="I109" t="s">
        <v>1030</v>
      </c>
      <c r="J109" t="s">
        <v>1031</v>
      </c>
      <c r="K109">
        <v>3</v>
      </c>
    </row>
    <row r="110" spans="1:11" x14ac:dyDescent="0.3">
      <c r="A110" t="s">
        <v>1153</v>
      </c>
      <c r="B110" t="s">
        <v>1021</v>
      </c>
      <c r="C110">
        <v>76</v>
      </c>
      <c r="D110" t="s">
        <v>1042</v>
      </c>
      <c r="E110" s="1">
        <v>44970</v>
      </c>
      <c r="F110">
        <v>64</v>
      </c>
      <c r="G110">
        <v>3.4</v>
      </c>
      <c r="H110">
        <v>2023</v>
      </c>
      <c r="I110" t="s">
        <v>1030</v>
      </c>
      <c r="J110" t="s">
        <v>1019</v>
      </c>
      <c r="K110">
        <v>3</v>
      </c>
    </row>
    <row r="111" spans="1:11" x14ac:dyDescent="0.3">
      <c r="A111" t="s">
        <v>1154</v>
      </c>
      <c r="B111" t="s">
        <v>1023</v>
      </c>
      <c r="C111">
        <v>80</v>
      </c>
      <c r="D111" t="s">
        <v>1038</v>
      </c>
      <c r="E111" s="1">
        <v>44971</v>
      </c>
      <c r="F111">
        <v>155</v>
      </c>
      <c r="G111">
        <v>3.2</v>
      </c>
      <c r="H111">
        <v>2023</v>
      </c>
      <c r="I111" t="s">
        <v>1033</v>
      </c>
      <c r="J111" t="s">
        <v>1019</v>
      </c>
      <c r="K111">
        <v>3</v>
      </c>
    </row>
    <row r="112" spans="1:11" x14ac:dyDescent="0.3">
      <c r="A112" t="s">
        <v>1155</v>
      </c>
      <c r="B112" t="s">
        <v>1021</v>
      </c>
      <c r="C112">
        <v>95</v>
      </c>
      <c r="D112" t="s">
        <v>1024</v>
      </c>
      <c r="E112" s="1">
        <v>44972</v>
      </c>
      <c r="F112">
        <v>120</v>
      </c>
      <c r="G112">
        <v>4.8</v>
      </c>
      <c r="H112">
        <v>2023</v>
      </c>
      <c r="I112" t="s">
        <v>1048</v>
      </c>
      <c r="J112" t="s">
        <v>1019</v>
      </c>
      <c r="K112">
        <v>5</v>
      </c>
    </row>
    <row r="113" spans="1:11" x14ac:dyDescent="0.3">
      <c r="A113" t="s">
        <v>1156</v>
      </c>
      <c r="B113" t="s">
        <v>1059</v>
      </c>
      <c r="C113">
        <v>30</v>
      </c>
      <c r="D113" t="s">
        <v>1042</v>
      </c>
      <c r="E113" s="1">
        <v>44972</v>
      </c>
      <c r="F113">
        <v>105</v>
      </c>
      <c r="G113">
        <v>3.6</v>
      </c>
      <c r="H113">
        <v>2023</v>
      </c>
      <c r="I113" t="s">
        <v>1048</v>
      </c>
      <c r="J113" t="s">
        <v>1056</v>
      </c>
      <c r="K113">
        <v>4</v>
      </c>
    </row>
    <row r="114" spans="1:11" x14ac:dyDescent="0.3">
      <c r="A114" t="s">
        <v>1157</v>
      </c>
      <c r="B114" t="s">
        <v>1028</v>
      </c>
      <c r="C114">
        <v>19</v>
      </c>
      <c r="D114" t="s">
        <v>1029</v>
      </c>
      <c r="E114" s="1">
        <v>44972</v>
      </c>
      <c r="F114">
        <v>28</v>
      </c>
      <c r="G114">
        <v>4.9000000000000004</v>
      </c>
      <c r="H114">
        <v>2023</v>
      </c>
      <c r="I114" t="s">
        <v>1048</v>
      </c>
      <c r="J114" t="s">
        <v>1056</v>
      </c>
      <c r="K114">
        <v>5</v>
      </c>
    </row>
    <row r="115" spans="1:11" x14ac:dyDescent="0.3">
      <c r="A115" t="s">
        <v>1158</v>
      </c>
      <c r="B115" t="s">
        <v>1041</v>
      </c>
      <c r="C115">
        <v>38</v>
      </c>
      <c r="D115" t="s">
        <v>1038</v>
      </c>
      <c r="E115" s="1">
        <v>44972</v>
      </c>
      <c r="F115">
        <v>100</v>
      </c>
      <c r="G115">
        <v>4.8</v>
      </c>
      <c r="H115">
        <v>2023</v>
      </c>
      <c r="I115" t="s">
        <v>1048</v>
      </c>
      <c r="J115" t="s">
        <v>1034</v>
      </c>
      <c r="K115">
        <v>5</v>
      </c>
    </row>
    <row r="116" spans="1:11" x14ac:dyDescent="0.3">
      <c r="A116" t="s">
        <v>1159</v>
      </c>
      <c r="B116" t="s">
        <v>1045</v>
      </c>
      <c r="C116">
        <v>55</v>
      </c>
      <c r="D116" t="s">
        <v>1029</v>
      </c>
      <c r="E116" s="1">
        <v>44972</v>
      </c>
      <c r="F116">
        <v>23</v>
      </c>
      <c r="G116">
        <v>3.6</v>
      </c>
      <c r="H116">
        <v>2023</v>
      </c>
      <c r="I116" t="s">
        <v>1048</v>
      </c>
      <c r="J116" t="s">
        <v>1034</v>
      </c>
      <c r="K116">
        <v>4</v>
      </c>
    </row>
    <row r="117" spans="1:11" x14ac:dyDescent="0.3">
      <c r="A117" t="s">
        <v>1160</v>
      </c>
      <c r="B117" t="s">
        <v>1055</v>
      </c>
      <c r="C117">
        <v>27</v>
      </c>
      <c r="D117" t="s">
        <v>1042</v>
      </c>
      <c r="E117" s="1">
        <v>44973</v>
      </c>
      <c r="F117">
        <v>70</v>
      </c>
      <c r="G117">
        <v>3.9</v>
      </c>
      <c r="H117">
        <v>2023</v>
      </c>
      <c r="I117" t="s">
        <v>1052</v>
      </c>
      <c r="J117" t="s">
        <v>1056</v>
      </c>
      <c r="K117">
        <v>4</v>
      </c>
    </row>
    <row r="118" spans="1:11" x14ac:dyDescent="0.3">
      <c r="A118" t="s">
        <v>1161</v>
      </c>
      <c r="B118" t="s">
        <v>1055</v>
      </c>
      <c r="C118">
        <v>32</v>
      </c>
      <c r="D118" t="s">
        <v>1042</v>
      </c>
      <c r="E118" s="1">
        <v>44973</v>
      </c>
      <c r="F118">
        <v>37</v>
      </c>
      <c r="G118">
        <v>1.9</v>
      </c>
      <c r="H118">
        <v>2023</v>
      </c>
      <c r="I118" t="s">
        <v>1052</v>
      </c>
      <c r="J118" t="s">
        <v>1034</v>
      </c>
      <c r="K118">
        <v>2</v>
      </c>
    </row>
    <row r="119" spans="1:11" x14ac:dyDescent="0.3">
      <c r="A119" t="s">
        <v>1162</v>
      </c>
      <c r="B119" t="s">
        <v>1047</v>
      </c>
      <c r="C119">
        <v>116</v>
      </c>
      <c r="D119" t="s">
        <v>1017</v>
      </c>
      <c r="E119" s="1">
        <v>44973</v>
      </c>
      <c r="F119">
        <v>140</v>
      </c>
      <c r="G119">
        <v>3.6</v>
      </c>
      <c r="H119">
        <v>2023</v>
      </c>
      <c r="I119" t="s">
        <v>1052</v>
      </c>
      <c r="J119" t="s">
        <v>1019</v>
      </c>
      <c r="K119">
        <v>4</v>
      </c>
    </row>
    <row r="120" spans="1:11" x14ac:dyDescent="0.3">
      <c r="A120" t="s">
        <v>1163</v>
      </c>
      <c r="B120" t="s">
        <v>1016</v>
      </c>
      <c r="C120">
        <v>99</v>
      </c>
      <c r="D120" t="s">
        <v>1024</v>
      </c>
      <c r="E120" s="1">
        <v>44973</v>
      </c>
      <c r="F120">
        <v>78</v>
      </c>
      <c r="G120">
        <v>4.0999999999999996</v>
      </c>
      <c r="H120">
        <v>2023</v>
      </c>
      <c r="I120" t="s">
        <v>1052</v>
      </c>
      <c r="J120" t="s">
        <v>1019</v>
      </c>
      <c r="K120">
        <v>4</v>
      </c>
    </row>
    <row r="121" spans="1:11" x14ac:dyDescent="0.3">
      <c r="A121" t="s">
        <v>1164</v>
      </c>
      <c r="B121" t="s">
        <v>1021</v>
      </c>
      <c r="C121">
        <v>75</v>
      </c>
      <c r="D121" t="s">
        <v>1042</v>
      </c>
      <c r="E121" s="1">
        <v>44974</v>
      </c>
      <c r="F121">
        <v>21</v>
      </c>
      <c r="G121">
        <v>4.2</v>
      </c>
      <c r="H121">
        <v>2023</v>
      </c>
      <c r="I121" t="s">
        <v>411</v>
      </c>
      <c r="J121" t="s">
        <v>1019</v>
      </c>
      <c r="K121">
        <v>4</v>
      </c>
    </row>
    <row r="122" spans="1:11" x14ac:dyDescent="0.3">
      <c r="A122" t="s">
        <v>1165</v>
      </c>
      <c r="B122" t="s">
        <v>1023</v>
      </c>
      <c r="C122">
        <v>57</v>
      </c>
      <c r="D122" t="s">
        <v>1017</v>
      </c>
      <c r="E122" s="1">
        <v>44974</v>
      </c>
      <c r="F122">
        <v>88</v>
      </c>
      <c r="G122">
        <v>4.3</v>
      </c>
      <c r="H122">
        <v>2023</v>
      </c>
      <c r="I122" t="s">
        <v>411</v>
      </c>
      <c r="J122" t="s">
        <v>1034</v>
      </c>
      <c r="K122">
        <v>4</v>
      </c>
    </row>
    <row r="123" spans="1:11" x14ac:dyDescent="0.3">
      <c r="A123" t="s">
        <v>1166</v>
      </c>
      <c r="B123" t="s">
        <v>1036</v>
      </c>
      <c r="C123">
        <v>155</v>
      </c>
      <c r="D123" t="s">
        <v>1017</v>
      </c>
      <c r="E123" s="1">
        <v>44975</v>
      </c>
      <c r="F123">
        <v>180</v>
      </c>
      <c r="G123">
        <v>2.2000000000000002</v>
      </c>
      <c r="H123">
        <v>2023</v>
      </c>
      <c r="I123" t="s">
        <v>1062</v>
      </c>
      <c r="J123" t="s">
        <v>1031</v>
      </c>
      <c r="K123">
        <v>2</v>
      </c>
    </row>
    <row r="124" spans="1:11" x14ac:dyDescent="0.3">
      <c r="A124" t="s">
        <v>1167</v>
      </c>
      <c r="B124" t="s">
        <v>1016</v>
      </c>
      <c r="C124">
        <v>68</v>
      </c>
      <c r="D124" t="s">
        <v>1024</v>
      </c>
      <c r="E124" s="1">
        <v>44975</v>
      </c>
      <c r="F124">
        <v>22</v>
      </c>
      <c r="G124">
        <v>3.3</v>
      </c>
      <c r="H124">
        <v>2023</v>
      </c>
      <c r="I124" t="s">
        <v>1062</v>
      </c>
      <c r="J124" t="s">
        <v>1019</v>
      </c>
      <c r="K124">
        <v>3</v>
      </c>
    </row>
    <row r="125" spans="1:11" x14ac:dyDescent="0.3">
      <c r="A125" t="s">
        <v>1168</v>
      </c>
      <c r="B125" t="s">
        <v>1041</v>
      </c>
      <c r="C125">
        <v>95</v>
      </c>
      <c r="D125" t="s">
        <v>1024</v>
      </c>
      <c r="E125" s="1">
        <v>44975</v>
      </c>
      <c r="F125">
        <v>52</v>
      </c>
      <c r="G125">
        <v>4.8</v>
      </c>
      <c r="H125">
        <v>2023</v>
      </c>
      <c r="I125" t="s">
        <v>1062</v>
      </c>
      <c r="J125" t="s">
        <v>1019</v>
      </c>
      <c r="K125">
        <v>5</v>
      </c>
    </row>
    <row r="126" spans="1:11" x14ac:dyDescent="0.3">
      <c r="A126" t="s">
        <v>1169</v>
      </c>
      <c r="B126" t="s">
        <v>1065</v>
      </c>
      <c r="C126">
        <v>65</v>
      </c>
      <c r="D126" t="s">
        <v>1017</v>
      </c>
      <c r="E126" s="1">
        <v>44976</v>
      </c>
      <c r="F126">
        <v>80</v>
      </c>
      <c r="G126">
        <v>4</v>
      </c>
      <c r="H126">
        <v>2023</v>
      </c>
      <c r="I126" t="s">
        <v>1018</v>
      </c>
      <c r="J126" t="s">
        <v>1019</v>
      </c>
      <c r="K126">
        <v>4</v>
      </c>
    </row>
    <row r="127" spans="1:11" x14ac:dyDescent="0.3">
      <c r="A127" t="s">
        <v>1170</v>
      </c>
      <c r="B127" t="s">
        <v>1028</v>
      </c>
      <c r="C127">
        <v>114</v>
      </c>
      <c r="D127" t="s">
        <v>1029</v>
      </c>
      <c r="E127" s="1">
        <v>44976</v>
      </c>
      <c r="F127">
        <v>54</v>
      </c>
      <c r="G127">
        <v>1.1000000000000001</v>
      </c>
      <c r="H127">
        <v>2023</v>
      </c>
      <c r="I127" t="s">
        <v>1018</v>
      </c>
      <c r="J127" t="s">
        <v>1019</v>
      </c>
      <c r="K127">
        <v>1</v>
      </c>
    </row>
    <row r="128" spans="1:11" x14ac:dyDescent="0.3">
      <c r="A128" t="s">
        <v>1171</v>
      </c>
      <c r="B128" t="s">
        <v>1021</v>
      </c>
      <c r="C128">
        <v>155</v>
      </c>
      <c r="D128" t="s">
        <v>1029</v>
      </c>
      <c r="E128" s="1">
        <v>44977</v>
      </c>
      <c r="F128">
        <v>80</v>
      </c>
      <c r="G128">
        <v>3.9</v>
      </c>
      <c r="H128">
        <v>2023</v>
      </c>
      <c r="I128" t="s">
        <v>1030</v>
      </c>
      <c r="J128" t="s">
        <v>1031</v>
      </c>
      <c r="K128">
        <v>4</v>
      </c>
    </row>
    <row r="129" spans="1:11" x14ac:dyDescent="0.3">
      <c r="A129" t="s">
        <v>1172</v>
      </c>
      <c r="B129" t="s">
        <v>1065</v>
      </c>
      <c r="C129">
        <v>114</v>
      </c>
      <c r="D129" t="s">
        <v>1017</v>
      </c>
      <c r="E129" s="1">
        <v>44978</v>
      </c>
      <c r="F129">
        <v>120</v>
      </c>
      <c r="G129">
        <v>1.8</v>
      </c>
      <c r="H129">
        <v>2023</v>
      </c>
      <c r="I129" t="s">
        <v>1033</v>
      </c>
      <c r="J129" t="s">
        <v>1019</v>
      </c>
      <c r="K129">
        <v>2</v>
      </c>
    </row>
    <row r="130" spans="1:11" x14ac:dyDescent="0.3">
      <c r="A130" t="s">
        <v>1173</v>
      </c>
      <c r="B130" t="s">
        <v>1036</v>
      </c>
      <c r="C130">
        <v>130</v>
      </c>
      <c r="D130" t="s">
        <v>1038</v>
      </c>
      <c r="E130" s="1">
        <v>44978</v>
      </c>
      <c r="F130">
        <v>150</v>
      </c>
      <c r="G130">
        <v>1</v>
      </c>
      <c r="H130">
        <v>2023</v>
      </c>
      <c r="I130" t="s">
        <v>1033</v>
      </c>
      <c r="J130" t="s">
        <v>1031</v>
      </c>
      <c r="K130">
        <v>1</v>
      </c>
    </row>
    <row r="131" spans="1:11" x14ac:dyDescent="0.3">
      <c r="A131" t="s">
        <v>1174</v>
      </c>
      <c r="B131" t="s">
        <v>1021</v>
      </c>
      <c r="C131">
        <v>89</v>
      </c>
      <c r="D131" t="s">
        <v>1017</v>
      </c>
      <c r="E131" s="1">
        <v>44978</v>
      </c>
      <c r="F131">
        <v>90</v>
      </c>
      <c r="G131">
        <v>4.3</v>
      </c>
      <c r="H131">
        <v>2023</v>
      </c>
      <c r="I131" t="s">
        <v>1033</v>
      </c>
      <c r="J131" t="s">
        <v>1019</v>
      </c>
      <c r="K131">
        <v>4</v>
      </c>
    </row>
    <row r="132" spans="1:11" x14ac:dyDescent="0.3">
      <c r="A132" t="s">
        <v>1175</v>
      </c>
      <c r="B132" t="s">
        <v>1078</v>
      </c>
      <c r="C132">
        <v>61</v>
      </c>
      <c r="D132" t="s">
        <v>1042</v>
      </c>
      <c r="E132" s="1">
        <v>44979</v>
      </c>
      <c r="F132">
        <v>140</v>
      </c>
      <c r="G132">
        <v>3.4</v>
      </c>
      <c r="H132">
        <v>2023</v>
      </c>
      <c r="I132" t="s">
        <v>1048</v>
      </c>
      <c r="J132" t="s">
        <v>1019</v>
      </c>
      <c r="K132">
        <v>3</v>
      </c>
    </row>
    <row r="133" spans="1:11" x14ac:dyDescent="0.3">
      <c r="A133" t="s">
        <v>1176</v>
      </c>
      <c r="B133" t="s">
        <v>1041</v>
      </c>
      <c r="C133">
        <v>154</v>
      </c>
      <c r="D133" t="s">
        <v>1029</v>
      </c>
      <c r="E133" s="1">
        <v>44979</v>
      </c>
      <c r="F133">
        <v>22</v>
      </c>
      <c r="G133">
        <v>3.4</v>
      </c>
      <c r="H133">
        <v>2023</v>
      </c>
      <c r="I133" t="s">
        <v>1048</v>
      </c>
      <c r="J133" t="s">
        <v>1031</v>
      </c>
      <c r="K133">
        <v>3</v>
      </c>
    </row>
    <row r="134" spans="1:11" x14ac:dyDescent="0.3">
      <c r="A134" t="s">
        <v>1177</v>
      </c>
      <c r="B134" t="s">
        <v>1065</v>
      </c>
      <c r="C134">
        <v>115</v>
      </c>
      <c r="D134" t="s">
        <v>1038</v>
      </c>
      <c r="E134" s="1">
        <v>44980</v>
      </c>
      <c r="F134">
        <v>150</v>
      </c>
      <c r="G134">
        <v>4.0999999999999996</v>
      </c>
      <c r="H134">
        <v>2023</v>
      </c>
      <c r="I134" t="s">
        <v>1052</v>
      </c>
      <c r="J134" t="s">
        <v>1019</v>
      </c>
      <c r="K134">
        <v>4</v>
      </c>
    </row>
    <row r="135" spans="1:11" x14ac:dyDescent="0.3">
      <c r="A135" t="s">
        <v>1178</v>
      </c>
      <c r="B135" t="s">
        <v>1098</v>
      </c>
      <c r="C135">
        <v>138</v>
      </c>
      <c r="D135" t="s">
        <v>1024</v>
      </c>
      <c r="E135" s="1">
        <v>44981</v>
      </c>
      <c r="F135">
        <v>35</v>
      </c>
      <c r="G135">
        <v>4.8</v>
      </c>
      <c r="H135">
        <v>2023</v>
      </c>
      <c r="I135" t="s">
        <v>411</v>
      </c>
      <c r="J135" t="s">
        <v>1031</v>
      </c>
      <c r="K135">
        <v>5</v>
      </c>
    </row>
    <row r="136" spans="1:11" x14ac:dyDescent="0.3">
      <c r="A136" t="s">
        <v>1179</v>
      </c>
      <c r="B136" t="s">
        <v>1026</v>
      </c>
      <c r="C136">
        <v>153</v>
      </c>
      <c r="D136" t="s">
        <v>1017</v>
      </c>
      <c r="E136" s="1">
        <v>44981</v>
      </c>
      <c r="F136">
        <v>200</v>
      </c>
      <c r="G136">
        <v>2</v>
      </c>
      <c r="H136">
        <v>2023</v>
      </c>
      <c r="I136" t="s">
        <v>411</v>
      </c>
      <c r="J136" t="s">
        <v>1031</v>
      </c>
      <c r="K136">
        <v>2</v>
      </c>
    </row>
    <row r="137" spans="1:11" x14ac:dyDescent="0.3">
      <c r="A137" t="s">
        <v>1180</v>
      </c>
      <c r="B137" t="s">
        <v>1065</v>
      </c>
      <c r="C137">
        <v>61</v>
      </c>
      <c r="D137" t="s">
        <v>1042</v>
      </c>
      <c r="E137" s="1">
        <v>44982</v>
      </c>
      <c r="F137">
        <v>150</v>
      </c>
      <c r="G137">
        <v>4.5999999999999996</v>
      </c>
      <c r="H137">
        <v>2023</v>
      </c>
      <c r="I137" t="s">
        <v>1062</v>
      </c>
      <c r="J137" t="s">
        <v>1019</v>
      </c>
      <c r="K137">
        <v>5</v>
      </c>
    </row>
    <row r="138" spans="1:11" x14ac:dyDescent="0.3">
      <c r="A138" t="s">
        <v>1181</v>
      </c>
      <c r="B138" t="s">
        <v>1055</v>
      </c>
      <c r="C138">
        <v>62</v>
      </c>
      <c r="D138" t="s">
        <v>1017</v>
      </c>
      <c r="E138" s="1">
        <v>44982</v>
      </c>
      <c r="F138">
        <v>21</v>
      </c>
      <c r="G138">
        <v>2.6</v>
      </c>
      <c r="H138">
        <v>2023</v>
      </c>
      <c r="I138" t="s">
        <v>1062</v>
      </c>
      <c r="J138" t="s">
        <v>1019</v>
      </c>
      <c r="K138">
        <v>3</v>
      </c>
    </row>
    <row r="139" spans="1:11" x14ac:dyDescent="0.3">
      <c r="A139" t="s">
        <v>1182</v>
      </c>
      <c r="B139" t="s">
        <v>1078</v>
      </c>
      <c r="C139">
        <v>151</v>
      </c>
      <c r="D139" t="s">
        <v>1038</v>
      </c>
      <c r="E139" s="1">
        <v>44983</v>
      </c>
      <c r="F139">
        <v>46</v>
      </c>
      <c r="G139">
        <v>4.9000000000000004</v>
      </c>
      <c r="H139">
        <v>2023</v>
      </c>
      <c r="I139" t="s">
        <v>1018</v>
      </c>
      <c r="J139" t="s">
        <v>1031</v>
      </c>
      <c r="K139">
        <v>5</v>
      </c>
    </row>
    <row r="140" spans="1:11" x14ac:dyDescent="0.3">
      <c r="A140" t="s">
        <v>1183</v>
      </c>
      <c r="B140" t="s">
        <v>1068</v>
      </c>
      <c r="C140">
        <v>102</v>
      </c>
      <c r="D140" t="s">
        <v>1029</v>
      </c>
      <c r="E140" s="1">
        <v>44983</v>
      </c>
      <c r="F140">
        <v>165</v>
      </c>
      <c r="G140">
        <v>2.7</v>
      </c>
      <c r="H140">
        <v>2023</v>
      </c>
      <c r="I140" t="s">
        <v>1018</v>
      </c>
      <c r="J140" t="s">
        <v>1019</v>
      </c>
      <c r="K140">
        <v>3</v>
      </c>
    </row>
    <row r="141" spans="1:11" x14ac:dyDescent="0.3">
      <c r="A141" t="s">
        <v>1184</v>
      </c>
      <c r="B141" t="s">
        <v>1059</v>
      </c>
      <c r="C141">
        <v>64</v>
      </c>
      <c r="D141" t="s">
        <v>1017</v>
      </c>
      <c r="E141" s="1">
        <v>44983</v>
      </c>
      <c r="F141">
        <v>84</v>
      </c>
      <c r="G141">
        <v>4.0999999999999996</v>
      </c>
      <c r="H141">
        <v>2023</v>
      </c>
      <c r="I141" t="s">
        <v>1018</v>
      </c>
      <c r="J141" t="s">
        <v>1019</v>
      </c>
      <c r="K141">
        <v>4</v>
      </c>
    </row>
    <row r="142" spans="1:11" x14ac:dyDescent="0.3">
      <c r="A142" t="s">
        <v>1185</v>
      </c>
      <c r="B142" t="s">
        <v>1021</v>
      </c>
      <c r="C142">
        <v>6</v>
      </c>
      <c r="D142" t="s">
        <v>1029</v>
      </c>
      <c r="E142" s="1">
        <v>44984</v>
      </c>
      <c r="F142">
        <v>102</v>
      </c>
      <c r="G142">
        <v>4.4000000000000004</v>
      </c>
      <c r="H142">
        <v>2023</v>
      </c>
      <c r="I142" t="s">
        <v>1030</v>
      </c>
      <c r="J142" t="s">
        <v>1186</v>
      </c>
      <c r="K142">
        <v>4</v>
      </c>
    </row>
    <row r="143" spans="1:11" x14ac:dyDescent="0.3">
      <c r="A143" t="s">
        <v>1187</v>
      </c>
      <c r="B143" t="s">
        <v>1059</v>
      </c>
      <c r="C143">
        <v>129</v>
      </c>
      <c r="D143" t="s">
        <v>1017</v>
      </c>
      <c r="E143" s="1">
        <v>44984</v>
      </c>
      <c r="F143">
        <v>180</v>
      </c>
      <c r="G143">
        <v>4.8</v>
      </c>
      <c r="H143">
        <v>2023</v>
      </c>
      <c r="I143" t="s">
        <v>1030</v>
      </c>
      <c r="J143" t="s">
        <v>1031</v>
      </c>
      <c r="K143">
        <v>5</v>
      </c>
    </row>
    <row r="144" spans="1:11" x14ac:dyDescent="0.3">
      <c r="A144" t="s">
        <v>1188</v>
      </c>
      <c r="B144" t="s">
        <v>1055</v>
      </c>
      <c r="C144">
        <v>42</v>
      </c>
      <c r="D144" t="s">
        <v>1038</v>
      </c>
      <c r="E144" s="1">
        <v>44985</v>
      </c>
      <c r="F144">
        <v>111</v>
      </c>
      <c r="G144">
        <v>3</v>
      </c>
      <c r="H144">
        <v>2023</v>
      </c>
      <c r="I144" t="s">
        <v>1033</v>
      </c>
      <c r="J144" t="s">
        <v>1034</v>
      </c>
      <c r="K144">
        <v>3</v>
      </c>
    </row>
    <row r="145" spans="1:11" x14ac:dyDescent="0.3">
      <c r="A145" t="s">
        <v>1189</v>
      </c>
      <c r="B145" t="s">
        <v>1055</v>
      </c>
      <c r="C145">
        <v>71</v>
      </c>
      <c r="D145" t="s">
        <v>1042</v>
      </c>
      <c r="E145" s="1">
        <v>44985</v>
      </c>
      <c r="F145">
        <v>104</v>
      </c>
      <c r="G145">
        <v>3.1</v>
      </c>
      <c r="H145">
        <v>2023</v>
      </c>
      <c r="I145" t="s">
        <v>1033</v>
      </c>
      <c r="J145" t="s">
        <v>1019</v>
      </c>
      <c r="K145">
        <v>3</v>
      </c>
    </row>
    <row r="146" spans="1:11" x14ac:dyDescent="0.3">
      <c r="A146" t="s">
        <v>1190</v>
      </c>
      <c r="B146" t="s">
        <v>1023</v>
      </c>
      <c r="C146">
        <v>53</v>
      </c>
      <c r="D146" t="s">
        <v>1029</v>
      </c>
      <c r="E146" s="1">
        <v>44985</v>
      </c>
      <c r="F146">
        <v>80</v>
      </c>
      <c r="G146">
        <v>2.6</v>
      </c>
      <c r="H146">
        <v>2023</v>
      </c>
      <c r="I146" t="s">
        <v>1033</v>
      </c>
      <c r="J146" t="s">
        <v>1034</v>
      </c>
      <c r="K146">
        <v>3</v>
      </c>
    </row>
    <row r="147" spans="1:11" x14ac:dyDescent="0.3">
      <c r="A147" t="s">
        <v>1191</v>
      </c>
      <c r="B147" t="s">
        <v>1028</v>
      </c>
      <c r="C147">
        <v>155</v>
      </c>
      <c r="D147" t="s">
        <v>1042</v>
      </c>
      <c r="E147" s="1">
        <v>44986</v>
      </c>
      <c r="F147">
        <v>132</v>
      </c>
      <c r="G147">
        <v>4.5999999999999996</v>
      </c>
      <c r="H147">
        <v>2023</v>
      </c>
      <c r="I147" t="s">
        <v>1048</v>
      </c>
      <c r="J147" t="s">
        <v>1031</v>
      </c>
      <c r="K147">
        <v>5</v>
      </c>
    </row>
    <row r="148" spans="1:11" x14ac:dyDescent="0.3">
      <c r="A148" t="s">
        <v>1192</v>
      </c>
      <c r="B148" t="s">
        <v>1028</v>
      </c>
      <c r="C148">
        <v>90</v>
      </c>
      <c r="D148" t="s">
        <v>1038</v>
      </c>
      <c r="E148" s="1">
        <v>44986</v>
      </c>
      <c r="F148">
        <v>170</v>
      </c>
      <c r="G148">
        <v>3.7</v>
      </c>
      <c r="H148">
        <v>2023</v>
      </c>
      <c r="I148" t="s">
        <v>1048</v>
      </c>
      <c r="J148" t="s">
        <v>1019</v>
      </c>
      <c r="K148">
        <v>4</v>
      </c>
    </row>
    <row r="149" spans="1:11" x14ac:dyDescent="0.3">
      <c r="A149" t="s">
        <v>1193</v>
      </c>
      <c r="B149" t="s">
        <v>1059</v>
      </c>
      <c r="C149">
        <v>166</v>
      </c>
      <c r="D149" t="s">
        <v>1024</v>
      </c>
      <c r="E149" s="1">
        <v>44986</v>
      </c>
      <c r="F149">
        <v>36</v>
      </c>
      <c r="G149">
        <v>3.8</v>
      </c>
      <c r="H149">
        <v>2023</v>
      </c>
      <c r="I149" t="s">
        <v>1048</v>
      </c>
      <c r="J149" t="s">
        <v>1031</v>
      </c>
      <c r="K149">
        <v>4</v>
      </c>
    </row>
    <row r="150" spans="1:11" x14ac:dyDescent="0.3">
      <c r="A150" t="s">
        <v>1194</v>
      </c>
      <c r="B150" t="s">
        <v>1047</v>
      </c>
      <c r="C150">
        <v>89</v>
      </c>
      <c r="D150" t="s">
        <v>1042</v>
      </c>
      <c r="E150" s="1">
        <v>44986</v>
      </c>
      <c r="F150">
        <v>126</v>
      </c>
      <c r="G150">
        <v>3.6</v>
      </c>
      <c r="H150">
        <v>2023</v>
      </c>
      <c r="I150" t="s">
        <v>1048</v>
      </c>
      <c r="J150" t="s">
        <v>1019</v>
      </c>
      <c r="K150">
        <v>4</v>
      </c>
    </row>
    <row r="151" spans="1:11" x14ac:dyDescent="0.3">
      <c r="A151" t="s">
        <v>1195</v>
      </c>
      <c r="B151" t="s">
        <v>1065</v>
      </c>
      <c r="C151">
        <v>152</v>
      </c>
      <c r="D151" t="s">
        <v>1029</v>
      </c>
      <c r="E151" s="1">
        <v>44986</v>
      </c>
      <c r="F151">
        <v>215</v>
      </c>
      <c r="G151">
        <v>4.4000000000000004</v>
      </c>
      <c r="H151">
        <v>2023</v>
      </c>
      <c r="I151" t="s">
        <v>1048</v>
      </c>
      <c r="J151" t="s">
        <v>1031</v>
      </c>
      <c r="K151">
        <v>4</v>
      </c>
    </row>
    <row r="152" spans="1:11" x14ac:dyDescent="0.3">
      <c r="A152" t="s">
        <v>1196</v>
      </c>
      <c r="B152" t="s">
        <v>1047</v>
      </c>
      <c r="C152">
        <v>137</v>
      </c>
      <c r="D152" t="s">
        <v>1038</v>
      </c>
      <c r="E152" s="1">
        <v>44986</v>
      </c>
      <c r="F152">
        <v>114</v>
      </c>
      <c r="G152">
        <v>3.2</v>
      </c>
      <c r="H152">
        <v>2023</v>
      </c>
      <c r="I152" t="s">
        <v>1048</v>
      </c>
      <c r="J152" t="s">
        <v>1031</v>
      </c>
      <c r="K152">
        <v>3</v>
      </c>
    </row>
    <row r="153" spans="1:11" x14ac:dyDescent="0.3">
      <c r="A153" t="s">
        <v>1197</v>
      </c>
      <c r="B153" t="s">
        <v>1047</v>
      </c>
      <c r="C153">
        <v>43</v>
      </c>
      <c r="D153" t="s">
        <v>1038</v>
      </c>
      <c r="E153" s="1">
        <v>44986</v>
      </c>
      <c r="F153">
        <v>99</v>
      </c>
      <c r="G153">
        <v>4.7</v>
      </c>
      <c r="H153">
        <v>2023</v>
      </c>
      <c r="I153" t="s">
        <v>1048</v>
      </c>
      <c r="J153" t="s">
        <v>1034</v>
      </c>
      <c r="K153">
        <v>5</v>
      </c>
    </row>
    <row r="154" spans="1:11" x14ac:dyDescent="0.3">
      <c r="A154" t="s">
        <v>1198</v>
      </c>
      <c r="B154" t="s">
        <v>1041</v>
      </c>
      <c r="C154">
        <v>114</v>
      </c>
      <c r="D154" t="s">
        <v>1038</v>
      </c>
      <c r="E154" s="1">
        <v>44987</v>
      </c>
      <c r="F154">
        <v>23</v>
      </c>
      <c r="G154">
        <v>4.8</v>
      </c>
      <c r="H154">
        <v>2023</v>
      </c>
      <c r="I154" t="s">
        <v>1052</v>
      </c>
      <c r="J154" t="s">
        <v>1019</v>
      </c>
      <c r="K154">
        <v>5</v>
      </c>
    </row>
    <row r="155" spans="1:11" x14ac:dyDescent="0.3">
      <c r="A155" t="s">
        <v>1199</v>
      </c>
      <c r="B155" t="s">
        <v>1026</v>
      </c>
      <c r="C155">
        <v>103</v>
      </c>
      <c r="D155" t="s">
        <v>1042</v>
      </c>
      <c r="E155" s="1">
        <v>44987</v>
      </c>
      <c r="F155">
        <v>75</v>
      </c>
      <c r="G155">
        <v>2.7</v>
      </c>
      <c r="H155">
        <v>2023</v>
      </c>
      <c r="I155" t="s">
        <v>1052</v>
      </c>
      <c r="J155" t="s">
        <v>1019</v>
      </c>
      <c r="K155">
        <v>3</v>
      </c>
    </row>
    <row r="156" spans="1:11" x14ac:dyDescent="0.3">
      <c r="A156" t="s">
        <v>1200</v>
      </c>
      <c r="B156" t="s">
        <v>1047</v>
      </c>
      <c r="C156">
        <v>98</v>
      </c>
      <c r="D156" t="s">
        <v>1029</v>
      </c>
      <c r="E156" s="1">
        <v>44987</v>
      </c>
      <c r="F156">
        <v>100</v>
      </c>
      <c r="G156">
        <v>3.8</v>
      </c>
      <c r="H156">
        <v>2023</v>
      </c>
      <c r="I156" t="s">
        <v>1052</v>
      </c>
      <c r="J156" t="s">
        <v>1019</v>
      </c>
      <c r="K156">
        <v>4</v>
      </c>
    </row>
    <row r="157" spans="1:11" x14ac:dyDescent="0.3">
      <c r="A157" t="s">
        <v>1201</v>
      </c>
      <c r="B157" t="s">
        <v>1059</v>
      </c>
      <c r="C157">
        <v>106</v>
      </c>
      <c r="D157" t="s">
        <v>1024</v>
      </c>
      <c r="E157" s="1">
        <v>44987</v>
      </c>
      <c r="F157">
        <v>108</v>
      </c>
      <c r="G157">
        <v>4.3</v>
      </c>
      <c r="H157">
        <v>2023</v>
      </c>
      <c r="I157" t="s">
        <v>1052</v>
      </c>
      <c r="J157" t="s">
        <v>1019</v>
      </c>
      <c r="K157">
        <v>4</v>
      </c>
    </row>
    <row r="158" spans="1:11" x14ac:dyDescent="0.3">
      <c r="A158" t="s">
        <v>1202</v>
      </c>
      <c r="B158" t="s">
        <v>1021</v>
      </c>
      <c r="C158">
        <v>96</v>
      </c>
      <c r="D158" t="s">
        <v>1024</v>
      </c>
      <c r="E158" s="1">
        <v>44987</v>
      </c>
      <c r="F158">
        <v>108</v>
      </c>
      <c r="G158">
        <v>5</v>
      </c>
      <c r="H158">
        <v>2023</v>
      </c>
      <c r="I158" t="s">
        <v>1052</v>
      </c>
      <c r="J158" t="s">
        <v>1019</v>
      </c>
      <c r="K158">
        <v>5</v>
      </c>
    </row>
    <row r="159" spans="1:11" x14ac:dyDescent="0.3">
      <c r="A159" t="s">
        <v>1203</v>
      </c>
      <c r="B159" t="s">
        <v>1026</v>
      </c>
      <c r="C159">
        <v>70</v>
      </c>
      <c r="D159" t="s">
        <v>1024</v>
      </c>
      <c r="E159" s="1">
        <v>44987</v>
      </c>
      <c r="F159">
        <v>28</v>
      </c>
      <c r="G159">
        <v>4.8</v>
      </c>
      <c r="H159">
        <v>2023</v>
      </c>
      <c r="I159" t="s">
        <v>1052</v>
      </c>
      <c r="J159" t="s">
        <v>1019</v>
      </c>
      <c r="K159">
        <v>5</v>
      </c>
    </row>
    <row r="160" spans="1:11" x14ac:dyDescent="0.3">
      <c r="A160" t="s">
        <v>1204</v>
      </c>
      <c r="B160" t="s">
        <v>1055</v>
      </c>
      <c r="C160">
        <v>86</v>
      </c>
      <c r="D160" t="s">
        <v>1017</v>
      </c>
      <c r="E160" s="1">
        <v>44988</v>
      </c>
      <c r="F160">
        <v>70</v>
      </c>
      <c r="G160">
        <v>4.9000000000000004</v>
      </c>
      <c r="H160">
        <v>2023</v>
      </c>
      <c r="I160" t="s">
        <v>411</v>
      </c>
      <c r="J160" t="s">
        <v>1019</v>
      </c>
      <c r="K160">
        <v>5</v>
      </c>
    </row>
    <row r="161" spans="1:11" x14ac:dyDescent="0.3">
      <c r="A161" t="s">
        <v>1205</v>
      </c>
      <c r="B161" t="s">
        <v>1023</v>
      </c>
      <c r="C161">
        <v>64</v>
      </c>
      <c r="D161" t="s">
        <v>1017</v>
      </c>
      <c r="E161" s="1">
        <v>44988</v>
      </c>
      <c r="F161">
        <v>172</v>
      </c>
      <c r="G161">
        <v>4.0999999999999996</v>
      </c>
      <c r="H161">
        <v>2023</v>
      </c>
      <c r="I161" t="s">
        <v>411</v>
      </c>
      <c r="J161" t="s">
        <v>1019</v>
      </c>
      <c r="K161">
        <v>4</v>
      </c>
    </row>
    <row r="162" spans="1:11" x14ac:dyDescent="0.3">
      <c r="A162" t="s">
        <v>1206</v>
      </c>
      <c r="B162" t="s">
        <v>1021</v>
      </c>
      <c r="C162">
        <v>113</v>
      </c>
      <c r="D162" t="s">
        <v>1029</v>
      </c>
      <c r="E162" s="1">
        <v>44988</v>
      </c>
      <c r="F162">
        <v>123</v>
      </c>
      <c r="G162">
        <v>4.4000000000000004</v>
      </c>
      <c r="H162">
        <v>2023</v>
      </c>
      <c r="I162" t="s">
        <v>411</v>
      </c>
      <c r="J162" t="s">
        <v>1019</v>
      </c>
      <c r="K162">
        <v>4</v>
      </c>
    </row>
    <row r="163" spans="1:11" x14ac:dyDescent="0.3">
      <c r="A163" t="s">
        <v>1207</v>
      </c>
      <c r="B163" t="s">
        <v>1021</v>
      </c>
      <c r="C163">
        <v>21</v>
      </c>
      <c r="D163" t="s">
        <v>1024</v>
      </c>
      <c r="E163" s="1">
        <v>44988</v>
      </c>
      <c r="F163">
        <v>93</v>
      </c>
      <c r="G163">
        <v>3.4</v>
      </c>
      <c r="H163">
        <v>2023</v>
      </c>
      <c r="I163" t="s">
        <v>411</v>
      </c>
      <c r="J163" t="s">
        <v>1056</v>
      </c>
      <c r="K163">
        <v>3</v>
      </c>
    </row>
    <row r="164" spans="1:11" x14ac:dyDescent="0.3">
      <c r="A164" t="s">
        <v>1208</v>
      </c>
      <c r="B164" t="s">
        <v>1068</v>
      </c>
      <c r="C164">
        <v>107</v>
      </c>
      <c r="D164" t="s">
        <v>1017</v>
      </c>
      <c r="E164" s="1">
        <v>44988</v>
      </c>
      <c r="F164">
        <v>66</v>
      </c>
      <c r="G164">
        <v>4</v>
      </c>
      <c r="H164">
        <v>2023</v>
      </c>
      <c r="I164" t="s">
        <v>411</v>
      </c>
      <c r="J164" t="s">
        <v>1019</v>
      </c>
      <c r="K164">
        <v>4</v>
      </c>
    </row>
    <row r="165" spans="1:11" x14ac:dyDescent="0.3">
      <c r="A165" t="s">
        <v>1209</v>
      </c>
      <c r="B165" t="s">
        <v>1068</v>
      </c>
      <c r="C165">
        <v>131</v>
      </c>
      <c r="D165" t="s">
        <v>1024</v>
      </c>
      <c r="E165" s="1">
        <v>44988</v>
      </c>
      <c r="F165">
        <v>39</v>
      </c>
      <c r="G165">
        <v>2.4</v>
      </c>
      <c r="H165">
        <v>2023</v>
      </c>
      <c r="I165" t="s">
        <v>411</v>
      </c>
      <c r="J165" t="s">
        <v>1031</v>
      </c>
      <c r="K165">
        <v>2</v>
      </c>
    </row>
    <row r="166" spans="1:11" x14ac:dyDescent="0.3">
      <c r="A166" t="s">
        <v>1210</v>
      </c>
      <c r="B166" t="s">
        <v>1016</v>
      </c>
      <c r="C166">
        <v>11</v>
      </c>
      <c r="D166" t="s">
        <v>1042</v>
      </c>
      <c r="E166" s="1">
        <v>44988</v>
      </c>
      <c r="F166">
        <v>25</v>
      </c>
      <c r="G166">
        <v>2.1</v>
      </c>
      <c r="H166">
        <v>2023</v>
      </c>
      <c r="I166" t="s">
        <v>411</v>
      </c>
      <c r="J166" t="s">
        <v>1056</v>
      </c>
      <c r="K166">
        <v>2</v>
      </c>
    </row>
    <row r="167" spans="1:11" x14ac:dyDescent="0.3">
      <c r="A167" t="s">
        <v>1211</v>
      </c>
      <c r="B167" t="s">
        <v>1078</v>
      </c>
      <c r="C167">
        <v>86</v>
      </c>
      <c r="D167" t="s">
        <v>1029</v>
      </c>
      <c r="E167" s="1">
        <v>44988</v>
      </c>
      <c r="F167">
        <v>68</v>
      </c>
      <c r="G167">
        <v>3</v>
      </c>
      <c r="H167">
        <v>2023</v>
      </c>
      <c r="I167" t="s">
        <v>411</v>
      </c>
      <c r="J167" t="s">
        <v>1019</v>
      </c>
      <c r="K167">
        <v>3</v>
      </c>
    </row>
    <row r="168" spans="1:11" x14ac:dyDescent="0.3">
      <c r="A168" t="s">
        <v>1212</v>
      </c>
      <c r="B168" t="s">
        <v>1023</v>
      </c>
      <c r="C168">
        <v>28</v>
      </c>
      <c r="D168" t="s">
        <v>1042</v>
      </c>
      <c r="E168" s="1">
        <v>44988</v>
      </c>
      <c r="F168">
        <v>84</v>
      </c>
      <c r="G168">
        <v>3.2</v>
      </c>
      <c r="H168">
        <v>2023</v>
      </c>
      <c r="I168" t="s">
        <v>411</v>
      </c>
      <c r="J168" t="s">
        <v>1056</v>
      </c>
      <c r="K168">
        <v>3</v>
      </c>
    </row>
    <row r="169" spans="1:11" x14ac:dyDescent="0.3">
      <c r="A169" t="s">
        <v>1213</v>
      </c>
      <c r="B169" t="s">
        <v>1028</v>
      </c>
      <c r="C169">
        <v>139</v>
      </c>
      <c r="D169" t="s">
        <v>1024</v>
      </c>
      <c r="E169" s="1">
        <v>44989</v>
      </c>
      <c r="F169">
        <v>88</v>
      </c>
      <c r="G169">
        <v>3.4</v>
      </c>
      <c r="H169">
        <v>2023</v>
      </c>
      <c r="I169" t="s">
        <v>1062</v>
      </c>
      <c r="J169" t="s">
        <v>1031</v>
      </c>
      <c r="K169">
        <v>3</v>
      </c>
    </row>
    <row r="170" spans="1:11" x14ac:dyDescent="0.3">
      <c r="A170" t="s">
        <v>1214</v>
      </c>
      <c r="B170" t="s">
        <v>1059</v>
      </c>
      <c r="C170">
        <v>82</v>
      </c>
      <c r="D170" t="s">
        <v>1029</v>
      </c>
      <c r="E170" s="1">
        <v>44989</v>
      </c>
      <c r="F170">
        <v>93</v>
      </c>
      <c r="G170">
        <v>2.7</v>
      </c>
      <c r="H170">
        <v>2023</v>
      </c>
      <c r="I170" t="s">
        <v>1062</v>
      </c>
      <c r="J170" t="s">
        <v>1019</v>
      </c>
      <c r="K170">
        <v>3</v>
      </c>
    </row>
    <row r="171" spans="1:11" x14ac:dyDescent="0.3">
      <c r="A171" t="s">
        <v>1215</v>
      </c>
      <c r="B171" t="s">
        <v>1021</v>
      </c>
      <c r="C171">
        <v>101</v>
      </c>
      <c r="D171" t="s">
        <v>1042</v>
      </c>
      <c r="E171" s="1">
        <v>44989</v>
      </c>
      <c r="F171">
        <v>128</v>
      </c>
      <c r="G171">
        <v>5</v>
      </c>
      <c r="H171">
        <v>2023</v>
      </c>
      <c r="I171" t="s">
        <v>1062</v>
      </c>
      <c r="J171" t="s">
        <v>1019</v>
      </c>
      <c r="K171">
        <v>5</v>
      </c>
    </row>
    <row r="172" spans="1:11" x14ac:dyDescent="0.3">
      <c r="A172" t="s">
        <v>1216</v>
      </c>
      <c r="B172" t="s">
        <v>1023</v>
      </c>
      <c r="C172">
        <v>75</v>
      </c>
      <c r="D172" t="s">
        <v>1038</v>
      </c>
      <c r="E172" s="1">
        <v>44989</v>
      </c>
      <c r="F172">
        <v>40</v>
      </c>
      <c r="G172">
        <v>3.4</v>
      </c>
      <c r="H172">
        <v>2023</v>
      </c>
      <c r="I172" t="s">
        <v>1062</v>
      </c>
      <c r="J172" t="s">
        <v>1019</v>
      </c>
      <c r="K172">
        <v>3</v>
      </c>
    </row>
    <row r="173" spans="1:11" x14ac:dyDescent="0.3">
      <c r="A173" t="s">
        <v>1217</v>
      </c>
      <c r="B173" t="s">
        <v>1041</v>
      </c>
      <c r="C173">
        <v>40</v>
      </c>
      <c r="D173" t="s">
        <v>1042</v>
      </c>
      <c r="E173" s="1">
        <v>44990</v>
      </c>
      <c r="F173">
        <v>92</v>
      </c>
      <c r="G173">
        <v>4.7</v>
      </c>
      <c r="H173">
        <v>2023</v>
      </c>
      <c r="I173" t="s">
        <v>1018</v>
      </c>
      <c r="J173" t="s">
        <v>1034</v>
      </c>
      <c r="K173">
        <v>5</v>
      </c>
    </row>
    <row r="174" spans="1:11" x14ac:dyDescent="0.3">
      <c r="A174" t="s">
        <v>1218</v>
      </c>
      <c r="B174" t="s">
        <v>1047</v>
      </c>
      <c r="C174">
        <v>86</v>
      </c>
      <c r="D174" t="s">
        <v>1024</v>
      </c>
      <c r="E174" s="1">
        <v>44990</v>
      </c>
      <c r="F174">
        <v>27</v>
      </c>
      <c r="G174">
        <v>4.5</v>
      </c>
      <c r="H174">
        <v>2023</v>
      </c>
      <c r="I174" t="s">
        <v>1018</v>
      </c>
      <c r="J174" t="s">
        <v>1019</v>
      </c>
      <c r="K174">
        <v>5</v>
      </c>
    </row>
    <row r="175" spans="1:11" x14ac:dyDescent="0.3">
      <c r="A175" t="s">
        <v>1219</v>
      </c>
      <c r="B175" t="s">
        <v>1036</v>
      </c>
      <c r="C175">
        <v>131</v>
      </c>
      <c r="D175" t="s">
        <v>1017</v>
      </c>
      <c r="E175" s="1">
        <v>44990</v>
      </c>
      <c r="F175">
        <v>140</v>
      </c>
      <c r="G175">
        <v>4.0999999999999996</v>
      </c>
      <c r="H175">
        <v>2023</v>
      </c>
      <c r="I175" t="s">
        <v>1018</v>
      </c>
      <c r="J175" t="s">
        <v>1031</v>
      </c>
      <c r="K175">
        <v>4</v>
      </c>
    </row>
    <row r="176" spans="1:11" x14ac:dyDescent="0.3">
      <c r="A176" t="s">
        <v>1220</v>
      </c>
      <c r="B176" t="s">
        <v>1068</v>
      </c>
      <c r="C176">
        <v>67</v>
      </c>
      <c r="D176" t="s">
        <v>1029</v>
      </c>
      <c r="E176" s="1">
        <v>44990</v>
      </c>
      <c r="F176">
        <v>40</v>
      </c>
      <c r="G176">
        <v>5</v>
      </c>
      <c r="H176">
        <v>2023</v>
      </c>
      <c r="I176" t="s">
        <v>1018</v>
      </c>
      <c r="J176" t="s">
        <v>1019</v>
      </c>
      <c r="K176">
        <v>5</v>
      </c>
    </row>
    <row r="177" spans="1:11" x14ac:dyDescent="0.3">
      <c r="A177" t="s">
        <v>1221</v>
      </c>
      <c r="B177" t="s">
        <v>1098</v>
      </c>
      <c r="C177">
        <v>71</v>
      </c>
      <c r="D177" t="s">
        <v>1042</v>
      </c>
      <c r="E177" s="1">
        <v>44990</v>
      </c>
      <c r="F177">
        <v>102</v>
      </c>
      <c r="G177">
        <v>4.7</v>
      </c>
      <c r="H177">
        <v>2023</v>
      </c>
      <c r="I177" t="s">
        <v>1018</v>
      </c>
      <c r="J177" t="s">
        <v>1019</v>
      </c>
      <c r="K177">
        <v>5</v>
      </c>
    </row>
    <row r="178" spans="1:11" x14ac:dyDescent="0.3">
      <c r="A178" t="s">
        <v>1222</v>
      </c>
      <c r="B178" t="s">
        <v>1036</v>
      </c>
      <c r="C178">
        <v>113</v>
      </c>
      <c r="D178" t="s">
        <v>1017</v>
      </c>
      <c r="E178" s="1">
        <v>44990</v>
      </c>
      <c r="F178">
        <v>42</v>
      </c>
      <c r="G178">
        <v>4.2</v>
      </c>
      <c r="H178">
        <v>2023</v>
      </c>
      <c r="I178" t="s">
        <v>1018</v>
      </c>
      <c r="J178" t="s">
        <v>1019</v>
      </c>
      <c r="K178">
        <v>4</v>
      </c>
    </row>
    <row r="179" spans="1:11" x14ac:dyDescent="0.3">
      <c r="A179" t="s">
        <v>1223</v>
      </c>
      <c r="B179" t="s">
        <v>1059</v>
      </c>
      <c r="C179">
        <v>53</v>
      </c>
      <c r="D179" t="s">
        <v>1024</v>
      </c>
      <c r="E179" s="1">
        <v>44991</v>
      </c>
      <c r="F179">
        <v>210</v>
      </c>
      <c r="G179">
        <v>3.9</v>
      </c>
      <c r="H179">
        <v>2023</v>
      </c>
      <c r="I179" t="s">
        <v>1030</v>
      </c>
      <c r="J179" t="s">
        <v>1034</v>
      </c>
      <c r="K179">
        <v>4</v>
      </c>
    </row>
    <row r="180" spans="1:11" x14ac:dyDescent="0.3">
      <c r="A180" t="s">
        <v>1224</v>
      </c>
      <c r="B180" t="s">
        <v>1036</v>
      </c>
      <c r="C180">
        <v>153</v>
      </c>
      <c r="D180" t="s">
        <v>1029</v>
      </c>
      <c r="E180" s="1">
        <v>44991</v>
      </c>
      <c r="F180">
        <v>34</v>
      </c>
      <c r="G180">
        <v>3</v>
      </c>
      <c r="H180">
        <v>2023</v>
      </c>
      <c r="I180" t="s">
        <v>1030</v>
      </c>
      <c r="J180" t="s">
        <v>1031</v>
      </c>
      <c r="K180">
        <v>3</v>
      </c>
    </row>
    <row r="181" spans="1:11" x14ac:dyDescent="0.3">
      <c r="A181" t="s">
        <v>1225</v>
      </c>
      <c r="B181" t="s">
        <v>1068</v>
      </c>
      <c r="C181">
        <v>73</v>
      </c>
      <c r="D181" t="s">
        <v>1038</v>
      </c>
      <c r="E181" s="1">
        <v>44991</v>
      </c>
      <c r="F181">
        <v>215</v>
      </c>
      <c r="G181">
        <v>3.6</v>
      </c>
      <c r="H181">
        <v>2023</v>
      </c>
      <c r="I181" t="s">
        <v>1030</v>
      </c>
      <c r="J181" t="s">
        <v>1019</v>
      </c>
      <c r="K181">
        <v>4</v>
      </c>
    </row>
    <row r="182" spans="1:11" x14ac:dyDescent="0.3">
      <c r="A182" t="s">
        <v>1226</v>
      </c>
      <c r="B182" t="s">
        <v>1055</v>
      </c>
      <c r="C182">
        <v>62</v>
      </c>
      <c r="D182" t="s">
        <v>1038</v>
      </c>
      <c r="E182" s="1">
        <v>44991</v>
      </c>
      <c r="F182">
        <v>32</v>
      </c>
      <c r="G182">
        <v>0.7</v>
      </c>
      <c r="H182">
        <v>2023</v>
      </c>
      <c r="I182" t="s">
        <v>1030</v>
      </c>
      <c r="J182" t="s">
        <v>1019</v>
      </c>
      <c r="K182">
        <v>1</v>
      </c>
    </row>
    <row r="183" spans="1:11" x14ac:dyDescent="0.3">
      <c r="A183" t="s">
        <v>1227</v>
      </c>
      <c r="B183" t="s">
        <v>1028</v>
      </c>
      <c r="C183">
        <v>115</v>
      </c>
      <c r="D183" t="s">
        <v>1024</v>
      </c>
      <c r="E183" s="1">
        <v>44992</v>
      </c>
      <c r="F183">
        <v>48</v>
      </c>
      <c r="G183">
        <v>4.7</v>
      </c>
      <c r="H183">
        <v>2023</v>
      </c>
      <c r="I183" t="s">
        <v>1033</v>
      </c>
      <c r="J183" t="s">
        <v>1019</v>
      </c>
      <c r="K183">
        <v>5</v>
      </c>
    </row>
    <row r="184" spans="1:11" x14ac:dyDescent="0.3">
      <c r="A184" t="s">
        <v>1228</v>
      </c>
      <c r="B184" t="s">
        <v>1036</v>
      </c>
      <c r="C184">
        <v>69</v>
      </c>
      <c r="D184" t="s">
        <v>1024</v>
      </c>
      <c r="E184" s="1">
        <v>44992</v>
      </c>
      <c r="F184">
        <v>132</v>
      </c>
      <c r="G184">
        <v>4.5</v>
      </c>
      <c r="H184">
        <v>2023</v>
      </c>
      <c r="I184" t="s">
        <v>1033</v>
      </c>
      <c r="J184" t="s">
        <v>1019</v>
      </c>
      <c r="K184">
        <v>5</v>
      </c>
    </row>
    <row r="185" spans="1:11" x14ac:dyDescent="0.3">
      <c r="A185" t="s">
        <v>1229</v>
      </c>
      <c r="B185" t="s">
        <v>1047</v>
      </c>
      <c r="C185">
        <v>103</v>
      </c>
      <c r="D185" t="s">
        <v>1017</v>
      </c>
      <c r="E185" s="1">
        <v>44992</v>
      </c>
      <c r="F185">
        <v>172</v>
      </c>
      <c r="G185">
        <v>4.3</v>
      </c>
      <c r="H185">
        <v>2023</v>
      </c>
      <c r="I185" t="s">
        <v>1033</v>
      </c>
      <c r="J185" t="s">
        <v>1019</v>
      </c>
      <c r="K185">
        <v>4</v>
      </c>
    </row>
    <row r="186" spans="1:11" x14ac:dyDescent="0.3">
      <c r="A186" t="s">
        <v>1230</v>
      </c>
      <c r="B186" t="s">
        <v>1047</v>
      </c>
      <c r="C186">
        <v>75</v>
      </c>
      <c r="D186" t="s">
        <v>1017</v>
      </c>
      <c r="E186" s="1">
        <v>44992</v>
      </c>
      <c r="F186">
        <v>111</v>
      </c>
      <c r="G186">
        <v>3.4</v>
      </c>
      <c r="H186">
        <v>2023</v>
      </c>
      <c r="I186" t="s">
        <v>1033</v>
      </c>
      <c r="J186" t="s">
        <v>1019</v>
      </c>
      <c r="K186">
        <v>3</v>
      </c>
    </row>
    <row r="187" spans="1:11" x14ac:dyDescent="0.3">
      <c r="A187" t="s">
        <v>1231</v>
      </c>
      <c r="B187" t="s">
        <v>1045</v>
      </c>
      <c r="C187">
        <v>92</v>
      </c>
      <c r="D187" t="s">
        <v>1017</v>
      </c>
      <c r="E187" s="1">
        <v>44992</v>
      </c>
      <c r="F187">
        <v>58</v>
      </c>
      <c r="G187">
        <v>3.6</v>
      </c>
      <c r="H187">
        <v>2023</v>
      </c>
      <c r="I187" t="s">
        <v>1033</v>
      </c>
      <c r="J187" t="s">
        <v>1019</v>
      </c>
      <c r="K187">
        <v>4</v>
      </c>
    </row>
    <row r="188" spans="1:11" x14ac:dyDescent="0.3">
      <c r="A188" t="s">
        <v>1232</v>
      </c>
      <c r="B188" t="s">
        <v>1045</v>
      </c>
      <c r="C188">
        <v>41</v>
      </c>
      <c r="D188" t="s">
        <v>1038</v>
      </c>
      <c r="E188" s="1">
        <v>44992</v>
      </c>
      <c r="F188">
        <v>68</v>
      </c>
      <c r="G188">
        <v>4</v>
      </c>
      <c r="H188">
        <v>2023</v>
      </c>
      <c r="I188" t="s">
        <v>1033</v>
      </c>
      <c r="J188" t="s">
        <v>1034</v>
      </c>
      <c r="K188">
        <v>4</v>
      </c>
    </row>
    <row r="189" spans="1:11" x14ac:dyDescent="0.3">
      <c r="A189" t="s">
        <v>1233</v>
      </c>
      <c r="B189" t="s">
        <v>1047</v>
      </c>
      <c r="C189">
        <v>134</v>
      </c>
      <c r="D189" t="s">
        <v>1029</v>
      </c>
      <c r="E189" s="1">
        <v>44992</v>
      </c>
      <c r="F189">
        <v>160</v>
      </c>
      <c r="G189">
        <v>4.5</v>
      </c>
      <c r="H189">
        <v>2023</v>
      </c>
      <c r="I189" t="s">
        <v>1033</v>
      </c>
      <c r="J189" t="s">
        <v>1031</v>
      </c>
      <c r="K189">
        <v>5</v>
      </c>
    </row>
    <row r="190" spans="1:11" x14ac:dyDescent="0.3">
      <c r="A190" t="s">
        <v>1234</v>
      </c>
      <c r="B190" t="s">
        <v>1078</v>
      </c>
      <c r="C190">
        <v>80</v>
      </c>
      <c r="D190" t="s">
        <v>1042</v>
      </c>
      <c r="E190" s="1">
        <v>44992</v>
      </c>
      <c r="F190">
        <v>45</v>
      </c>
      <c r="G190">
        <v>3</v>
      </c>
      <c r="H190">
        <v>2023</v>
      </c>
      <c r="I190" t="s">
        <v>1033</v>
      </c>
      <c r="J190" t="s">
        <v>1019</v>
      </c>
      <c r="K190">
        <v>3</v>
      </c>
    </row>
    <row r="191" spans="1:11" x14ac:dyDescent="0.3">
      <c r="A191" t="s">
        <v>1235</v>
      </c>
      <c r="B191" t="s">
        <v>1098</v>
      </c>
      <c r="C191">
        <v>103</v>
      </c>
      <c r="D191" t="s">
        <v>1024</v>
      </c>
      <c r="E191" s="1">
        <v>44993</v>
      </c>
      <c r="F191">
        <v>117</v>
      </c>
      <c r="G191">
        <v>3</v>
      </c>
      <c r="H191">
        <v>2023</v>
      </c>
      <c r="I191" t="s">
        <v>1048</v>
      </c>
      <c r="J191" t="s">
        <v>1019</v>
      </c>
      <c r="K191">
        <v>3</v>
      </c>
    </row>
    <row r="192" spans="1:11" x14ac:dyDescent="0.3">
      <c r="A192" t="s">
        <v>1236</v>
      </c>
      <c r="B192" t="s">
        <v>1059</v>
      </c>
      <c r="C192">
        <v>20</v>
      </c>
      <c r="D192" t="s">
        <v>1017</v>
      </c>
      <c r="E192" s="1">
        <v>44994</v>
      </c>
      <c r="F192">
        <v>22</v>
      </c>
      <c r="G192">
        <v>1.6</v>
      </c>
      <c r="H192">
        <v>2023</v>
      </c>
      <c r="I192" t="s">
        <v>1052</v>
      </c>
      <c r="J192" t="s">
        <v>1056</v>
      </c>
      <c r="K192">
        <v>2</v>
      </c>
    </row>
    <row r="193" spans="1:11" x14ac:dyDescent="0.3">
      <c r="A193" t="s">
        <v>1237</v>
      </c>
      <c r="B193" t="s">
        <v>1098</v>
      </c>
      <c r="C193">
        <v>75</v>
      </c>
      <c r="D193" t="s">
        <v>1042</v>
      </c>
      <c r="E193" s="1">
        <v>44994</v>
      </c>
      <c r="F193">
        <v>195</v>
      </c>
      <c r="G193">
        <v>3</v>
      </c>
      <c r="H193">
        <v>2023</v>
      </c>
      <c r="I193" t="s">
        <v>1052</v>
      </c>
      <c r="J193" t="s">
        <v>1019</v>
      </c>
      <c r="K193">
        <v>3</v>
      </c>
    </row>
    <row r="194" spans="1:11" x14ac:dyDescent="0.3">
      <c r="A194" t="s">
        <v>1238</v>
      </c>
      <c r="B194" t="s">
        <v>1045</v>
      </c>
      <c r="C194">
        <v>80</v>
      </c>
      <c r="D194" t="s">
        <v>1029</v>
      </c>
      <c r="E194" s="1">
        <v>44994</v>
      </c>
      <c r="F194">
        <v>168</v>
      </c>
      <c r="G194">
        <v>3.7</v>
      </c>
      <c r="H194">
        <v>2023</v>
      </c>
      <c r="I194" t="s">
        <v>1052</v>
      </c>
      <c r="J194" t="s">
        <v>1019</v>
      </c>
      <c r="K194">
        <v>4</v>
      </c>
    </row>
    <row r="195" spans="1:11" x14ac:dyDescent="0.3">
      <c r="A195" t="s">
        <v>1239</v>
      </c>
      <c r="B195" t="s">
        <v>1036</v>
      </c>
      <c r="C195">
        <v>85</v>
      </c>
      <c r="D195" t="s">
        <v>1038</v>
      </c>
      <c r="E195" s="1">
        <v>44995</v>
      </c>
      <c r="F195">
        <v>46</v>
      </c>
      <c r="G195">
        <v>4.9000000000000004</v>
      </c>
      <c r="H195">
        <v>2023</v>
      </c>
      <c r="I195" t="s">
        <v>411</v>
      </c>
      <c r="J195" t="s">
        <v>1019</v>
      </c>
      <c r="K195">
        <v>5</v>
      </c>
    </row>
    <row r="196" spans="1:11" x14ac:dyDescent="0.3">
      <c r="A196" t="s">
        <v>1240</v>
      </c>
      <c r="B196" t="s">
        <v>1021</v>
      </c>
      <c r="C196">
        <v>155</v>
      </c>
      <c r="D196" t="s">
        <v>1017</v>
      </c>
      <c r="E196" s="1">
        <v>44995</v>
      </c>
      <c r="F196">
        <v>164</v>
      </c>
      <c r="G196">
        <v>3.4</v>
      </c>
      <c r="H196">
        <v>2023</v>
      </c>
      <c r="I196" t="s">
        <v>411</v>
      </c>
      <c r="J196" t="s">
        <v>1031</v>
      </c>
      <c r="K196">
        <v>3</v>
      </c>
    </row>
    <row r="197" spans="1:11" x14ac:dyDescent="0.3">
      <c r="A197" t="s">
        <v>1241</v>
      </c>
      <c r="B197" t="s">
        <v>1036</v>
      </c>
      <c r="C197">
        <v>63</v>
      </c>
      <c r="D197" t="s">
        <v>1038</v>
      </c>
      <c r="E197" s="1">
        <v>44995</v>
      </c>
      <c r="F197">
        <v>48</v>
      </c>
      <c r="G197">
        <v>5</v>
      </c>
      <c r="H197">
        <v>2023</v>
      </c>
      <c r="I197" t="s">
        <v>411</v>
      </c>
      <c r="J197" t="s">
        <v>1019</v>
      </c>
      <c r="K197">
        <v>5</v>
      </c>
    </row>
    <row r="198" spans="1:11" x14ac:dyDescent="0.3">
      <c r="A198" t="s">
        <v>1242</v>
      </c>
      <c r="B198" t="s">
        <v>1023</v>
      </c>
      <c r="C198">
        <v>105</v>
      </c>
      <c r="D198" t="s">
        <v>1024</v>
      </c>
      <c r="E198" s="1">
        <v>44995</v>
      </c>
      <c r="F198">
        <v>96</v>
      </c>
      <c r="G198">
        <v>5</v>
      </c>
      <c r="H198">
        <v>2023</v>
      </c>
      <c r="I198" t="s">
        <v>411</v>
      </c>
      <c r="J198" t="s">
        <v>1019</v>
      </c>
      <c r="K198">
        <v>5</v>
      </c>
    </row>
    <row r="199" spans="1:11" x14ac:dyDescent="0.3">
      <c r="A199" t="s">
        <v>1243</v>
      </c>
      <c r="B199" t="s">
        <v>1036</v>
      </c>
      <c r="C199">
        <v>71</v>
      </c>
      <c r="D199" t="s">
        <v>1038</v>
      </c>
      <c r="E199" s="1">
        <v>44995</v>
      </c>
      <c r="F199">
        <v>105</v>
      </c>
      <c r="G199">
        <v>4</v>
      </c>
      <c r="H199">
        <v>2023</v>
      </c>
      <c r="I199" t="s">
        <v>411</v>
      </c>
      <c r="J199" t="s">
        <v>1019</v>
      </c>
      <c r="K199">
        <v>4</v>
      </c>
    </row>
    <row r="200" spans="1:11" x14ac:dyDescent="0.3">
      <c r="A200" t="s">
        <v>1244</v>
      </c>
      <c r="B200" t="s">
        <v>1021</v>
      </c>
      <c r="C200">
        <v>100</v>
      </c>
      <c r="D200" t="s">
        <v>1038</v>
      </c>
      <c r="E200" s="1">
        <v>44996</v>
      </c>
      <c r="F200">
        <v>44</v>
      </c>
      <c r="G200">
        <v>3.6</v>
      </c>
      <c r="H200">
        <v>2023</v>
      </c>
      <c r="I200" t="s">
        <v>1062</v>
      </c>
      <c r="J200" t="s">
        <v>1019</v>
      </c>
      <c r="K200">
        <v>4</v>
      </c>
    </row>
    <row r="201" spans="1:11" x14ac:dyDescent="0.3">
      <c r="A201" t="s">
        <v>1245</v>
      </c>
      <c r="B201" t="s">
        <v>1016</v>
      </c>
      <c r="C201">
        <v>93</v>
      </c>
      <c r="D201" t="s">
        <v>1029</v>
      </c>
      <c r="E201" s="1">
        <v>44996</v>
      </c>
      <c r="F201">
        <v>132</v>
      </c>
      <c r="G201">
        <v>3.7</v>
      </c>
      <c r="H201">
        <v>2023</v>
      </c>
      <c r="I201" t="s">
        <v>1062</v>
      </c>
      <c r="J201" t="s">
        <v>1019</v>
      </c>
      <c r="K201">
        <v>4</v>
      </c>
    </row>
    <row r="202" spans="1:11" x14ac:dyDescent="0.3">
      <c r="A202" t="s">
        <v>1246</v>
      </c>
      <c r="B202" t="s">
        <v>1023</v>
      </c>
      <c r="C202">
        <v>84</v>
      </c>
      <c r="D202" t="s">
        <v>1017</v>
      </c>
      <c r="E202" s="1">
        <v>44996</v>
      </c>
      <c r="F202">
        <v>54</v>
      </c>
      <c r="G202">
        <v>4.2</v>
      </c>
      <c r="H202">
        <v>2023</v>
      </c>
      <c r="I202" t="s">
        <v>1062</v>
      </c>
      <c r="J202" t="s">
        <v>1019</v>
      </c>
      <c r="K202">
        <v>4</v>
      </c>
    </row>
    <row r="203" spans="1:11" x14ac:dyDescent="0.3">
      <c r="A203" t="s">
        <v>1247</v>
      </c>
      <c r="B203" t="s">
        <v>1078</v>
      </c>
      <c r="C203">
        <v>56</v>
      </c>
      <c r="D203" t="s">
        <v>1042</v>
      </c>
      <c r="E203" s="1">
        <v>44996</v>
      </c>
      <c r="F203">
        <v>129</v>
      </c>
      <c r="G203">
        <v>2.1</v>
      </c>
      <c r="H203">
        <v>2023</v>
      </c>
      <c r="I203" t="s">
        <v>1062</v>
      </c>
      <c r="J203" t="s">
        <v>1034</v>
      </c>
      <c r="K203">
        <v>2</v>
      </c>
    </row>
    <row r="204" spans="1:11" x14ac:dyDescent="0.3">
      <c r="A204" t="s">
        <v>1248</v>
      </c>
      <c r="B204" t="s">
        <v>1078</v>
      </c>
      <c r="C204">
        <v>63</v>
      </c>
      <c r="D204" t="s">
        <v>1038</v>
      </c>
      <c r="E204" s="1">
        <v>44996</v>
      </c>
      <c r="F204">
        <v>42</v>
      </c>
      <c r="G204">
        <v>4</v>
      </c>
      <c r="H204">
        <v>2023</v>
      </c>
      <c r="I204" t="s">
        <v>1062</v>
      </c>
      <c r="J204" t="s">
        <v>1019</v>
      </c>
      <c r="K204">
        <v>4</v>
      </c>
    </row>
    <row r="205" spans="1:11" x14ac:dyDescent="0.3">
      <c r="A205" t="s">
        <v>1249</v>
      </c>
      <c r="B205" t="s">
        <v>1055</v>
      </c>
      <c r="C205">
        <v>83</v>
      </c>
      <c r="D205" t="s">
        <v>1038</v>
      </c>
      <c r="E205" s="1">
        <v>44996</v>
      </c>
      <c r="F205">
        <v>42</v>
      </c>
      <c r="G205">
        <v>4.2</v>
      </c>
      <c r="H205">
        <v>2023</v>
      </c>
      <c r="I205" t="s">
        <v>1062</v>
      </c>
      <c r="J205" t="s">
        <v>1019</v>
      </c>
      <c r="K205">
        <v>4</v>
      </c>
    </row>
    <row r="206" spans="1:11" x14ac:dyDescent="0.3">
      <c r="A206" t="s">
        <v>1250</v>
      </c>
      <c r="B206" t="s">
        <v>1045</v>
      </c>
      <c r="C206">
        <v>134</v>
      </c>
      <c r="D206" t="s">
        <v>1017</v>
      </c>
      <c r="E206" s="1">
        <v>44996</v>
      </c>
      <c r="F206">
        <v>180</v>
      </c>
      <c r="G206">
        <v>3.1</v>
      </c>
      <c r="H206">
        <v>2023</v>
      </c>
      <c r="I206" t="s">
        <v>1062</v>
      </c>
      <c r="J206" t="s">
        <v>1031</v>
      </c>
      <c r="K206">
        <v>3</v>
      </c>
    </row>
    <row r="207" spans="1:11" x14ac:dyDescent="0.3">
      <c r="A207" t="s">
        <v>1251</v>
      </c>
      <c r="B207" t="s">
        <v>1028</v>
      </c>
      <c r="C207">
        <v>73</v>
      </c>
      <c r="D207" t="s">
        <v>1038</v>
      </c>
      <c r="E207" s="1">
        <v>44997</v>
      </c>
      <c r="F207">
        <v>34</v>
      </c>
      <c r="G207">
        <v>4.8</v>
      </c>
      <c r="H207">
        <v>2023</v>
      </c>
      <c r="I207" t="s">
        <v>1018</v>
      </c>
      <c r="J207" t="s">
        <v>1019</v>
      </c>
      <c r="K207">
        <v>5</v>
      </c>
    </row>
    <row r="208" spans="1:11" x14ac:dyDescent="0.3">
      <c r="A208" t="s">
        <v>1252</v>
      </c>
      <c r="B208" t="s">
        <v>1098</v>
      </c>
      <c r="C208">
        <v>6</v>
      </c>
      <c r="D208" t="s">
        <v>1042</v>
      </c>
      <c r="E208" s="1">
        <v>44997</v>
      </c>
      <c r="F208">
        <v>29</v>
      </c>
      <c r="G208">
        <v>4.7</v>
      </c>
      <c r="H208">
        <v>2023</v>
      </c>
      <c r="I208" t="s">
        <v>1018</v>
      </c>
      <c r="J208" t="s">
        <v>1186</v>
      </c>
      <c r="K208">
        <v>5</v>
      </c>
    </row>
    <row r="209" spans="1:11" x14ac:dyDescent="0.3">
      <c r="A209" t="s">
        <v>1253</v>
      </c>
      <c r="B209" t="s">
        <v>1068</v>
      </c>
      <c r="C209">
        <v>46</v>
      </c>
      <c r="D209" t="s">
        <v>1024</v>
      </c>
      <c r="E209" s="1">
        <v>44997</v>
      </c>
      <c r="F209">
        <v>165</v>
      </c>
      <c r="G209">
        <v>3.3</v>
      </c>
      <c r="H209">
        <v>2023</v>
      </c>
      <c r="I209" t="s">
        <v>1018</v>
      </c>
      <c r="J209" t="s">
        <v>1034</v>
      </c>
      <c r="K209">
        <v>3</v>
      </c>
    </row>
    <row r="210" spans="1:11" x14ac:dyDescent="0.3">
      <c r="A210" t="s">
        <v>1254</v>
      </c>
      <c r="B210" t="s">
        <v>1098</v>
      </c>
      <c r="C210">
        <v>121</v>
      </c>
      <c r="D210" t="s">
        <v>1038</v>
      </c>
      <c r="E210" s="1">
        <v>44998</v>
      </c>
      <c r="F210">
        <v>32</v>
      </c>
      <c r="G210">
        <v>3.7</v>
      </c>
      <c r="H210">
        <v>2023</v>
      </c>
      <c r="I210" t="s">
        <v>1030</v>
      </c>
      <c r="J210" t="s">
        <v>1031</v>
      </c>
      <c r="K210">
        <v>4</v>
      </c>
    </row>
    <row r="211" spans="1:11" x14ac:dyDescent="0.3">
      <c r="A211" t="s">
        <v>1255</v>
      </c>
      <c r="B211" t="s">
        <v>1078</v>
      </c>
      <c r="C211">
        <v>61</v>
      </c>
      <c r="D211" t="s">
        <v>1029</v>
      </c>
      <c r="E211" s="1">
        <v>44998</v>
      </c>
      <c r="F211">
        <v>160</v>
      </c>
      <c r="G211">
        <v>4.9000000000000004</v>
      </c>
      <c r="H211">
        <v>2023</v>
      </c>
      <c r="I211" t="s">
        <v>1030</v>
      </c>
      <c r="J211" t="s">
        <v>1019</v>
      </c>
      <c r="K211">
        <v>5</v>
      </c>
    </row>
    <row r="212" spans="1:11" x14ac:dyDescent="0.3">
      <c r="A212" t="s">
        <v>1256</v>
      </c>
      <c r="B212" t="s">
        <v>1045</v>
      </c>
      <c r="C212">
        <v>144</v>
      </c>
      <c r="D212" t="s">
        <v>1017</v>
      </c>
      <c r="E212" s="1">
        <v>44998</v>
      </c>
      <c r="F212">
        <v>140</v>
      </c>
      <c r="G212">
        <v>3.5</v>
      </c>
      <c r="H212">
        <v>2023</v>
      </c>
      <c r="I212" t="s">
        <v>1030</v>
      </c>
      <c r="J212" t="s">
        <v>1031</v>
      </c>
      <c r="K212">
        <v>4</v>
      </c>
    </row>
    <row r="213" spans="1:11" x14ac:dyDescent="0.3">
      <c r="A213" t="s">
        <v>1257</v>
      </c>
      <c r="B213" t="s">
        <v>1068</v>
      </c>
      <c r="C213">
        <v>145</v>
      </c>
      <c r="D213" t="s">
        <v>1017</v>
      </c>
      <c r="E213" s="1">
        <v>44998</v>
      </c>
      <c r="F213">
        <v>136</v>
      </c>
      <c r="G213">
        <v>4.4000000000000004</v>
      </c>
      <c r="H213">
        <v>2023</v>
      </c>
      <c r="I213" t="s">
        <v>1030</v>
      </c>
      <c r="J213" t="s">
        <v>1031</v>
      </c>
      <c r="K213">
        <v>4</v>
      </c>
    </row>
    <row r="214" spans="1:11" x14ac:dyDescent="0.3">
      <c r="A214" t="s">
        <v>1258</v>
      </c>
      <c r="B214" t="s">
        <v>1023</v>
      </c>
      <c r="C214">
        <v>85</v>
      </c>
      <c r="D214" t="s">
        <v>1042</v>
      </c>
      <c r="E214" s="1">
        <v>44998</v>
      </c>
      <c r="F214">
        <v>66</v>
      </c>
      <c r="G214">
        <v>2.8</v>
      </c>
      <c r="H214">
        <v>2023</v>
      </c>
      <c r="I214" t="s">
        <v>1030</v>
      </c>
      <c r="J214" t="s">
        <v>1019</v>
      </c>
      <c r="K214">
        <v>3</v>
      </c>
    </row>
    <row r="215" spans="1:11" x14ac:dyDescent="0.3">
      <c r="A215" t="s">
        <v>1259</v>
      </c>
      <c r="B215" t="s">
        <v>1068</v>
      </c>
      <c r="C215">
        <v>13</v>
      </c>
      <c r="D215" t="s">
        <v>1029</v>
      </c>
      <c r="E215" s="1">
        <v>44999</v>
      </c>
      <c r="F215">
        <v>63</v>
      </c>
      <c r="G215">
        <v>4.0999999999999996</v>
      </c>
      <c r="H215">
        <v>2023</v>
      </c>
      <c r="I215" t="s">
        <v>1033</v>
      </c>
      <c r="J215" t="s">
        <v>1056</v>
      </c>
      <c r="K215">
        <v>4</v>
      </c>
    </row>
    <row r="216" spans="1:11" x14ac:dyDescent="0.3">
      <c r="A216" t="s">
        <v>1260</v>
      </c>
      <c r="B216" t="s">
        <v>1016</v>
      </c>
      <c r="C216">
        <v>142</v>
      </c>
      <c r="D216" t="s">
        <v>1038</v>
      </c>
      <c r="E216" s="1">
        <v>44999</v>
      </c>
      <c r="F216">
        <v>44</v>
      </c>
      <c r="G216">
        <v>3.5</v>
      </c>
      <c r="H216">
        <v>2023</v>
      </c>
      <c r="I216" t="s">
        <v>1033</v>
      </c>
      <c r="J216" t="s">
        <v>1031</v>
      </c>
      <c r="K216">
        <v>4</v>
      </c>
    </row>
    <row r="217" spans="1:11" x14ac:dyDescent="0.3">
      <c r="A217" t="s">
        <v>1261</v>
      </c>
      <c r="B217" t="s">
        <v>1045</v>
      </c>
      <c r="C217">
        <v>28</v>
      </c>
      <c r="D217" t="s">
        <v>1024</v>
      </c>
      <c r="E217" s="1">
        <v>44999</v>
      </c>
      <c r="F217">
        <v>78</v>
      </c>
      <c r="G217">
        <v>3.8</v>
      </c>
      <c r="H217">
        <v>2023</v>
      </c>
      <c r="I217" t="s">
        <v>1033</v>
      </c>
      <c r="J217" t="s">
        <v>1056</v>
      </c>
      <c r="K217">
        <v>4</v>
      </c>
    </row>
    <row r="218" spans="1:11" x14ac:dyDescent="0.3">
      <c r="A218" t="s">
        <v>1262</v>
      </c>
      <c r="B218" t="s">
        <v>1045</v>
      </c>
      <c r="C218">
        <v>119</v>
      </c>
      <c r="D218" t="s">
        <v>1038</v>
      </c>
      <c r="E218" s="1">
        <v>44999</v>
      </c>
      <c r="F218">
        <v>20</v>
      </c>
      <c r="G218">
        <v>3.9</v>
      </c>
      <c r="H218">
        <v>2023</v>
      </c>
      <c r="I218" t="s">
        <v>1033</v>
      </c>
      <c r="J218" t="s">
        <v>1019</v>
      </c>
      <c r="K218">
        <v>4</v>
      </c>
    </row>
    <row r="219" spans="1:11" x14ac:dyDescent="0.3">
      <c r="A219" t="s">
        <v>1263</v>
      </c>
      <c r="B219" t="s">
        <v>1098</v>
      </c>
      <c r="C219">
        <v>65</v>
      </c>
      <c r="D219" t="s">
        <v>1042</v>
      </c>
      <c r="E219" s="1">
        <v>44999</v>
      </c>
      <c r="F219">
        <v>84</v>
      </c>
      <c r="G219">
        <v>2.5</v>
      </c>
      <c r="H219">
        <v>2023</v>
      </c>
      <c r="I219" t="s">
        <v>1033</v>
      </c>
      <c r="J219" t="s">
        <v>1019</v>
      </c>
      <c r="K219">
        <v>3</v>
      </c>
    </row>
    <row r="220" spans="1:11" x14ac:dyDescent="0.3">
      <c r="A220" t="s">
        <v>1264</v>
      </c>
      <c r="B220" t="s">
        <v>1047</v>
      </c>
      <c r="C220">
        <v>68</v>
      </c>
      <c r="D220" t="s">
        <v>1042</v>
      </c>
      <c r="E220" s="1">
        <v>44999</v>
      </c>
      <c r="F220">
        <v>32</v>
      </c>
      <c r="G220">
        <v>4.9000000000000004</v>
      </c>
      <c r="H220">
        <v>2023</v>
      </c>
      <c r="I220" t="s">
        <v>1033</v>
      </c>
      <c r="J220" t="s">
        <v>1019</v>
      </c>
      <c r="K220">
        <v>5</v>
      </c>
    </row>
    <row r="221" spans="1:11" x14ac:dyDescent="0.3">
      <c r="A221" t="s">
        <v>1265</v>
      </c>
      <c r="B221" t="s">
        <v>1055</v>
      </c>
      <c r="C221">
        <v>72</v>
      </c>
      <c r="D221" t="s">
        <v>1024</v>
      </c>
      <c r="E221" s="1">
        <v>44999</v>
      </c>
      <c r="F221">
        <v>132</v>
      </c>
      <c r="G221">
        <v>3.4</v>
      </c>
      <c r="H221">
        <v>2023</v>
      </c>
      <c r="I221" t="s">
        <v>1033</v>
      </c>
      <c r="J221" t="s">
        <v>1019</v>
      </c>
      <c r="K221">
        <v>3</v>
      </c>
    </row>
    <row r="222" spans="1:11" x14ac:dyDescent="0.3">
      <c r="A222" t="s">
        <v>1266</v>
      </c>
      <c r="B222" t="s">
        <v>1055</v>
      </c>
      <c r="C222">
        <v>63</v>
      </c>
      <c r="D222" t="s">
        <v>1017</v>
      </c>
      <c r="E222" s="1">
        <v>44999</v>
      </c>
      <c r="F222">
        <v>105</v>
      </c>
      <c r="G222">
        <v>3.3</v>
      </c>
      <c r="H222">
        <v>2023</v>
      </c>
      <c r="I222" t="s">
        <v>1033</v>
      </c>
      <c r="J222" t="s">
        <v>1019</v>
      </c>
      <c r="K222">
        <v>3</v>
      </c>
    </row>
    <row r="223" spans="1:11" x14ac:dyDescent="0.3">
      <c r="A223" t="s">
        <v>1267</v>
      </c>
      <c r="B223" t="s">
        <v>1021</v>
      </c>
      <c r="C223">
        <v>139</v>
      </c>
      <c r="D223" t="s">
        <v>1038</v>
      </c>
      <c r="E223" s="1">
        <v>45000</v>
      </c>
      <c r="F223">
        <v>48</v>
      </c>
      <c r="G223">
        <v>4.7</v>
      </c>
      <c r="H223">
        <v>2023</v>
      </c>
      <c r="I223" t="s">
        <v>1048</v>
      </c>
      <c r="J223" t="s">
        <v>1031</v>
      </c>
      <c r="K223">
        <v>5</v>
      </c>
    </row>
    <row r="224" spans="1:11" x14ac:dyDescent="0.3">
      <c r="A224" t="s">
        <v>1268</v>
      </c>
      <c r="B224" t="s">
        <v>1045</v>
      </c>
      <c r="C224">
        <v>59</v>
      </c>
      <c r="D224" t="s">
        <v>1038</v>
      </c>
      <c r="E224" s="1">
        <v>45000</v>
      </c>
      <c r="F224">
        <v>64</v>
      </c>
      <c r="G224">
        <v>4</v>
      </c>
      <c r="H224">
        <v>2023</v>
      </c>
      <c r="I224" t="s">
        <v>1048</v>
      </c>
      <c r="J224" t="s">
        <v>1034</v>
      </c>
      <c r="K224">
        <v>4</v>
      </c>
    </row>
    <row r="225" spans="1:11" x14ac:dyDescent="0.3">
      <c r="A225" t="s">
        <v>1269</v>
      </c>
      <c r="B225" t="s">
        <v>1059</v>
      </c>
      <c r="C225">
        <v>138</v>
      </c>
      <c r="D225" t="s">
        <v>1017</v>
      </c>
      <c r="E225" s="1">
        <v>45000</v>
      </c>
      <c r="F225">
        <v>44</v>
      </c>
      <c r="G225">
        <v>3.8</v>
      </c>
      <c r="H225">
        <v>2023</v>
      </c>
      <c r="I225" t="s">
        <v>1048</v>
      </c>
      <c r="J225" t="s">
        <v>1031</v>
      </c>
      <c r="K225">
        <v>4</v>
      </c>
    </row>
    <row r="226" spans="1:11" x14ac:dyDescent="0.3">
      <c r="A226" t="s">
        <v>1270</v>
      </c>
      <c r="B226" t="s">
        <v>1021</v>
      </c>
      <c r="C226">
        <v>47</v>
      </c>
      <c r="D226" t="s">
        <v>1024</v>
      </c>
      <c r="E226" s="1">
        <v>45000</v>
      </c>
      <c r="F226">
        <v>120</v>
      </c>
      <c r="G226">
        <v>3.1</v>
      </c>
      <c r="H226">
        <v>2023</v>
      </c>
      <c r="I226" t="s">
        <v>1048</v>
      </c>
      <c r="J226" t="s">
        <v>1034</v>
      </c>
      <c r="K226">
        <v>3</v>
      </c>
    </row>
    <row r="227" spans="1:11" x14ac:dyDescent="0.3">
      <c r="A227" t="s">
        <v>1271</v>
      </c>
      <c r="B227" t="s">
        <v>1059</v>
      </c>
      <c r="C227">
        <v>74</v>
      </c>
      <c r="D227" t="s">
        <v>1024</v>
      </c>
      <c r="E227" s="1">
        <v>45000</v>
      </c>
      <c r="F227">
        <v>144</v>
      </c>
      <c r="G227">
        <v>4.8</v>
      </c>
      <c r="H227">
        <v>2023</v>
      </c>
      <c r="I227" t="s">
        <v>1048</v>
      </c>
      <c r="J227" t="s">
        <v>1019</v>
      </c>
      <c r="K227">
        <v>5</v>
      </c>
    </row>
    <row r="228" spans="1:11" x14ac:dyDescent="0.3">
      <c r="A228" t="s">
        <v>1272</v>
      </c>
      <c r="B228" t="s">
        <v>1055</v>
      </c>
      <c r="C228">
        <v>65</v>
      </c>
      <c r="D228" t="s">
        <v>1024</v>
      </c>
      <c r="E228" s="1">
        <v>45000</v>
      </c>
      <c r="F228">
        <v>87</v>
      </c>
      <c r="G228">
        <v>2.7</v>
      </c>
      <c r="H228">
        <v>2023</v>
      </c>
      <c r="I228" t="s">
        <v>1048</v>
      </c>
      <c r="J228" t="s">
        <v>1019</v>
      </c>
      <c r="K228">
        <v>3</v>
      </c>
    </row>
    <row r="229" spans="1:11" x14ac:dyDescent="0.3">
      <c r="A229" t="s">
        <v>1273</v>
      </c>
      <c r="B229" t="s">
        <v>1028</v>
      </c>
      <c r="C229">
        <v>123</v>
      </c>
      <c r="D229" t="s">
        <v>1042</v>
      </c>
      <c r="E229" s="1">
        <v>45000</v>
      </c>
      <c r="F229">
        <v>36</v>
      </c>
      <c r="G229">
        <v>3.6</v>
      </c>
      <c r="H229">
        <v>2023</v>
      </c>
      <c r="I229" t="s">
        <v>1048</v>
      </c>
      <c r="J229" t="s">
        <v>1031</v>
      </c>
      <c r="K229">
        <v>4</v>
      </c>
    </row>
    <row r="230" spans="1:11" x14ac:dyDescent="0.3">
      <c r="A230" t="s">
        <v>1274</v>
      </c>
      <c r="B230" t="s">
        <v>1055</v>
      </c>
      <c r="C230">
        <v>90</v>
      </c>
      <c r="D230" t="s">
        <v>1038</v>
      </c>
      <c r="E230" s="1">
        <v>45001</v>
      </c>
      <c r="F230">
        <v>72</v>
      </c>
      <c r="G230">
        <v>4.7</v>
      </c>
      <c r="H230">
        <v>2023</v>
      </c>
      <c r="I230" t="s">
        <v>1052</v>
      </c>
      <c r="J230" t="s">
        <v>1019</v>
      </c>
      <c r="K230">
        <v>5</v>
      </c>
    </row>
    <row r="231" spans="1:11" x14ac:dyDescent="0.3">
      <c r="A231" t="s">
        <v>1275</v>
      </c>
      <c r="B231" t="s">
        <v>1078</v>
      </c>
      <c r="C231">
        <v>127</v>
      </c>
      <c r="D231" t="s">
        <v>1017</v>
      </c>
      <c r="E231" s="1">
        <v>45001</v>
      </c>
      <c r="F231">
        <v>150</v>
      </c>
      <c r="G231">
        <v>4.4000000000000004</v>
      </c>
      <c r="H231">
        <v>2023</v>
      </c>
      <c r="I231" t="s">
        <v>1052</v>
      </c>
      <c r="J231" t="s">
        <v>1031</v>
      </c>
      <c r="K231">
        <v>4</v>
      </c>
    </row>
    <row r="232" spans="1:11" x14ac:dyDescent="0.3">
      <c r="A232" t="s">
        <v>1276</v>
      </c>
      <c r="B232" t="s">
        <v>1026</v>
      </c>
      <c r="C232">
        <v>60</v>
      </c>
      <c r="D232" t="s">
        <v>1024</v>
      </c>
      <c r="E232" s="1">
        <v>45001</v>
      </c>
      <c r="F232">
        <v>68</v>
      </c>
      <c r="G232">
        <v>4.3</v>
      </c>
      <c r="H232">
        <v>2023</v>
      </c>
      <c r="I232" t="s">
        <v>1052</v>
      </c>
      <c r="J232" t="s">
        <v>1034</v>
      </c>
      <c r="K232">
        <v>4</v>
      </c>
    </row>
    <row r="233" spans="1:11" x14ac:dyDescent="0.3">
      <c r="A233" t="s">
        <v>1277</v>
      </c>
      <c r="B233" t="s">
        <v>1021</v>
      </c>
      <c r="C233">
        <v>94</v>
      </c>
      <c r="D233" t="s">
        <v>1017</v>
      </c>
      <c r="E233" s="1">
        <v>45001</v>
      </c>
      <c r="F233">
        <v>99</v>
      </c>
      <c r="G233">
        <v>4.9000000000000004</v>
      </c>
      <c r="H233">
        <v>2023</v>
      </c>
      <c r="I233" t="s">
        <v>1052</v>
      </c>
      <c r="J233" t="s">
        <v>1019</v>
      </c>
      <c r="K233">
        <v>5</v>
      </c>
    </row>
    <row r="234" spans="1:11" x14ac:dyDescent="0.3">
      <c r="A234" t="s">
        <v>1278</v>
      </c>
      <c r="B234" t="s">
        <v>1028</v>
      </c>
      <c r="C234">
        <v>54</v>
      </c>
      <c r="D234" t="s">
        <v>1024</v>
      </c>
      <c r="E234" s="1">
        <v>45001</v>
      </c>
      <c r="F234">
        <v>26</v>
      </c>
      <c r="G234">
        <v>4.8</v>
      </c>
      <c r="H234">
        <v>2023</v>
      </c>
      <c r="I234" t="s">
        <v>1052</v>
      </c>
      <c r="J234" t="s">
        <v>1034</v>
      </c>
      <c r="K234">
        <v>5</v>
      </c>
    </row>
    <row r="235" spans="1:11" x14ac:dyDescent="0.3">
      <c r="A235" t="s">
        <v>1279</v>
      </c>
      <c r="B235" t="s">
        <v>1055</v>
      </c>
      <c r="C235">
        <v>104</v>
      </c>
      <c r="D235" t="s">
        <v>1024</v>
      </c>
      <c r="E235" s="1">
        <v>45001</v>
      </c>
      <c r="F235">
        <v>88</v>
      </c>
      <c r="G235">
        <v>3.2</v>
      </c>
      <c r="H235">
        <v>2023</v>
      </c>
      <c r="I235" t="s">
        <v>1052</v>
      </c>
      <c r="J235" t="s">
        <v>1019</v>
      </c>
      <c r="K235">
        <v>3</v>
      </c>
    </row>
    <row r="236" spans="1:11" x14ac:dyDescent="0.3">
      <c r="A236" t="s">
        <v>1280</v>
      </c>
      <c r="B236" t="s">
        <v>1036</v>
      </c>
      <c r="C236">
        <v>100</v>
      </c>
      <c r="D236" t="s">
        <v>1024</v>
      </c>
      <c r="E236" s="1">
        <v>45001</v>
      </c>
      <c r="F236">
        <v>124</v>
      </c>
      <c r="G236">
        <v>3.4</v>
      </c>
      <c r="H236">
        <v>2023</v>
      </c>
      <c r="I236" t="s">
        <v>1052</v>
      </c>
      <c r="J236" t="s">
        <v>1019</v>
      </c>
      <c r="K236">
        <v>3</v>
      </c>
    </row>
    <row r="237" spans="1:11" x14ac:dyDescent="0.3">
      <c r="A237" t="s">
        <v>1281</v>
      </c>
      <c r="B237" t="s">
        <v>1059</v>
      </c>
      <c r="C237">
        <v>84</v>
      </c>
      <c r="D237" t="s">
        <v>1024</v>
      </c>
      <c r="E237" s="1">
        <v>45001</v>
      </c>
      <c r="F237">
        <v>72</v>
      </c>
      <c r="G237">
        <v>3.5</v>
      </c>
      <c r="H237">
        <v>2023</v>
      </c>
      <c r="I237" t="s">
        <v>1052</v>
      </c>
      <c r="J237" t="s">
        <v>1019</v>
      </c>
      <c r="K237">
        <v>4</v>
      </c>
    </row>
    <row r="238" spans="1:11" x14ac:dyDescent="0.3">
      <c r="A238" t="s">
        <v>1282</v>
      </c>
      <c r="B238" t="s">
        <v>1016</v>
      </c>
      <c r="C238">
        <v>92</v>
      </c>
      <c r="D238" t="s">
        <v>1029</v>
      </c>
      <c r="E238" s="1">
        <v>45002</v>
      </c>
      <c r="F238">
        <v>125</v>
      </c>
      <c r="G238">
        <v>4.9000000000000004</v>
      </c>
      <c r="H238">
        <v>2023</v>
      </c>
      <c r="I238" t="s">
        <v>411</v>
      </c>
      <c r="J238" t="s">
        <v>1019</v>
      </c>
      <c r="K238">
        <v>5</v>
      </c>
    </row>
    <row r="239" spans="1:11" x14ac:dyDescent="0.3">
      <c r="A239" t="s">
        <v>1283</v>
      </c>
      <c r="B239" t="s">
        <v>1041</v>
      </c>
      <c r="C239">
        <v>64</v>
      </c>
      <c r="D239" t="s">
        <v>1017</v>
      </c>
      <c r="E239" s="1">
        <v>45002</v>
      </c>
      <c r="F239">
        <v>22</v>
      </c>
      <c r="G239">
        <v>4.0999999999999996</v>
      </c>
      <c r="H239">
        <v>2023</v>
      </c>
      <c r="I239" t="s">
        <v>411</v>
      </c>
      <c r="J239" t="s">
        <v>1019</v>
      </c>
      <c r="K239">
        <v>4</v>
      </c>
    </row>
    <row r="240" spans="1:11" x14ac:dyDescent="0.3">
      <c r="A240" t="s">
        <v>1284</v>
      </c>
      <c r="B240" t="s">
        <v>1023</v>
      </c>
      <c r="C240">
        <v>89</v>
      </c>
      <c r="D240" t="s">
        <v>1038</v>
      </c>
      <c r="E240" s="1">
        <v>45003</v>
      </c>
      <c r="F240">
        <v>70</v>
      </c>
      <c r="G240">
        <v>4.9000000000000004</v>
      </c>
      <c r="H240">
        <v>2023</v>
      </c>
      <c r="I240" t="s">
        <v>1062</v>
      </c>
      <c r="J240" t="s">
        <v>1019</v>
      </c>
      <c r="K240">
        <v>5</v>
      </c>
    </row>
    <row r="241" spans="1:11" x14ac:dyDescent="0.3">
      <c r="A241" t="s">
        <v>1285</v>
      </c>
      <c r="B241" t="s">
        <v>1065</v>
      </c>
      <c r="C241">
        <v>40</v>
      </c>
      <c r="D241" t="s">
        <v>1024</v>
      </c>
      <c r="E241" s="1">
        <v>45003</v>
      </c>
      <c r="F241">
        <v>24</v>
      </c>
      <c r="G241">
        <v>4.3</v>
      </c>
      <c r="H241">
        <v>2023</v>
      </c>
      <c r="I241" t="s">
        <v>1062</v>
      </c>
      <c r="J241" t="s">
        <v>1034</v>
      </c>
      <c r="K241">
        <v>4</v>
      </c>
    </row>
    <row r="242" spans="1:11" x14ac:dyDescent="0.3">
      <c r="A242" t="s">
        <v>1286</v>
      </c>
      <c r="B242" t="s">
        <v>1045</v>
      </c>
      <c r="C242">
        <v>75</v>
      </c>
      <c r="D242" t="s">
        <v>1042</v>
      </c>
      <c r="E242" s="1">
        <v>45003</v>
      </c>
      <c r="F242">
        <v>32</v>
      </c>
      <c r="G242">
        <v>4.0999999999999996</v>
      </c>
      <c r="H242">
        <v>2023</v>
      </c>
      <c r="I242" t="s">
        <v>1062</v>
      </c>
      <c r="J242" t="s">
        <v>1019</v>
      </c>
      <c r="K242">
        <v>4</v>
      </c>
    </row>
    <row r="243" spans="1:11" x14ac:dyDescent="0.3">
      <c r="A243" t="s">
        <v>1287</v>
      </c>
      <c r="B243" t="s">
        <v>1078</v>
      </c>
      <c r="C243">
        <v>106</v>
      </c>
      <c r="D243" t="s">
        <v>1029</v>
      </c>
      <c r="E243" s="1">
        <v>45003</v>
      </c>
      <c r="F243">
        <v>112</v>
      </c>
      <c r="G243">
        <v>4.4000000000000004</v>
      </c>
      <c r="H243">
        <v>2023</v>
      </c>
      <c r="I243" t="s">
        <v>1062</v>
      </c>
      <c r="J243" t="s">
        <v>1019</v>
      </c>
      <c r="K243">
        <v>4</v>
      </c>
    </row>
    <row r="244" spans="1:11" x14ac:dyDescent="0.3">
      <c r="A244" t="s">
        <v>1288</v>
      </c>
      <c r="B244" t="s">
        <v>1041</v>
      </c>
      <c r="C244">
        <v>58</v>
      </c>
      <c r="D244" t="s">
        <v>1024</v>
      </c>
      <c r="E244" s="1">
        <v>45004</v>
      </c>
      <c r="F244">
        <v>43</v>
      </c>
      <c r="G244">
        <v>4.5</v>
      </c>
      <c r="H244">
        <v>2023</v>
      </c>
      <c r="I244" t="s">
        <v>1018</v>
      </c>
      <c r="J244" t="s">
        <v>1034</v>
      </c>
      <c r="K244">
        <v>5</v>
      </c>
    </row>
    <row r="245" spans="1:11" x14ac:dyDescent="0.3">
      <c r="A245" t="s">
        <v>1289</v>
      </c>
      <c r="B245" t="s">
        <v>1059</v>
      </c>
      <c r="C245">
        <v>84</v>
      </c>
      <c r="D245" t="s">
        <v>1029</v>
      </c>
      <c r="E245" s="1">
        <v>45004</v>
      </c>
      <c r="F245">
        <v>22</v>
      </c>
      <c r="G245">
        <v>3.5</v>
      </c>
      <c r="H245">
        <v>2023</v>
      </c>
      <c r="I245" t="s">
        <v>1018</v>
      </c>
      <c r="J245" t="s">
        <v>1019</v>
      </c>
      <c r="K245">
        <v>4</v>
      </c>
    </row>
    <row r="246" spans="1:11" x14ac:dyDescent="0.3">
      <c r="A246" t="s">
        <v>1290</v>
      </c>
      <c r="B246" t="s">
        <v>1055</v>
      </c>
      <c r="C246">
        <v>140</v>
      </c>
      <c r="D246" t="s">
        <v>1029</v>
      </c>
      <c r="E246" s="1">
        <v>45004</v>
      </c>
      <c r="F246">
        <v>93</v>
      </c>
      <c r="G246">
        <v>4.4000000000000004</v>
      </c>
      <c r="H246">
        <v>2023</v>
      </c>
      <c r="I246" t="s">
        <v>1018</v>
      </c>
      <c r="J246" t="s">
        <v>1031</v>
      </c>
      <c r="K246">
        <v>4</v>
      </c>
    </row>
    <row r="247" spans="1:11" x14ac:dyDescent="0.3">
      <c r="A247" t="s">
        <v>1291</v>
      </c>
      <c r="B247" t="s">
        <v>1041</v>
      </c>
      <c r="C247">
        <v>67</v>
      </c>
      <c r="D247" t="s">
        <v>1029</v>
      </c>
      <c r="E247" s="1">
        <v>45004</v>
      </c>
      <c r="F247">
        <v>45</v>
      </c>
      <c r="G247">
        <v>3.5</v>
      </c>
      <c r="H247">
        <v>2023</v>
      </c>
      <c r="I247" t="s">
        <v>1018</v>
      </c>
      <c r="J247" t="s">
        <v>1019</v>
      </c>
      <c r="K247">
        <v>4</v>
      </c>
    </row>
    <row r="248" spans="1:11" x14ac:dyDescent="0.3">
      <c r="A248" t="s">
        <v>1292</v>
      </c>
      <c r="B248" t="s">
        <v>1021</v>
      </c>
      <c r="C248">
        <v>126</v>
      </c>
      <c r="D248" t="s">
        <v>1029</v>
      </c>
      <c r="E248" s="1">
        <v>45005</v>
      </c>
      <c r="F248">
        <v>96</v>
      </c>
      <c r="G248">
        <v>3.8</v>
      </c>
      <c r="H248">
        <v>2023</v>
      </c>
      <c r="I248" t="s">
        <v>1030</v>
      </c>
      <c r="J248" t="s">
        <v>1031</v>
      </c>
      <c r="K248">
        <v>4</v>
      </c>
    </row>
    <row r="249" spans="1:11" x14ac:dyDescent="0.3">
      <c r="A249" t="s">
        <v>1293</v>
      </c>
      <c r="B249" t="s">
        <v>1021</v>
      </c>
      <c r="C249">
        <v>89</v>
      </c>
      <c r="D249" t="s">
        <v>1024</v>
      </c>
      <c r="E249" s="1">
        <v>45005</v>
      </c>
      <c r="F249">
        <v>96</v>
      </c>
      <c r="G249">
        <v>3.3</v>
      </c>
      <c r="H249">
        <v>2023</v>
      </c>
      <c r="I249" t="s">
        <v>1030</v>
      </c>
      <c r="J249" t="s">
        <v>1019</v>
      </c>
      <c r="K249">
        <v>3</v>
      </c>
    </row>
    <row r="250" spans="1:11" x14ac:dyDescent="0.3">
      <c r="A250" t="s">
        <v>1294</v>
      </c>
      <c r="B250" t="s">
        <v>1023</v>
      </c>
      <c r="C250">
        <v>56</v>
      </c>
      <c r="D250" t="s">
        <v>1017</v>
      </c>
      <c r="E250" s="1">
        <v>45005</v>
      </c>
      <c r="F250">
        <v>31</v>
      </c>
      <c r="G250">
        <v>4.4000000000000004</v>
      </c>
      <c r="H250">
        <v>2023</v>
      </c>
      <c r="I250" t="s">
        <v>1030</v>
      </c>
      <c r="J250" t="s">
        <v>1034</v>
      </c>
      <c r="K250">
        <v>4</v>
      </c>
    </row>
    <row r="251" spans="1:11" x14ac:dyDescent="0.3">
      <c r="A251" t="s">
        <v>1295</v>
      </c>
      <c r="B251" t="s">
        <v>1028</v>
      </c>
      <c r="C251">
        <v>48</v>
      </c>
      <c r="D251" t="s">
        <v>1024</v>
      </c>
      <c r="E251" s="1">
        <v>45005</v>
      </c>
      <c r="F251">
        <v>200</v>
      </c>
      <c r="G251">
        <v>3.9</v>
      </c>
      <c r="H251">
        <v>2023</v>
      </c>
      <c r="I251" t="s">
        <v>1030</v>
      </c>
      <c r="J251" t="s">
        <v>1034</v>
      </c>
      <c r="K251">
        <v>4</v>
      </c>
    </row>
    <row r="252" spans="1:11" x14ac:dyDescent="0.3">
      <c r="A252" t="s">
        <v>1296</v>
      </c>
      <c r="B252" t="s">
        <v>1021</v>
      </c>
      <c r="C252">
        <v>55</v>
      </c>
      <c r="D252" t="s">
        <v>1017</v>
      </c>
      <c r="E252" s="1">
        <v>45005</v>
      </c>
      <c r="F252">
        <v>99</v>
      </c>
      <c r="G252">
        <v>2.7</v>
      </c>
      <c r="H252">
        <v>2023</v>
      </c>
      <c r="I252" t="s">
        <v>1030</v>
      </c>
      <c r="J252" t="s">
        <v>1034</v>
      </c>
      <c r="K252">
        <v>3</v>
      </c>
    </row>
    <row r="253" spans="1:11" x14ac:dyDescent="0.3">
      <c r="A253" t="s">
        <v>1297</v>
      </c>
      <c r="B253" t="s">
        <v>1026</v>
      </c>
      <c r="C253">
        <v>88</v>
      </c>
      <c r="D253" t="s">
        <v>1042</v>
      </c>
      <c r="E253" s="1">
        <v>45005</v>
      </c>
      <c r="F253">
        <v>144</v>
      </c>
      <c r="G253">
        <v>2.9</v>
      </c>
      <c r="H253">
        <v>2023</v>
      </c>
      <c r="I253" t="s">
        <v>1030</v>
      </c>
      <c r="J253" t="s">
        <v>1019</v>
      </c>
      <c r="K253">
        <v>3</v>
      </c>
    </row>
    <row r="254" spans="1:11" x14ac:dyDescent="0.3">
      <c r="A254" t="s">
        <v>1298</v>
      </c>
      <c r="B254" t="s">
        <v>1023</v>
      </c>
      <c r="C254">
        <v>102</v>
      </c>
      <c r="D254" t="s">
        <v>1029</v>
      </c>
      <c r="E254" s="1">
        <v>45006</v>
      </c>
      <c r="F254">
        <v>81</v>
      </c>
      <c r="G254">
        <v>4</v>
      </c>
      <c r="H254">
        <v>2023</v>
      </c>
      <c r="I254" t="s">
        <v>1033</v>
      </c>
      <c r="J254" t="s">
        <v>1019</v>
      </c>
      <c r="K254">
        <v>4</v>
      </c>
    </row>
    <row r="255" spans="1:11" x14ac:dyDescent="0.3">
      <c r="A255" t="s">
        <v>1299</v>
      </c>
      <c r="B255" t="s">
        <v>1026</v>
      </c>
      <c r="C255">
        <v>155</v>
      </c>
      <c r="D255" t="s">
        <v>1042</v>
      </c>
      <c r="E255" s="1">
        <v>45006</v>
      </c>
      <c r="F255">
        <v>70</v>
      </c>
      <c r="G255">
        <v>4.4000000000000004</v>
      </c>
      <c r="H255">
        <v>2023</v>
      </c>
      <c r="I255" t="s">
        <v>1033</v>
      </c>
      <c r="J255" t="s">
        <v>1031</v>
      </c>
      <c r="K255">
        <v>4</v>
      </c>
    </row>
    <row r="256" spans="1:11" x14ac:dyDescent="0.3">
      <c r="A256" t="s">
        <v>1300</v>
      </c>
      <c r="B256" t="s">
        <v>1021</v>
      </c>
      <c r="C256">
        <v>63</v>
      </c>
      <c r="D256" t="s">
        <v>1042</v>
      </c>
      <c r="E256" s="1">
        <v>45006</v>
      </c>
      <c r="F256">
        <v>148</v>
      </c>
      <c r="G256">
        <v>5</v>
      </c>
      <c r="H256">
        <v>2023</v>
      </c>
      <c r="I256" t="s">
        <v>1033</v>
      </c>
      <c r="J256" t="s">
        <v>1019</v>
      </c>
      <c r="K256">
        <v>5</v>
      </c>
    </row>
    <row r="257" spans="1:11" x14ac:dyDescent="0.3">
      <c r="A257" t="s">
        <v>1301</v>
      </c>
      <c r="B257" t="s">
        <v>1036</v>
      </c>
      <c r="C257">
        <v>59</v>
      </c>
      <c r="D257" t="s">
        <v>1029</v>
      </c>
      <c r="E257" s="1">
        <v>45006</v>
      </c>
      <c r="F257">
        <v>215</v>
      </c>
      <c r="G257">
        <v>4.0999999999999996</v>
      </c>
      <c r="H257">
        <v>2023</v>
      </c>
      <c r="I257" t="s">
        <v>1033</v>
      </c>
      <c r="J257" t="s">
        <v>1034</v>
      </c>
      <c r="K257">
        <v>4</v>
      </c>
    </row>
    <row r="258" spans="1:11" x14ac:dyDescent="0.3">
      <c r="A258" t="s">
        <v>1302</v>
      </c>
      <c r="B258" t="s">
        <v>1036</v>
      </c>
      <c r="C258">
        <v>144</v>
      </c>
      <c r="D258" t="s">
        <v>1024</v>
      </c>
      <c r="E258" s="1">
        <v>45006</v>
      </c>
      <c r="F258">
        <v>124</v>
      </c>
      <c r="G258">
        <v>4.4000000000000004</v>
      </c>
      <c r="H258">
        <v>2023</v>
      </c>
      <c r="I258" t="s">
        <v>1033</v>
      </c>
      <c r="J258" t="s">
        <v>1031</v>
      </c>
      <c r="K258">
        <v>4</v>
      </c>
    </row>
    <row r="259" spans="1:11" x14ac:dyDescent="0.3">
      <c r="A259" t="s">
        <v>1303</v>
      </c>
      <c r="B259" t="s">
        <v>1059</v>
      </c>
      <c r="C259">
        <v>113</v>
      </c>
      <c r="D259" t="s">
        <v>1038</v>
      </c>
      <c r="E259" s="1">
        <v>45006</v>
      </c>
      <c r="F259">
        <v>168</v>
      </c>
      <c r="G259">
        <v>4.0999999999999996</v>
      </c>
      <c r="H259">
        <v>2023</v>
      </c>
      <c r="I259" t="s">
        <v>1033</v>
      </c>
      <c r="J259" t="s">
        <v>1019</v>
      </c>
      <c r="K259">
        <v>4</v>
      </c>
    </row>
    <row r="260" spans="1:11" x14ac:dyDescent="0.3">
      <c r="A260" t="s">
        <v>1304</v>
      </c>
      <c r="B260" t="s">
        <v>1068</v>
      </c>
      <c r="C260">
        <v>154</v>
      </c>
      <c r="D260" t="s">
        <v>1017</v>
      </c>
      <c r="E260" s="1">
        <v>45006</v>
      </c>
      <c r="F260">
        <v>90</v>
      </c>
      <c r="G260">
        <v>4.5</v>
      </c>
      <c r="H260">
        <v>2023</v>
      </c>
      <c r="I260" t="s">
        <v>1033</v>
      </c>
      <c r="J260" t="s">
        <v>1031</v>
      </c>
      <c r="K260">
        <v>5</v>
      </c>
    </row>
    <row r="261" spans="1:11" x14ac:dyDescent="0.3">
      <c r="A261" t="s">
        <v>1305</v>
      </c>
      <c r="B261" t="s">
        <v>1068</v>
      </c>
      <c r="C261">
        <v>58</v>
      </c>
      <c r="D261" t="s">
        <v>1029</v>
      </c>
      <c r="E261" s="1">
        <v>45007</v>
      </c>
      <c r="F261">
        <v>176</v>
      </c>
      <c r="G261">
        <v>4.2</v>
      </c>
      <c r="H261">
        <v>2023</v>
      </c>
      <c r="I261" t="s">
        <v>1048</v>
      </c>
      <c r="J261" t="s">
        <v>1034</v>
      </c>
      <c r="K261">
        <v>4</v>
      </c>
    </row>
    <row r="262" spans="1:11" x14ac:dyDescent="0.3">
      <c r="A262" t="s">
        <v>1306</v>
      </c>
      <c r="B262" t="s">
        <v>1028</v>
      </c>
      <c r="C262">
        <v>63</v>
      </c>
      <c r="D262" t="s">
        <v>1042</v>
      </c>
      <c r="E262" s="1">
        <v>45007</v>
      </c>
      <c r="F262">
        <v>87</v>
      </c>
      <c r="G262">
        <v>4.5999999999999996</v>
      </c>
      <c r="H262">
        <v>2023</v>
      </c>
      <c r="I262" t="s">
        <v>1048</v>
      </c>
      <c r="J262" t="s">
        <v>1019</v>
      </c>
      <c r="K262">
        <v>5</v>
      </c>
    </row>
    <row r="263" spans="1:11" x14ac:dyDescent="0.3">
      <c r="A263" t="s">
        <v>1307</v>
      </c>
      <c r="B263" t="s">
        <v>1055</v>
      </c>
      <c r="C263">
        <v>59</v>
      </c>
      <c r="D263" t="s">
        <v>1024</v>
      </c>
      <c r="E263" s="1">
        <v>45007</v>
      </c>
      <c r="F263">
        <v>128</v>
      </c>
      <c r="G263">
        <v>4.5</v>
      </c>
      <c r="H263">
        <v>2023</v>
      </c>
      <c r="I263" t="s">
        <v>1048</v>
      </c>
      <c r="J263" t="s">
        <v>1034</v>
      </c>
      <c r="K263">
        <v>5</v>
      </c>
    </row>
    <row r="264" spans="1:11" x14ac:dyDescent="0.3">
      <c r="A264" t="s">
        <v>1308</v>
      </c>
      <c r="B264" t="s">
        <v>1098</v>
      </c>
      <c r="C264">
        <v>129</v>
      </c>
      <c r="D264" t="s">
        <v>1042</v>
      </c>
      <c r="E264" s="1">
        <v>45007</v>
      </c>
      <c r="F264">
        <v>120</v>
      </c>
      <c r="G264">
        <v>4.0999999999999996</v>
      </c>
      <c r="H264">
        <v>2023</v>
      </c>
      <c r="I264" t="s">
        <v>1048</v>
      </c>
      <c r="J264" t="s">
        <v>1031</v>
      </c>
      <c r="K264">
        <v>4</v>
      </c>
    </row>
    <row r="265" spans="1:11" x14ac:dyDescent="0.3">
      <c r="A265" t="s">
        <v>1309</v>
      </c>
      <c r="B265" t="s">
        <v>1047</v>
      </c>
      <c r="C265">
        <v>101</v>
      </c>
      <c r="D265" t="s">
        <v>1038</v>
      </c>
      <c r="E265" s="1">
        <v>45007</v>
      </c>
      <c r="F265">
        <v>130</v>
      </c>
      <c r="G265">
        <v>4.8</v>
      </c>
      <c r="H265">
        <v>2023</v>
      </c>
      <c r="I265" t="s">
        <v>1048</v>
      </c>
      <c r="J265" t="s">
        <v>1019</v>
      </c>
      <c r="K265">
        <v>5</v>
      </c>
    </row>
    <row r="266" spans="1:11" x14ac:dyDescent="0.3">
      <c r="A266" t="s">
        <v>1310</v>
      </c>
      <c r="B266" t="s">
        <v>1065</v>
      </c>
      <c r="C266">
        <v>154</v>
      </c>
      <c r="D266" t="s">
        <v>1024</v>
      </c>
      <c r="E266" s="1">
        <v>45007</v>
      </c>
      <c r="F266">
        <v>172</v>
      </c>
      <c r="G266">
        <v>3.1</v>
      </c>
      <c r="H266">
        <v>2023</v>
      </c>
      <c r="I266" t="s">
        <v>1048</v>
      </c>
      <c r="J266" t="s">
        <v>1031</v>
      </c>
      <c r="K266">
        <v>3</v>
      </c>
    </row>
    <row r="267" spans="1:11" x14ac:dyDescent="0.3">
      <c r="A267" t="s">
        <v>1311</v>
      </c>
      <c r="B267" t="s">
        <v>1041</v>
      </c>
      <c r="C267">
        <v>131</v>
      </c>
      <c r="D267" t="s">
        <v>1024</v>
      </c>
      <c r="E267" s="1">
        <v>45007</v>
      </c>
      <c r="F267">
        <v>58</v>
      </c>
      <c r="G267">
        <v>4.9000000000000004</v>
      </c>
      <c r="H267">
        <v>2023</v>
      </c>
      <c r="I267" t="s">
        <v>1048</v>
      </c>
      <c r="J267" t="s">
        <v>1031</v>
      </c>
      <c r="K267">
        <v>5</v>
      </c>
    </row>
    <row r="268" spans="1:11" x14ac:dyDescent="0.3">
      <c r="A268" t="s">
        <v>1312</v>
      </c>
      <c r="B268" t="s">
        <v>1036</v>
      </c>
      <c r="C268">
        <v>111</v>
      </c>
      <c r="D268" t="s">
        <v>1038</v>
      </c>
      <c r="E268" s="1">
        <v>45008</v>
      </c>
      <c r="F268">
        <v>86</v>
      </c>
      <c r="G268">
        <v>4.0999999999999996</v>
      </c>
      <c r="H268">
        <v>2023</v>
      </c>
      <c r="I268" t="s">
        <v>1052</v>
      </c>
      <c r="J268" t="s">
        <v>1019</v>
      </c>
      <c r="K268">
        <v>4</v>
      </c>
    </row>
    <row r="269" spans="1:11" x14ac:dyDescent="0.3">
      <c r="A269" t="s">
        <v>1313</v>
      </c>
      <c r="B269" t="s">
        <v>1068</v>
      </c>
      <c r="C269">
        <v>142</v>
      </c>
      <c r="D269" t="s">
        <v>1038</v>
      </c>
      <c r="E269" s="1">
        <v>45009</v>
      </c>
      <c r="F269">
        <v>31</v>
      </c>
      <c r="G269">
        <v>4.4000000000000004</v>
      </c>
      <c r="H269">
        <v>2023</v>
      </c>
      <c r="I269" t="s">
        <v>411</v>
      </c>
      <c r="J269" t="s">
        <v>1031</v>
      </c>
      <c r="K269">
        <v>4</v>
      </c>
    </row>
    <row r="270" spans="1:11" x14ac:dyDescent="0.3">
      <c r="A270" t="s">
        <v>1314</v>
      </c>
      <c r="B270" t="s">
        <v>1023</v>
      </c>
      <c r="C270">
        <v>93</v>
      </c>
      <c r="D270" t="s">
        <v>1042</v>
      </c>
      <c r="E270" s="1">
        <v>45009</v>
      </c>
      <c r="F270">
        <v>72</v>
      </c>
      <c r="G270">
        <v>4.4000000000000004</v>
      </c>
      <c r="H270">
        <v>2023</v>
      </c>
      <c r="I270" t="s">
        <v>411</v>
      </c>
      <c r="J270" t="s">
        <v>1019</v>
      </c>
      <c r="K270">
        <v>4</v>
      </c>
    </row>
    <row r="271" spans="1:11" x14ac:dyDescent="0.3">
      <c r="A271" t="s">
        <v>1315</v>
      </c>
      <c r="B271" t="s">
        <v>1068</v>
      </c>
      <c r="C271">
        <v>125</v>
      </c>
      <c r="D271" t="s">
        <v>1017</v>
      </c>
      <c r="E271" s="1">
        <v>45010</v>
      </c>
      <c r="F271">
        <v>27</v>
      </c>
      <c r="G271">
        <v>3</v>
      </c>
      <c r="H271">
        <v>2023</v>
      </c>
      <c r="I271" t="s">
        <v>1062</v>
      </c>
      <c r="J271" t="s">
        <v>1031</v>
      </c>
      <c r="K271">
        <v>3</v>
      </c>
    </row>
    <row r="272" spans="1:11" x14ac:dyDescent="0.3">
      <c r="A272" t="s">
        <v>1316</v>
      </c>
      <c r="B272" t="s">
        <v>1098</v>
      </c>
      <c r="C272">
        <v>76</v>
      </c>
      <c r="D272" t="s">
        <v>1024</v>
      </c>
      <c r="E272" s="1">
        <v>45010</v>
      </c>
      <c r="F272">
        <v>110</v>
      </c>
      <c r="G272">
        <v>4.4000000000000004</v>
      </c>
      <c r="H272">
        <v>2023</v>
      </c>
      <c r="I272" t="s">
        <v>1062</v>
      </c>
      <c r="J272" t="s">
        <v>1019</v>
      </c>
      <c r="K272">
        <v>4</v>
      </c>
    </row>
    <row r="273" spans="1:11" x14ac:dyDescent="0.3">
      <c r="A273" t="s">
        <v>1317</v>
      </c>
      <c r="B273" t="s">
        <v>1059</v>
      </c>
      <c r="C273">
        <v>69</v>
      </c>
      <c r="D273" t="s">
        <v>1042</v>
      </c>
      <c r="E273" s="1">
        <v>45010</v>
      </c>
      <c r="F273">
        <v>126</v>
      </c>
      <c r="G273">
        <v>3.7</v>
      </c>
      <c r="H273">
        <v>2023</v>
      </c>
      <c r="I273" t="s">
        <v>1062</v>
      </c>
      <c r="J273" t="s">
        <v>1019</v>
      </c>
      <c r="K273">
        <v>4</v>
      </c>
    </row>
    <row r="274" spans="1:11" x14ac:dyDescent="0.3">
      <c r="A274" t="s">
        <v>1318</v>
      </c>
      <c r="B274" t="s">
        <v>1055</v>
      </c>
      <c r="C274">
        <v>149</v>
      </c>
      <c r="D274" t="s">
        <v>1017</v>
      </c>
      <c r="E274" s="1">
        <v>45010</v>
      </c>
      <c r="F274">
        <v>60</v>
      </c>
      <c r="G274">
        <v>3.9</v>
      </c>
      <c r="H274">
        <v>2023</v>
      </c>
      <c r="I274" t="s">
        <v>1062</v>
      </c>
      <c r="J274" t="s">
        <v>1031</v>
      </c>
      <c r="K274">
        <v>4</v>
      </c>
    </row>
    <row r="275" spans="1:11" x14ac:dyDescent="0.3">
      <c r="A275" t="s">
        <v>1319</v>
      </c>
      <c r="B275" t="s">
        <v>1068</v>
      </c>
      <c r="C275">
        <v>57</v>
      </c>
      <c r="D275" t="s">
        <v>1042</v>
      </c>
      <c r="E275" s="1">
        <v>45010</v>
      </c>
      <c r="F275">
        <v>35</v>
      </c>
      <c r="G275">
        <v>3.5</v>
      </c>
      <c r="H275">
        <v>2023</v>
      </c>
      <c r="I275" t="s">
        <v>1062</v>
      </c>
      <c r="J275" t="s">
        <v>1034</v>
      </c>
      <c r="K275">
        <v>4</v>
      </c>
    </row>
    <row r="276" spans="1:11" x14ac:dyDescent="0.3">
      <c r="A276" t="s">
        <v>1320</v>
      </c>
      <c r="B276" t="s">
        <v>1021</v>
      </c>
      <c r="C276">
        <v>113</v>
      </c>
      <c r="D276" t="s">
        <v>1024</v>
      </c>
      <c r="E276" s="1">
        <v>45010</v>
      </c>
      <c r="F276">
        <v>81</v>
      </c>
      <c r="G276">
        <v>3.5</v>
      </c>
      <c r="H276">
        <v>2023</v>
      </c>
      <c r="I276" t="s">
        <v>1062</v>
      </c>
      <c r="J276" t="s">
        <v>1019</v>
      </c>
      <c r="K276">
        <v>4</v>
      </c>
    </row>
    <row r="277" spans="1:11" x14ac:dyDescent="0.3">
      <c r="A277" t="s">
        <v>1321</v>
      </c>
      <c r="B277" t="s">
        <v>1016</v>
      </c>
      <c r="C277">
        <v>160</v>
      </c>
      <c r="D277" t="s">
        <v>1017</v>
      </c>
      <c r="E277" s="1">
        <v>45010</v>
      </c>
      <c r="F277">
        <v>116</v>
      </c>
      <c r="G277">
        <v>3.4</v>
      </c>
      <c r="H277">
        <v>2023</v>
      </c>
      <c r="I277" t="s">
        <v>1062</v>
      </c>
      <c r="J277" t="s">
        <v>1031</v>
      </c>
      <c r="K277">
        <v>3</v>
      </c>
    </row>
    <row r="278" spans="1:11" x14ac:dyDescent="0.3">
      <c r="A278" t="s">
        <v>1322</v>
      </c>
      <c r="B278" t="s">
        <v>1028</v>
      </c>
      <c r="C278">
        <v>158</v>
      </c>
      <c r="D278" t="s">
        <v>1029</v>
      </c>
      <c r="E278" s="1">
        <v>45010</v>
      </c>
      <c r="F278">
        <v>60</v>
      </c>
      <c r="G278">
        <v>4.5</v>
      </c>
      <c r="H278">
        <v>2023</v>
      </c>
      <c r="I278" t="s">
        <v>1062</v>
      </c>
      <c r="J278" t="s">
        <v>1031</v>
      </c>
      <c r="K278">
        <v>5</v>
      </c>
    </row>
    <row r="279" spans="1:11" x14ac:dyDescent="0.3">
      <c r="A279" t="s">
        <v>1323</v>
      </c>
      <c r="B279" t="s">
        <v>1059</v>
      </c>
      <c r="C279">
        <v>77</v>
      </c>
      <c r="D279" t="s">
        <v>1017</v>
      </c>
      <c r="E279" s="1">
        <v>45011</v>
      </c>
      <c r="F279">
        <v>130</v>
      </c>
      <c r="G279">
        <v>4.2</v>
      </c>
      <c r="H279">
        <v>2023</v>
      </c>
      <c r="I279" t="s">
        <v>1018</v>
      </c>
      <c r="J279" t="s">
        <v>1019</v>
      </c>
      <c r="K279">
        <v>4</v>
      </c>
    </row>
    <row r="280" spans="1:11" x14ac:dyDescent="0.3">
      <c r="A280" t="s">
        <v>1324</v>
      </c>
      <c r="B280" t="s">
        <v>1045</v>
      </c>
      <c r="C280">
        <v>118</v>
      </c>
      <c r="D280" t="s">
        <v>1038</v>
      </c>
      <c r="E280" s="1">
        <v>45011</v>
      </c>
      <c r="F280">
        <v>99</v>
      </c>
      <c r="G280">
        <v>5</v>
      </c>
      <c r="H280">
        <v>2023</v>
      </c>
      <c r="I280" t="s">
        <v>1018</v>
      </c>
      <c r="J280" t="s">
        <v>1019</v>
      </c>
      <c r="K280">
        <v>5</v>
      </c>
    </row>
    <row r="281" spans="1:11" x14ac:dyDescent="0.3">
      <c r="A281" t="s">
        <v>1325</v>
      </c>
      <c r="B281" t="s">
        <v>1065</v>
      </c>
      <c r="C281">
        <v>75</v>
      </c>
      <c r="D281" t="s">
        <v>1024</v>
      </c>
      <c r="E281" s="1">
        <v>45011</v>
      </c>
      <c r="F281">
        <v>135</v>
      </c>
      <c r="G281">
        <v>4.7</v>
      </c>
      <c r="H281">
        <v>2023</v>
      </c>
      <c r="I281" t="s">
        <v>1018</v>
      </c>
      <c r="J281" t="s">
        <v>1019</v>
      </c>
      <c r="K281">
        <v>5</v>
      </c>
    </row>
    <row r="282" spans="1:11" x14ac:dyDescent="0.3">
      <c r="A282" t="s">
        <v>1326</v>
      </c>
      <c r="B282" t="s">
        <v>1021</v>
      </c>
      <c r="C282">
        <v>103</v>
      </c>
      <c r="D282" t="s">
        <v>1017</v>
      </c>
      <c r="E282" s="1">
        <v>45011</v>
      </c>
      <c r="F282">
        <v>42</v>
      </c>
      <c r="G282">
        <v>2.8</v>
      </c>
      <c r="H282">
        <v>2023</v>
      </c>
      <c r="I282" t="s">
        <v>1018</v>
      </c>
      <c r="J282" t="s">
        <v>1019</v>
      </c>
      <c r="K282">
        <v>3</v>
      </c>
    </row>
    <row r="283" spans="1:11" x14ac:dyDescent="0.3">
      <c r="A283" t="s">
        <v>1327</v>
      </c>
      <c r="B283" t="s">
        <v>1059</v>
      </c>
      <c r="C283">
        <v>116</v>
      </c>
      <c r="D283" t="s">
        <v>1038</v>
      </c>
      <c r="E283" s="1">
        <v>45012</v>
      </c>
      <c r="F283">
        <v>63</v>
      </c>
      <c r="G283">
        <v>3.4</v>
      </c>
      <c r="H283">
        <v>2023</v>
      </c>
      <c r="I283" t="s">
        <v>1030</v>
      </c>
      <c r="J283" t="s">
        <v>1019</v>
      </c>
      <c r="K283">
        <v>3</v>
      </c>
    </row>
    <row r="284" spans="1:11" x14ac:dyDescent="0.3">
      <c r="A284" t="s">
        <v>1328</v>
      </c>
      <c r="B284" t="s">
        <v>1036</v>
      </c>
      <c r="C284">
        <v>61</v>
      </c>
      <c r="D284" t="s">
        <v>1029</v>
      </c>
      <c r="E284" s="1">
        <v>45012</v>
      </c>
      <c r="F284">
        <v>140</v>
      </c>
      <c r="G284">
        <v>1.8</v>
      </c>
      <c r="H284">
        <v>2023</v>
      </c>
      <c r="I284" t="s">
        <v>1030</v>
      </c>
      <c r="J284" t="s">
        <v>1019</v>
      </c>
      <c r="K284">
        <v>2</v>
      </c>
    </row>
    <row r="285" spans="1:11" x14ac:dyDescent="0.3">
      <c r="A285" t="s">
        <v>1329</v>
      </c>
      <c r="B285" t="s">
        <v>1068</v>
      </c>
      <c r="C285">
        <v>126</v>
      </c>
      <c r="D285" t="s">
        <v>1024</v>
      </c>
      <c r="E285" s="1">
        <v>45012</v>
      </c>
      <c r="F285">
        <v>128</v>
      </c>
      <c r="G285">
        <v>4.2</v>
      </c>
      <c r="H285">
        <v>2023</v>
      </c>
      <c r="I285" t="s">
        <v>1030</v>
      </c>
      <c r="J285" t="s">
        <v>1031</v>
      </c>
      <c r="K285">
        <v>4</v>
      </c>
    </row>
    <row r="286" spans="1:11" x14ac:dyDescent="0.3">
      <c r="A286" t="s">
        <v>1330</v>
      </c>
      <c r="B286" t="s">
        <v>1047</v>
      </c>
      <c r="C286">
        <v>141</v>
      </c>
      <c r="D286" t="s">
        <v>1042</v>
      </c>
      <c r="E286" s="1">
        <v>45012</v>
      </c>
      <c r="F286">
        <v>80</v>
      </c>
      <c r="G286">
        <v>4.4000000000000004</v>
      </c>
      <c r="H286">
        <v>2023</v>
      </c>
      <c r="I286" t="s">
        <v>1030</v>
      </c>
      <c r="J286" t="s">
        <v>1031</v>
      </c>
      <c r="K286">
        <v>4</v>
      </c>
    </row>
    <row r="287" spans="1:11" x14ac:dyDescent="0.3">
      <c r="A287" t="s">
        <v>1331</v>
      </c>
      <c r="B287" t="s">
        <v>1028</v>
      </c>
      <c r="C287">
        <v>95</v>
      </c>
      <c r="D287" t="s">
        <v>1038</v>
      </c>
      <c r="E287" s="1">
        <v>45012</v>
      </c>
      <c r="F287">
        <v>28</v>
      </c>
      <c r="G287">
        <v>2.7</v>
      </c>
      <c r="H287">
        <v>2023</v>
      </c>
      <c r="I287" t="s">
        <v>1030</v>
      </c>
      <c r="J287" t="s">
        <v>1019</v>
      </c>
      <c r="K287">
        <v>3</v>
      </c>
    </row>
    <row r="288" spans="1:11" x14ac:dyDescent="0.3">
      <c r="A288" t="s">
        <v>1332</v>
      </c>
      <c r="B288" t="s">
        <v>1065</v>
      </c>
      <c r="C288">
        <v>39</v>
      </c>
      <c r="D288" t="s">
        <v>1029</v>
      </c>
      <c r="E288" s="1">
        <v>45013</v>
      </c>
      <c r="F288">
        <v>81</v>
      </c>
      <c r="G288">
        <v>5</v>
      </c>
      <c r="H288">
        <v>2023</v>
      </c>
      <c r="I288" t="s">
        <v>1033</v>
      </c>
      <c r="J288" t="s">
        <v>1034</v>
      </c>
      <c r="K288">
        <v>5</v>
      </c>
    </row>
    <row r="289" spans="1:11" x14ac:dyDescent="0.3">
      <c r="A289" t="s">
        <v>1333</v>
      </c>
      <c r="B289" t="s">
        <v>1021</v>
      </c>
      <c r="C289">
        <v>127</v>
      </c>
      <c r="D289" t="s">
        <v>1024</v>
      </c>
      <c r="E289" s="1">
        <v>45013</v>
      </c>
      <c r="F289">
        <v>99</v>
      </c>
      <c r="G289">
        <v>3.9</v>
      </c>
      <c r="H289">
        <v>2023</v>
      </c>
      <c r="I289" t="s">
        <v>1033</v>
      </c>
      <c r="J289" t="s">
        <v>1031</v>
      </c>
      <c r="K289">
        <v>4</v>
      </c>
    </row>
    <row r="290" spans="1:11" x14ac:dyDescent="0.3">
      <c r="A290" t="s">
        <v>1334</v>
      </c>
      <c r="B290" t="s">
        <v>1036</v>
      </c>
      <c r="C290">
        <v>78</v>
      </c>
      <c r="D290" t="s">
        <v>1024</v>
      </c>
      <c r="E290" s="1">
        <v>45013</v>
      </c>
      <c r="F290">
        <v>43</v>
      </c>
      <c r="G290">
        <v>3.8</v>
      </c>
      <c r="H290">
        <v>2023</v>
      </c>
      <c r="I290" t="s">
        <v>1033</v>
      </c>
      <c r="J290" t="s">
        <v>1019</v>
      </c>
      <c r="K290">
        <v>4</v>
      </c>
    </row>
    <row r="291" spans="1:11" x14ac:dyDescent="0.3">
      <c r="A291" t="s">
        <v>1335</v>
      </c>
      <c r="B291" t="s">
        <v>1045</v>
      </c>
      <c r="C291">
        <v>40</v>
      </c>
      <c r="D291" t="s">
        <v>1024</v>
      </c>
      <c r="E291" s="1">
        <v>45013</v>
      </c>
      <c r="F291">
        <v>34</v>
      </c>
      <c r="G291">
        <v>4.5999999999999996</v>
      </c>
      <c r="H291">
        <v>2023</v>
      </c>
      <c r="I291" t="s">
        <v>1033</v>
      </c>
      <c r="J291" t="s">
        <v>1034</v>
      </c>
      <c r="K291">
        <v>5</v>
      </c>
    </row>
    <row r="292" spans="1:11" x14ac:dyDescent="0.3">
      <c r="A292" t="s">
        <v>1336</v>
      </c>
      <c r="B292" t="s">
        <v>1036</v>
      </c>
      <c r="C292">
        <v>56</v>
      </c>
      <c r="D292" t="s">
        <v>1029</v>
      </c>
      <c r="E292" s="1">
        <v>45013</v>
      </c>
      <c r="F292">
        <v>225</v>
      </c>
      <c r="G292">
        <v>4.5999999999999996</v>
      </c>
      <c r="H292">
        <v>2023</v>
      </c>
      <c r="I292" t="s">
        <v>1033</v>
      </c>
      <c r="J292" t="s">
        <v>1034</v>
      </c>
      <c r="K292">
        <v>5</v>
      </c>
    </row>
    <row r="293" spans="1:11" x14ac:dyDescent="0.3">
      <c r="A293" t="s">
        <v>1337</v>
      </c>
      <c r="B293" t="s">
        <v>1065</v>
      </c>
      <c r="C293">
        <v>59</v>
      </c>
      <c r="D293" t="s">
        <v>1042</v>
      </c>
      <c r="E293" s="1">
        <v>45013</v>
      </c>
      <c r="F293">
        <v>210</v>
      </c>
      <c r="G293">
        <v>4.5</v>
      </c>
      <c r="H293">
        <v>2023</v>
      </c>
      <c r="I293" t="s">
        <v>1033</v>
      </c>
      <c r="J293" t="s">
        <v>1034</v>
      </c>
      <c r="K293">
        <v>5</v>
      </c>
    </row>
    <row r="294" spans="1:11" x14ac:dyDescent="0.3">
      <c r="A294" t="s">
        <v>1338</v>
      </c>
      <c r="B294" t="s">
        <v>1068</v>
      </c>
      <c r="C294">
        <v>30</v>
      </c>
      <c r="D294" t="s">
        <v>1024</v>
      </c>
      <c r="E294" s="1">
        <v>45013</v>
      </c>
      <c r="F294">
        <v>168</v>
      </c>
      <c r="G294">
        <v>4.2</v>
      </c>
      <c r="H294">
        <v>2023</v>
      </c>
      <c r="I294" t="s">
        <v>1033</v>
      </c>
      <c r="J294" t="s">
        <v>1056</v>
      </c>
      <c r="K294">
        <v>4</v>
      </c>
    </row>
    <row r="295" spans="1:11" x14ac:dyDescent="0.3">
      <c r="A295" t="s">
        <v>1339</v>
      </c>
      <c r="B295" t="s">
        <v>1045</v>
      </c>
      <c r="C295">
        <v>63</v>
      </c>
      <c r="D295" t="s">
        <v>1017</v>
      </c>
      <c r="E295" s="1">
        <v>45014</v>
      </c>
      <c r="F295">
        <v>82</v>
      </c>
      <c r="G295">
        <v>4.5</v>
      </c>
      <c r="H295">
        <v>2023</v>
      </c>
      <c r="I295" t="s">
        <v>1048</v>
      </c>
      <c r="J295" t="s">
        <v>1019</v>
      </c>
      <c r="K295">
        <v>5</v>
      </c>
    </row>
    <row r="296" spans="1:11" x14ac:dyDescent="0.3">
      <c r="A296" t="s">
        <v>1340</v>
      </c>
      <c r="B296" t="s">
        <v>1023</v>
      </c>
      <c r="C296">
        <v>56</v>
      </c>
      <c r="D296" t="s">
        <v>1038</v>
      </c>
      <c r="E296" s="1">
        <v>45014</v>
      </c>
      <c r="F296">
        <v>88</v>
      </c>
      <c r="G296">
        <v>4.0999999999999996</v>
      </c>
      <c r="H296">
        <v>2023</v>
      </c>
      <c r="I296" t="s">
        <v>1048</v>
      </c>
      <c r="J296" t="s">
        <v>1034</v>
      </c>
      <c r="K296">
        <v>4</v>
      </c>
    </row>
    <row r="297" spans="1:11" x14ac:dyDescent="0.3">
      <c r="A297" t="s">
        <v>1341</v>
      </c>
      <c r="B297" t="s">
        <v>1098</v>
      </c>
      <c r="C297">
        <v>95</v>
      </c>
      <c r="D297" t="s">
        <v>1017</v>
      </c>
      <c r="E297" s="1">
        <v>45014</v>
      </c>
      <c r="F297">
        <v>111</v>
      </c>
      <c r="G297">
        <v>3.3</v>
      </c>
      <c r="H297">
        <v>2023</v>
      </c>
      <c r="I297" t="s">
        <v>1048</v>
      </c>
      <c r="J297" t="s">
        <v>1019</v>
      </c>
      <c r="K297">
        <v>3</v>
      </c>
    </row>
    <row r="298" spans="1:11" x14ac:dyDescent="0.3">
      <c r="A298" t="s">
        <v>1342</v>
      </c>
      <c r="B298" t="s">
        <v>1078</v>
      </c>
      <c r="C298">
        <v>128</v>
      </c>
      <c r="D298" t="s">
        <v>1042</v>
      </c>
      <c r="E298" s="1">
        <v>45014</v>
      </c>
      <c r="F298">
        <v>60</v>
      </c>
      <c r="G298">
        <v>3.8</v>
      </c>
      <c r="H298">
        <v>2023</v>
      </c>
      <c r="I298" t="s">
        <v>1048</v>
      </c>
      <c r="J298" t="s">
        <v>1031</v>
      </c>
      <c r="K298">
        <v>4</v>
      </c>
    </row>
    <row r="299" spans="1:11" x14ac:dyDescent="0.3">
      <c r="A299" t="s">
        <v>1343</v>
      </c>
      <c r="B299" t="s">
        <v>1028</v>
      </c>
      <c r="C299">
        <v>49</v>
      </c>
      <c r="D299" t="s">
        <v>1017</v>
      </c>
      <c r="E299" s="1">
        <v>45014</v>
      </c>
      <c r="F299">
        <v>80</v>
      </c>
      <c r="G299">
        <v>3</v>
      </c>
      <c r="H299">
        <v>2023</v>
      </c>
      <c r="I299" t="s">
        <v>1048</v>
      </c>
      <c r="J299" t="s">
        <v>1034</v>
      </c>
      <c r="K299">
        <v>3</v>
      </c>
    </row>
    <row r="300" spans="1:11" x14ac:dyDescent="0.3">
      <c r="A300" t="s">
        <v>1344</v>
      </c>
      <c r="B300" t="s">
        <v>1078</v>
      </c>
      <c r="C300">
        <v>89</v>
      </c>
      <c r="D300" t="s">
        <v>1029</v>
      </c>
      <c r="E300" s="1">
        <v>45016</v>
      </c>
      <c r="F300">
        <v>90</v>
      </c>
      <c r="G300">
        <v>4.5999999999999996</v>
      </c>
      <c r="H300">
        <v>2023</v>
      </c>
      <c r="I300" t="s">
        <v>411</v>
      </c>
      <c r="J300" t="s">
        <v>1019</v>
      </c>
      <c r="K300">
        <v>5</v>
      </c>
    </row>
    <row r="301" spans="1:11" x14ac:dyDescent="0.3">
      <c r="A301" t="s">
        <v>1345</v>
      </c>
      <c r="B301" t="s">
        <v>1055</v>
      </c>
      <c r="C301">
        <v>87</v>
      </c>
      <c r="D301" t="s">
        <v>1017</v>
      </c>
      <c r="E301" s="1">
        <v>45016</v>
      </c>
      <c r="F301">
        <v>225</v>
      </c>
      <c r="G301">
        <v>2.9</v>
      </c>
      <c r="H301">
        <v>2023</v>
      </c>
      <c r="I301" t="s">
        <v>411</v>
      </c>
      <c r="J301" t="s">
        <v>1019</v>
      </c>
      <c r="K301">
        <v>3</v>
      </c>
    </row>
    <row r="302" spans="1:11" x14ac:dyDescent="0.3">
      <c r="A302" t="s">
        <v>1346</v>
      </c>
      <c r="B302" t="s">
        <v>1016</v>
      </c>
      <c r="C302">
        <v>60</v>
      </c>
      <c r="D302" t="s">
        <v>1024</v>
      </c>
      <c r="E302" s="1">
        <v>45017</v>
      </c>
      <c r="F302">
        <v>215</v>
      </c>
      <c r="G302">
        <v>3.2</v>
      </c>
      <c r="H302">
        <v>2023</v>
      </c>
      <c r="I302" t="s">
        <v>1062</v>
      </c>
      <c r="J302" t="s">
        <v>1034</v>
      </c>
      <c r="K302">
        <v>3</v>
      </c>
    </row>
    <row r="303" spans="1:11" x14ac:dyDescent="0.3">
      <c r="A303" t="s">
        <v>1347</v>
      </c>
      <c r="B303" t="s">
        <v>1026</v>
      </c>
      <c r="C303">
        <v>42</v>
      </c>
      <c r="D303" t="s">
        <v>1029</v>
      </c>
      <c r="E303" s="1">
        <v>45017</v>
      </c>
      <c r="F303">
        <v>45</v>
      </c>
      <c r="G303">
        <v>1.5</v>
      </c>
      <c r="H303">
        <v>2023</v>
      </c>
      <c r="I303" t="s">
        <v>1062</v>
      </c>
      <c r="J303" t="s">
        <v>1034</v>
      </c>
      <c r="K303">
        <v>2</v>
      </c>
    </row>
    <row r="304" spans="1:11" x14ac:dyDescent="0.3">
      <c r="A304" t="s">
        <v>1348</v>
      </c>
      <c r="B304" t="s">
        <v>1041</v>
      </c>
      <c r="C304">
        <v>99</v>
      </c>
      <c r="D304" t="s">
        <v>1024</v>
      </c>
      <c r="E304" s="1">
        <v>45017</v>
      </c>
      <c r="F304">
        <v>74</v>
      </c>
      <c r="G304">
        <v>4</v>
      </c>
      <c r="H304">
        <v>2023</v>
      </c>
      <c r="I304" t="s">
        <v>1062</v>
      </c>
      <c r="J304" t="s">
        <v>1019</v>
      </c>
      <c r="K304">
        <v>4</v>
      </c>
    </row>
    <row r="305" spans="1:11" x14ac:dyDescent="0.3">
      <c r="A305" t="s">
        <v>1349</v>
      </c>
      <c r="B305" t="s">
        <v>1023</v>
      </c>
      <c r="C305">
        <v>20</v>
      </c>
      <c r="D305" t="s">
        <v>1029</v>
      </c>
      <c r="E305" s="1">
        <v>45017</v>
      </c>
      <c r="F305">
        <v>60</v>
      </c>
      <c r="G305">
        <v>3.6</v>
      </c>
      <c r="H305">
        <v>2023</v>
      </c>
      <c r="I305" t="s">
        <v>1062</v>
      </c>
      <c r="J305" t="s">
        <v>1056</v>
      </c>
      <c r="K305">
        <v>4</v>
      </c>
    </row>
    <row r="306" spans="1:11" x14ac:dyDescent="0.3">
      <c r="A306" t="s">
        <v>1350</v>
      </c>
      <c r="B306" t="s">
        <v>1045</v>
      </c>
      <c r="C306">
        <v>65</v>
      </c>
      <c r="D306" t="s">
        <v>1024</v>
      </c>
      <c r="E306" s="1">
        <v>45017</v>
      </c>
      <c r="F306">
        <v>64</v>
      </c>
      <c r="G306">
        <v>3.7</v>
      </c>
      <c r="H306">
        <v>2023</v>
      </c>
      <c r="I306" t="s">
        <v>1062</v>
      </c>
      <c r="J306" t="s">
        <v>1019</v>
      </c>
      <c r="K306">
        <v>4</v>
      </c>
    </row>
    <row r="307" spans="1:11" x14ac:dyDescent="0.3">
      <c r="A307" t="s">
        <v>1351</v>
      </c>
      <c r="B307" t="s">
        <v>1068</v>
      </c>
      <c r="C307">
        <v>71</v>
      </c>
      <c r="D307" t="s">
        <v>1017</v>
      </c>
      <c r="E307" s="1">
        <v>45018</v>
      </c>
      <c r="F307">
        <v>110</v>
      </c>
      <c r="G307">
        <v>4.8</v>
      </c>
      <c r="H307">
        <v>2023</v>
      </c>
      <c r="I307" t="s">
        <v>1018</v>
      </c>
      <c r="J307" t="s">
        <v>1019</v>
      </c>
      <c r="K307">
        <v>5</v>
      </c>
    </row>
    <row r="308" spans="1:11" x14ac:dyDescent="0.3">
      <c r="A308" t="s">
        <v>1352</v>
      </c>
      <c r="B308" t="s">
        <v>1021</v>
      </c>
      <c r="C308">
        <v>95</v>
      </c>
      <c r="D308" t="s">
        <v>1042</v>
      </c>
      <c r="E308" s="1">
        <v>45018</v>
      </c>
      <c r="F308">
        <v>52</v>
      </c>
      <c r="G308">
        <v>1.2</v>
      </c>
      <c r="H308">
        <v>2023</v>
      </c>
      <c r="I308" t="s">
        <v>1018</v>
      </c>
      <c r="J308" t="s">
        <v>1019</v>
      </c>
      <c r="K308">
        <v>1</v>
      </c>
    </row>
    <row r="309" spans="1:11" x14ac:dyDescent="0.3">
      <c r="A309" t="s">
        <v>1353</v>
      </c>
      <c r="B309" t="s">
        <v>1023</v>
      </c>
      <c r="C309">
        <v>81</v>
      </c>
      <c r="D309" t="s">
        <v>1038</v>
      </c>
      <c r="E309" s="1">
        <v>45019</v>
      </c>
      <c r="F309">
        <v>160</v>
      </c>
      <c r="G309">
        <v>4.7</v>
      </c>
      <c r="H309">
        <v>2023</v>
      </c>
      <c r="I309" t="s">
        <v>1030</v>
      </c>
      <c r="J309" t="s">
        <v>1019</v>
      </c>
      <c r="K309">
        <v>5</v>
      </c>
    </row>
    <row r="310" spans="1:11" x14ac:dyDescent="0.3">
      <c r="A310" t="s">
        <v>1354</v>
      </c>
      <c r="B310" t="s">
        <v>1059</v>
      </c>
      <c r="C310">
        <v>137</v>
      </c>
      <c r="D310" t="s">
        <v>1038</v>
      </c>
      <c r="E310" s="1">
        <v>45019</v>
      </c>
      <c r="F310">
        <v>215</v>
      </c>
      <c r="G310">
        <v>4.7</v>
      </c>
      <c r="H310">
        <v>2023</v>
      </c>
      <c r="I310" t="s">
        <v>1030</v>
      </c>
      <c r="J310" t="s">
        <v>1031</v>
      </c>
      <c r="K310">
        <v>5</v>
      </c>
    </row>
    <row r="311" spans="1:11" x14ac:dyDescent="0.3">
      <c r="A311" t="s">
        <v>1355</v>
      </c>
      <c r="B311" t="s">
        <v>1059</v>
      </c>
      <c r="C311">
        <v>40</v>
      </c>
      <c r="D311" t="s">
        <v>1042</v>
      </c>
      <c r="E311" s="1">
        <v>45019</v>
      </c>
      <c r="F311">
        <v>220</v>
      </c>
      <c r="G311">
        <v>4.5</v>
      </c>
      <c r="H311">
        <v>2023</v>
      </c>
      <c r="I311" t="s">
        <v>1030</v>
      </c>
      <c r="J311" t="s">
        <v>1034</v>
      </c>
      <c r="K311">
        <v>5</v>
      </c>
    </row>
    <row r="312" spans="1:11" x14ac:dyDescent="0.3">
      <c r="A312" t="s">
        <v>1356</v>
      </c>
      <c r="B312" t="s">
        <v>1041</v>
      </c>
      <c r="C312">
        <v>111</v>
      </c>
      <c r="D312" t="s">
        <v>1024</v>
      </c>
      <c r="E312" s="1">
        <v>45020</v>
      </c>
      <c r="F312">
        <v>175</v>
      </c>
      <c r="G312">
        <v>3.5</v>
      </c>
      <c r="H312">
        <v>2023</v>
      </c>
      <c r="I312" t="s">
        <v>1033</v>
      </c>
      <c r="J312" t="s">
        <v>1019</v>
      </c>
      <c r="K312">
        <v>4</v>
      </c>
    </row>
    <row r="313" spans="1:11" x14ac:dyDescent="0.3">
      <c r="A313" t="s">
        <v>1357</v>
      </c>
      <c r="B313" t="s">
        <v>1068</v>
      </c>
      <c r="C313">
        <v>106</v>
      </c>
      <c r="D313" t="s">
        <v>1024</v>
      </c>
      <c r="E313" s="1">
        <v>45020</v>
      </c>
      <c r="F313">
        <v>145</v>
      </c>
      <c r="G313">
        <v>4.0999999999999996</v>
      </c>
      <c r="H313">
        <v>2023</v>
      </c>
      <c r="I313" t="s">
        <v>1033</v>
      </c>
      <c r="J313" t="s">
        <v>1019</v>
      </c>
      <c r="K313">
        <v>4</v>
      </c>
    </row>
    <row r="314" spans="1:11" x14ac:dyDescent="0.3">
      <c r="A314" t="s">
        <v>1358</v>
      </c>
      <c r="B314" t="s">
        <v>1026</v>
      </c>
      <c r="C314">
        <v>133</v>
      </c>
      <c r="D314" t="s">
        <v>1029</v>
      </c>
      <c r="E314" s="1">
        <v>45020</v>
      </c>
      <c r="F314">
        <v>72</v>
      </c>
      <c r="G314">
        <v>4.4000000000000004</v>
      </c>
      <c r="H314">
        <v>2023</v>
      </c>
      <c r="I314" t="s">
        <v>1033</v>
      </c>
      <c r="J314" t="s">
        <v>1031</v>
      </c>
      <c r="K314">
        <v>4</v>
      </c>
    </row>
    <row r="315" spans="1:11" x14ac:dyDescent="0.3">
      <c r="A315" t="s">
        <v>1359</v>
      </c>
      <c r="B315" t="s">
        <v>1036</v>
      </c>
      <c r="C315">
        <v>38</v>
      </c>
      <c r="D315" t="s">
        <v>1024</v>
      </c>
      <c r="E315" s="1">
        <v>45021</v>
      </c>
      <c r="F315">
        <v>81</v>
      </c>
      <c r="G315">
        <v>3.6</v>
      </c>
      <c r="H315">
        <v>2023</v>
      </c>
      <c r="I315" t="s">
        <v>1048</v>
      </c>
      <c r="J315" t="s">
        <v>1034</v>
      </c>
      <c r="K315">
        <v>4</v>
      </c>
    </row>
    <row r="316" spans="1:11" x14ac:dyDescent="0.3">
      <c r="A316" t="s">
        <v>1360</v>
      </c>
      <c r="B316" t="s">
        <v>1065</v>
      </c>
      <c r="C316">
        <v>130</v>
      </c>
      <c r="D316" t="s">
        <v>1042</v>
      </c>
      <c r="E316" s="1">
        <v>45021</v>
      </c>
      <c r="F316">
        <v>54</v>
      </c>
      <c r="G316">
        <v>4.0999999999999996</v>
      </c>
      <c r="H316">
        <v>2023</v>
      </c>
      <c r="I316" t="s">
        <v>1048</v>
      </c>
      <c r="J316" t="s">
        <v>1031</v>
      </c>
      <c r="K316">
        <v>4</v>
      </c>
    </row>
    <row r="317" spans="1:11" x14ac:dyDescent="0.3">
      <c r="A317" t="s">
        <v>1361</v>
      </c>
      <c r="B317" t="s">
        <v>1045</v>
      </c>
      <c r="C317">
        <v>23</v>
      </c>
      <c r="D317" t="s">
        <v>1029</v>
      </c>
      <c r="E317" s="1">
        <v>45021</v>
      </c>
      <c r="F317">
        <v>105</v>
      </c>
      <c r="G317">
        <v>4.8</v>
      </c>
      <c r="H317">
        <v>2023</v>
      </c>
      <c r="I317" t="s">
        <v>1048</v>
      </c>
      <c r="J317" t="s">
        <v>1056</v>
      </c>
      <c r="K317">
        <v>5</v>
      </c>
    </row>
    <row r="318" spans="1:11" x14ac:dyDescent="0.3">
      <c r="A318" t="s">
        <v>1362</v>
      </c>
      <c r="B318" t="s">
        <v>1065</v>
      </c>
      <c r="C318">
        <v>124</v>
      </c>
      <c r="D318" t="s">
        <v>1024</v>
      </c>
      <c r="E318" s="1">
        <v>45022</v>
      </c>
      <c r="F318">
        <v>176</v>
      </c>
      <c r="G318">
        <v>3.9</v>
      </c>
      <c r="H318">
        <v>2023</v>
      </c>
      <c r="I318" t="s">
        <v>1052</v>
      </c>
      <c r="J318" t="s">
        <v>1031</v>
      </c>
      <c r="K318">
        <v>4</v>
      </c>
    </row>
    <row r="319" spans="1:11" x14ac:dyDescent="0.3">
      <c r="A319" t="s">
        <v>1363</v>
      </c>
      <c r="B319" t="s">
        <v>1023</v>
      </c>
      <c r="C319">
        <v>107</v>
      </c>
      <c r="D319" t="s">
        <v>1024</v>
      </c>
      <c r="E319" s="1">
        <v>45022</v>
      </c>
      <c r="F319">
        <v>115</v>
      </c>
      <c r="G319">
        <v>3.8</v>
      </c>
      <c r="H319">
        <v>2023</v>
      </c>
      <c r="I319" t="s">
        <v>1052</v>
      </c>
      <c r="J319" t="s">
        <v>1019</v>
      </c>
      <c r="K319">
        <v>4</v>
      </c>
    </row>
    <row r="320" spans="1:11" x14ac:dyDescent="0.3">
      <c r="A320" t="s">
        <v>1364</v>
      </c>
      <c r="B320" t="s">
        <v>1059</v>
      </c>
      <c r="C320">
        <v>60</v>
      </c>
      <c r="D320" t="s">
        <v>1017</v>
      </c>
      <c r="E320" s="1">
        <v>45022</v>
      </c>
      <c r="F320">
        <v>116</v>
      </c>
      <c r="G320">
        <v>3.9</v>
      </c>
      <c r="H320">
        <v>2023</v>
      </c>
      <c r="I320" t="s">
        <v>1052</v>
      </c>
      <c r="J320" t="s">
        <v>1034</v>
      </c>
      <c r="K320">
        <v>4</v>
      </c>
    </row>
    <row r="321" spans="1:11" x14ac:dyDescent="0.3">
      <c r="A321" t="s">
        <v>1365</v>
      </c>
      <c r="B321" t="s">
        <v>1059</v>
      </c>
      <c r="C321">
        <v>158</v>
      </c>
      <c r="D321" t="s">
        <v>1042</v>
      </c>
      <c r="E321" s="1">
        <v>45022</v>
      </c>
      <c r="F321">
        <v>100</v>
      </c>
      <c r="G321">
        <v>4.0999999999999996</v>
      </c>
      <c r="H321">
        <v>2023</v>
      </c>
      <c r="I321" t="s">
        <v>1052</v>
      </c>
      <c r="J321" t="s">
        <v>1031</v>
      </c>
      <c r="K321">
        <v>4</v>
      </c>
    </row>
    <row r="322" spans="1:11" x14ac:dyDescent="0.3">
      <c r="A322" t="s">
        <v>1366</v>
      </c>
      <c r="B322" t="s">
        <v>1055</v>
      </c>
      <c r="C322">
        <v>110</v>
      </c>
      <c r="D322" t="s">
        <v>1042</v>
      </c>
      <c r="E322" s="1">
        <v>45023</v>
      </c>
      <c r="F322">
        <v>36</v>
      </c>
      <c r="G322">
        <v>2.2000000000000002</v>
      </c>
      <c r="H322">
        <v>2023</v>
      </c>
      <c r="I322" t="s">
        <v>411</v>
      </c>
      <c r="J322" t="s">
        <v>1019</v>
      </c>
      <c r="K322">
        <v>2</v>
      </c>
    </row>
    <row r="323" spans="1:11" x14ac:dyDescent="0.3">
      <c r="A323" t="s">
        <v>1367</v>
      </c>
      <c r="B323" t="s">
        <v>1078</v>
      </c>
      <c r="C323">
        <v>70</v>
      </c>
      <c r="D323" t="s">
        <v>1042</v>
      </c>
      <c r="E323" s="1">
        <v>45023</v>
      </c>
      <c r="F323">
        <v>114</v>
      </c>
      <c r="G323">
        <v>5</v>
      </c>
      <c r="H323">
        <v>2023</v>
      </c>
      <c r="I323" t="s">
        <v>411</v>
      </c>
      <c r="J323" t="s">
        <v>1019</v>
      </c>
      <c r="K323">
        <v>5</v>
      </c>
    </row>
    <row r="324" spans="1:11" x14ac:dyDescent="0.3">
      <c r="A324" t="s">
        <v>1368</v>
      </c>
      <c r="B324" t="s">
        <v>1078</v>
      </c>
      <c r="C324">
        <v>150</v>
      </c>
      <c r="D324" t="s">
        <v>1017</v>
      </c>
      <c r="E324" s="1">
        <v>45023</v>
      </c>
      <c r="F324">
        <v>24</v>
      </c>
      <c r="G324">
        <v>3.8</v>
      </c>
      <c r="H324">
        <v>2023</v>
      </c>
      <c r="I324" t="s">
        <v>411</v>
      </c>
      <c r="J324" t="s">
        <v>1031</v>
      </c>
      <c r="K324">
        <v>4</v>
      </c>
    </row>
    <row r="325" spans="1:11" x14ac:dyDescent="0.3">
      <c r="A325" t="s">
        <v>1369</v>
      </c>
      <c r="B325" t="s">
        <v>1036</v>
      </c>
      <c r="C325">
        <v>36</v>
      </c>
      <c r="D325" t="s">
        <v>1024</v>
      </c>
      <c r="E325" s="1">
        <v>45023</v>
      </c>
      <c r="F325">
        <v>135</v>
      </c>
      <c r="G325">
        <v>4.5999999999999996</v>
      </c>
      <c r="H325">
        <v>2023</v>
      </c>
      <c r="I325" t="s">
        <v>411</v>
      </c>
      <c r="J325" t="s">
        <v>1034</v>
      </c>
      <c r="K325">
        <v>5</v>
      </c>
    </row>
    <row r="326" spans="1:11" x14ac:dyDescent="0.3">
      <c r="A326" t="s">
        <v>1370</v>
      </c>
      <c r="B326" t="s">
        <v>1065</v>
      </c>
      <c r="C326">
        <v>74</v>
      </c>
      <c r="D326" t="s">
        <v>1024</v>
      </c>
      <c r="E326" s="1">
        <v>45023</v>
      </c>
      <c r="F326">
        <v>30</v>
      </c>
      <c r="G326">
        <v>4</v>
      </c>
      <c r="H326">
        <v>2023</v>
      </c>
      <c r="I326" t="s">
        <v>411</v>
      </c>
      <c r="J326" t="s">
        <v>1019</v>
      </c>
      <c r="K326">
        <v>4</v>
      </c>
    </row>
    <row r="327" spans="1:11" x14ac:dyDescent="0.3">
      <c r="A327" t="s">
        <v>1371</v>
      </c>
      <c r="B327" t="s">
        <v>1021</v>
      </c>
      <c r="C327">
        <v>75</v>
      </c>
      <c r="D327" t="s">
        <v>1024</v>
      </c>
      <c r="E327" s="1">
        <v>45023</v>
      </c>
      <c r="F327">
        <v>84</v>
      </c>
      <c r="G327">
        <v>2.8</v>
      </c>
      <c r="H327">
        <v>2023</v>
      </c>
      <c r="I327" t="s">
        <v>411</v>
      </c>
      <c r="J327" t="s">
        <v>1019</v>
      </c>
      <c r="K327">
        <v>3</v>
      </c>
    </row>
    <row r="328" spans="1:11" x14ac:dyDescent="0.3">
      <c r="A328" t="s">
        <v>1372</v>
      </c>
      <c r="B328" t="s">
        <v>1098</v>
      </c>
      <c r="C328">
        <v>70</v>
      </c>
      <c r="D328" t="s">
        <v>1038</v>
      </c>
      <c r="E328" s="1">
        <v>45023</v>
      </c>
      <c r="F328">
        <v>42</v>
      </c>
      <c r="G328">
        <v>4.4000000000000004</v>
      </c>
      <c r="H328">
        <v>2023</v>
      </c>
      <c r="I328" t="s">
        <v>411</v>
      </c>
      <c r="J328" t="s">
        <v>1019</v>
      </c>
      <c r="K328">
        <v>4</v>
      </c>
    </row>
    <row r="329" spans="1:11" x14ac:dyDescent="0.3">
      <c r="A329" t="s">
        <v>1373</v>
      </c>
      <c r="B329" t="s">
        <v>1055</v>
      </c>
      <c r="C329">
        <v>23</v>
      </c>
      <c r="D329" t="s">
        <v>1042</v>
      </c>
      <c r="E329" s="1">
        <v>45023</v>
      </c>
      <c r="F329">
        <v>117</v>
      </c>
      <c r="G329">
        <v>2.4</v>
      </c>
      <c r="H329">
        <v>2023</v>
      </c>
      <c r="I329" t="s">
        <v>411</v>
      </c>
      <c r="J329" t="s">
        <v>1056</v>
      </c>
      <c r="K329">
        <v>2</v>
      </c>
    </row>
    <row r="330" spans="1:11" x14ac:dyDescent="0.3">
      <c r="A330" t="s">
        <v>1374</v>
      </c>
      <c r="B330" t="s">
        <v>1041</v>
      </c>
      <c r="C330">
        <v>104</v>
      </c>
      <c r="D330" t="s">
        <v>1029</v>
      </c>
      <c r="E330" s="1">
        <v>45023</v>
      </c>
      <c r="F330">
        <v>164</v>
      </c>
      <c r="G330">
        <v>4</v>
      </c>
      <c r="H330">
        <v>2023</v>
      </c>
      <c r="I330" t="s">
        <v>411</v>
      </c>
      <c r="J330" t="s">
        <v>1019</v>
      </c>
      <c r="K330">
        <v>4</v>
      </c>
    </row>
    <row r="331" spans="1:11" x14ac:dyDescent="0.3">
      <c r="A331" t="s">
        <v>1375</v>
      </c>
      <c r="B331" t="s">
        <v>1078</v>
      </c>
      <c r="C331">
        <v>95</v>
      </c>
      <c r="D331" t="s">
        <v>1038</v>
      </c>
      <c r="E331" s="1">
        <v>45024</v>
      </c>
      <c r="F331">
        <v>123</v>
      </c>
      <c r="G331">
        <v>4.4000000000000004</v>
      </c>
      <c r="H331">
        <v>2023</v>
      </c>
      <c r="I331" t="s">
        <v>1062</v>
      </c>
      <c r="J331" t="s">
        <v>1019</v>
      </c>
      <c r="K331">
        <v>4</v>
      </c>
    </row>
    <row r="332" spans="1:11" x14ac:dyDescent="0.3">
      <c r="A332" t="s">
        <v>1376</v>
      </c>
      <c r="B332" t="s">
        <v>1028</v>
      </c>
      <c r="C332">
        <v>49</v>
      </c>
      <c r="D332" t="s">
        <v>1017</v>
      </c>
      <c r="E332" s="1">
        <v>45024</v>
      </c>
      <c r="F332">
        <v>172</v>
      </c>
      <c r="G332">
        <v>2.9</v>
      </c>
      <c r="H332">
        <v>2023</v>
      </c>
      <c r="I332" t="s">
        <v>1062</v>
      </c>
      <c r="J332" t="s">
        <v>1034</v>
      </c>
      <c r="K332">
        <v>3</v>
      </c>
    </row>
    <row r="333" spans="1:11" x14ac:dyDescent="0.3">
      <c r="A333" t="s">
        <v>1377</v>
      </c>
      <c r="B333" t="s">
        <v>1068</v>
      </c>
      <c r="C333">
        <v>8</v>
      </c>
      <c r="D333" t="s">
        <v>1042</v>
      </c>
      <c r="E333" s="1">
        <v>45024</v>
      </c>
      <c r="F333">
        <v>20</v>
      </c>
      <c r="G333">
        <v>4.8</v>
      </c>
      <c r="H333">
        <v>2023</v>
      </c>
      <c r="I333" t="s">
        <v>1062</v>
      </c>
      <c r="J333" t="s">
        <v>1186</v>
      </c>
      <c r="K333">
        <v>5</v>
      </c>
    </row>
    <row r="334" spans="1:11" x14ac:dyDescent="0.3">
      <c r="A334" t="s">
        <v>1378</v>
      </c>
      <c r="B334" t="s">
        <v>1078</v>
      </c>
      <c r="C334">
        <v>157</v>
      </c>
      <c r="D334" t="s">
        <v>1017</v>
      </c>
      <c r="E334" s="1">
        <v>45024</v>
      </c>
      <c r="F334">
        <v>72</v>
      </c>
      <c r="G334">
        <v>3.7</v>
      </c>
      <c r="H334">
        <v>2023</v>
      </c>
      <c r="I334" t="s">
        <v>1062</v>
      </c>
      <c r="J334" t="s">
        <v>1031</v>
      </c>
      <c r="K334">
        <v>4</v>
      </c>
    </row>
    <row r="335" spans="1:11" x14ac:dyDescent="0.3">
      <c r="A335" t="s">
        <v>1379</v>
      </c>
      <c r="B335" t="s">
        <v>1023</v>
      </c>
      <c r="C335">
        <v>74</v>
      </c>
      <c r="D335" t="s">
        <v>1024</v>
      </c>
      <c r="E335" s="1">
        <v>45024</v>
      </c>
      <c r="F335">
        <v>32</v>
      </c>
      <c r="G335">
        <v>4.8</v>
      </c>
      <c r="H335">
        <v>2023</v>
      </c>
      <c r="I335" t="s">
        <v>1062</v>
      </c>
      <c r="J335" t="s">
        <v>1019</v>
      </c>
      <c r="K335">
        <v>5</v>
      </c>
    </row>
    <row r="336" spans="1:11" x14ac:dyDescent="0.3">
      <c r="A336" t="s">
        <v>1380</v>
      </c>
      <c r="B336" t="s">
        <v>1055</v>
      </c>
      <c r="C336">
        <v>72</v>
      </c>
      <c r="D336" t="s">
        <v>1038</v>
      </c>
      <c r="E336" s="1">
        <v>45024</v>
      </c>
      <c r="F336">
        <v>140</v>
      </c>
      <c r="G336">
        <v>3.2</v>
      </c>
      <c r="H336">
        <v>2023</v>
      </c>
      <c r="I336" t="s">
        <v>1062</v>
      </c>
      <c r="J336" t="s">
        <v>1019</v>
      </c>
      <c r="K336">
        <v>3</v>
      </c>
    </row>
    <row r="337" spans="1:11" x14ac:dyDescent="0.3">
      <c r="A337" t="s">
        <v>1381</v>
      </c>
      <c r="B337" t="s">
        <v>1023</v>
      </c>
      <c r="C337">
        <v>79</v>
      </c>
      <c r="D337" t="s">
        <v>1024</v>
      </c>
      <c r="E337" s="1">
        <v>45025</v>
      </c>
      <c r="F337">
        <v>120</v>
      </c>
      <c r="G337">
        <v>4.9000000000000004</v>
      </c>
      <c r="H337">
        <v>2023</v>
      </c>
      <c r="I337" t="s">
        <v>1018</v>
      </c>
      <c r="J337" t="s">
        <v>1019</v>
      </c>
      <c r="K337">
        <v>5</v>
      </c>
    </row>
    <row r="338" spans="1:11" x14ac:dyDescent="0.3">
      <c r="A338" t="s">
        <v>1382</v>
      </c>
      <c r="B338" t="s">
        <v>1065</v>
      </c>
      <c r="C338">
        <v>23</v>
      </c>
      <c r="D338" t="s">
        <v>1024</v>
      </c>
      <c r="E338" s="1">
        <v>45025</v>
      </c>
      <c r="F338">
        <v>86</v>
      </c>
      <c r="G338">
        <v>2.2000000000000002</v>
      </c>
      <c r="H338">
        <v>2023</v>
      </c>
      <c r="I338" t="s">
        <v>1018</v>
      </c>
      <c r="J338" t="s">
        <v>1056</v>
      </c>
      <c r="K338">
        <v>2</v>
      </c>
    </row>
    <row r="339" spans="1:11" x14ac:dyDescent="0.3">
      <c r="A339" t="s">
        <v>1383</v>
      </c>
      <c r="B339" t="s">
        <v>1021</v>
      </c>
      <c r="C339">
        <v>69</v>
      </c>
      <c r="D339" t="s">
        <v>1024</v>
      </c>
      <c r="E339" s="1">
        <v>45025</v>
      </c>
      <c r="F339">
        <v>132</v>
      </c>
      <c r="G339">
        <v>5</v>
      </c>
      <c r="H339">
        <v>2023</v>
      </c>
      <c r="I339" t="s">
        <v>1018</v>
      </c>
      <c r="J339" t="s">
        <v>1019</v>
      </c>
      <c r="K339">
        <v>5</v>
      </c>
    </row>
    <row r="340" spans="1:11" x14ac:dyDescent="0.3">
      <c r="A340" t="s">
        <v>1384</v>
      </c>
      <c r="B340" t="s">
        <v>1059</v>
      </c>
      <c r="C340">
        <v>64</v>
      </c>
      <c r="D340" t="s">
        <v>1024</v>
      </c>
      <c r="E340" s="1">
        <v>45025</v>
      </c>
      <c r="F340">
        <v>80</v>
      </c>
      <c r="G340">
        <v>3.3</v>
      </c>
      <c r="H340">
        <v>2023</v>
      </c>
      <c r="I340" t="s">
        <v>1018</v>
      </c>
      <c r="J340" t="s">
        <v>1019</v>
      </c>
      <c r="K340">
        <v>3</v>
      </c>
    </row>
    <row r="341" spans="1:11" x14ac:dyDescent="0.3">
      <c r="A341" t="s">
        <v>1385</v>
      </c>
      <c r="B341" t="s">
        <v>1047</v>
      </c>
      <c r="C341">
        <v>47</v>
      </c>
      <c r="D341" t="s">
        <v>1017</v>
      </c>
      <c r="E341" s="1">
        <v>45025</v>
      </c>
      <c r="F341">
        <v>132</v>
      </c>
      <c r="G341">
        <v>3.7</v>
      </c>
      <c r="H341">
        <v>2023</v>
      </c>
      <c r="I341" t="s">
        <v>1018</v>
      </c>
      <c r="J341" t="s">
        <v>1034</v>
      </c>
      <c r="K341">
        <v>4</v>
      </c>
    </row>
    <row r="342" spans="1:11" x14ac:dyDescent="0.3">
      <c r="A342" t="s">
        <v>1386</v>
      </c>
      <c r="B342" t="s">
        <v>1023</v>
      </c>
      <c r="C342">
        <v>55</v>
      </c>
      <c r="D342" t="s">
        <v>1038</v>
      </c>
      <c r="E342" s="1">
        <v>45025</v>
      </c>
      <c r="F342">
        <v>27</v>
      </c>
      <c r="G342">
        <v>3.7</v>
      </c>
      <c r="H342">
        <v>2023</v>
      </c>
      <c r="I342" t="s">
        <v>1018</v>
      </c>
      <c r="J342" t="s">
        <v>1034</v>
      </c>
      <c r="K342">
        <v>4</v>
      </c>
    </row>
    <row r="343" spans="1:11" x14ac:dyDescent="0.3">
      <c r="A343" t="s">
        <v>1387</v>
      </c>
      <c r="B343" t="s">
        <v>1041</v>
      </c>
      <c r="C343">
        <v>104</v>
      </c>
      <c r="D343" t="s">
        <v>1038</v>
      </c>
      <c r="E343" s="1">
        <v>45026</v>
      </c>
      <c r="F343">
        <v>68</v>
      </c>
      <c r="G343">
        <v>3.6</v>
      </c>
      <c r="H343">
        <v>2023</v>
      </c>
      <c r="I343" t="s">
        <v>1030</v>
      </c>
      <c r="J343" t="s">
        <v>1019</v>
      </c>
      <c r="K343">
        <v>4</v>
      </c>
    </row>
    <row r="344" spans="1:11" x14ac:dyDescent="0.3">
      <c r="A344" t="s">
        <v>1388</v>
      </c>
      <c r="B344" t="s">
        <v>1047</v>
      </c>
      <c r="C344">
        <v>116</v>
      </c>
      <c r="D344" t="s">
        <v>1024</v>
      </c>
      <c r="E344" s="1">
        <v>45026</v>
      </c>
      <c r="F344">
        <v>22</v>
      </c>
      <c r="G344">
        <v>4.7</v>
      </c>
      <c r="H344">
        <v>2023</v>
      </c>
      <c r="I344" t="s">
        <v>1030</v>
      </c>
      <c r="J344" t="s">
        <v>1019</v>
      </c>
      <c r="K344">
        <v>5</v>
      </c>
    </row>
    <row r="345" spans="1:11" x14ac:dyDescent="0.3">
      <c r="A345" t="s">
        <v>1389</v>
      </c>
      <c r="B345" t="s">
        <v>1065</v>
      </c>
      <c r="C345">
        <v>99</v>
      </c>
      <c r="D345" t="s">
        <v>1038</v>
      </c>
      <c r="E345" s="1">
        <v>45026</v>
      </c>
      <c r="F345">
        <v>42</v>
      </c>
      <c r="G345">
        <v>3.1</v>
      </c>
      <c r="H345">
        <v>2023</v>
      </c>
      <c r="I345" t="s">
        <v>1030</v>
      </c>
      <c r="J345" t="s">
        <v>1019</v>
      </c>
      <c r="K345">
        <v>3</v>
      </c>
    </row>
    <row r="346" spans="1:11" x14ac:dyDescent="0.3">
      <c r="A346" t="s">
        <v>1390</v>
      </c>
      <c r="B346" t="s">
        <v>1041</v>
      </c>
      <c r="C346">
        <v>84</v>
      </c>
      <c r="D346" t="s">
        <v>1038</v>
      </c>
      <c r="E346" s="1">
        <v>45027</v>
      </c>
      <c r="F346">
        <v>38</v>
      </c>
      <c r="G346">
        <v>3.3</v>
      </c>
      <c r="H346">
        <v>2023</v>
      </c>
      <c r="I346" t="s">
        <v>1033</v>
      </c>
      <c r="J346" t="s">
        <v>1019</v>
      </c>
      <c r="K346">
        <v>3</v>
      </c>
    </row>
    <row r="347" spans="1:11" x14ac:dyDescent="0.3">
      <c r="A347" t="s">
        <v>1391</v>
      </c>
      <c r="B347" t="s">
        <v>1068</v>
      </c>
      <c r="C347">
        <v>159</v>
      </c>
      <c r="D347" t="s">
        <v>1038</v>
      </c>
      <c r="E347" s="1">
        <v>45027</v>
      </c>
      <c r="F347">
        <v>42</v>
      </c>
      <c r="G347">
        <v>4.5</v>
      </c>
      <c r="H347">
        <v>2023</v>
      </c>
      <c r="I347" t="s">
        <v>1033</v>
      </c>
      <c r="J347" t="s">
        <v>1031</v>
      </c>
      <c r="K347">
        <v>5</v>
      </c>
    </row>
    <row r="348" spans="1:11" x14ac:dyDescent="0.3">
      <c r="A348" t="s">
        <v>1392</v>
      </c>
      <c r="B348" t="s">
        <v>1036</v>
      </c>
      <c r="C348">
        <v>25</v>
      </c>
      <c r="D348" t="s">
        <v>1017</v>
      </c>
      <c r="E348" s="1">
        <v>45027</v>
      </c>
      <c r="F348">
        <v>75</v>
      </c>
      <c r="G348">
        <v>3.9</v>
      </c>
      <c r="H348">
        <v>2023</v>
      </c>
      <c r="I348" t="s">
        <v>1033</v>
      </c>
      <c r="J348" t="s">
        <v>1056</v>
      </c>
      <c r="K348">
        <v>4</v>
      </c>
    </row>
    <row r="349" spans="1:11" x14ac:dyDescent="0.3">
      <c r="A349" t="s">
        <v>1393</v>
      </c>
      <c r="B349" t="s">
        <v>1068</v>
      </c>
      <c r="C349">
        <v>53</v>
      </c>
      <c r="D349" t="s">
        <v>1042</v>
      </c>
      <c r="E349" s="1">
        <v>45028</v>
      </c>
      <c r="F349">
        <v>23</v>
      </c>
      <c r="G349">
        <v>4.9000000000000004</v>
      </c>
      <c r="H349">
        <v>2023</v>
      </c>
      <c r="I349" t="s">
        <v>1048</v>
      </c>
      <c r="J349" t="s">
        <v>1034</v>
      </c>
      <c r="K349">
        <v>5</v>
      </c>
    </row>
    <row r="350" spans="1:11" x14ac:dyDescent="0.3">
      <c r="A350" t="s">
        <v>1394</v>
      </c>
      <c r="B350" t="s">
        <v>1068</v>
      </c>
      <c r="C350">
        <v>89</v>
      </c>
      <c r="D350" t="s">
        <v>1017</v>
      </c>
      <c r="E350" s="1">
        <v>45028</v>
      </c>
      <c r="F350">
        <v>200</v>
      </c>
      <c r="G350">
        <v>4.8</v>
      </c>
      <c r="H350">
        <v>2023</v>
      </c>
      <c r="I350" t="s">
        <v>1048</v>
      </c>
      <c r="J350" t="s">
        <v>1019</v>
      </c>
      <c r="K350">
        <v>5</v>
      </c>
    </row>
    <row r="351" spans="1:11" x14ac:dyDescent="0.3">
      <c r="A351" t="s">
        <v>1395</v>
      </c>
      <c r="B351" t="s">
        <v>1026</v>
      </c>
      <c r="C351">
        <v>73</v>
      </c>
      <c r="D351" t="s">
        <v>1024</v>
      </c>
      <c r="E351" s="1">
        <v>45029</v>
      </c>
      <c r="F351">
        <v>45</v>
      </c>
      <c r="G351">
        <v>3.6</v>
      </c>
      <c r="H351">
        <v>2023</v>
      </c>
      <c r="I351" t="s">
        <v>1052</v>
      </c>
      <c r="J351" t="s">
        <v>1019</v>
      </c>
      <c r="K351">
        <v>4</v>
      </c>
    </row>
    <row r="352" spans="1:11" x14ac:dyDescent="0.3">
      <c r="A352" t="s">
        <v>1396</v>
      </c>
      <c r="B352" t="s">
        <v>1065</v>
      </c>
      <c r="C352">
        <v>50</v>
      </c>
      <c r="D352" t="s">
        <v>1024</v>
      </c>
      <c r="E352" s="1">
        <v>45029</v>
      </c>
      <c r="F352">
        <v>105</v>
      </c>
      <c r="G352">
        <v>3.5</v>
      </c>
      <c r="H352">
        <v>2023</v>
      </c>
      <c r="I352" t="s">
        <v>1052</v>
      </c>
      <c r="J352" t="s">
        <v>1034</v>
      </c>
      <c r="K352">
        <v>4</v>
      </c>
    </row>
    <row r="353" spans="1:11" x14ac:dyDescent="0.3">
      <c r="A353" t="s">
        <v>1397</v>
      </c>
      <c r="B353" t="s">
        <v>1028</v>
      </c>
      <c r="C353">
        <v>98</v>
      </c>
      <c r="D353" t="s">
        <v>1024</v>
      </c>
      <c r="E353" s="1">
        <v>45029</v>
      </c>
      <c r="F353">
        <v>22</v>
      </c>
      <c r="G353">
        <v>3.8</v>
      </c>
      <c r="H353">
        <v>2023</v>
      </c>
      <c r="I353" t="s">
        <v>1052</v>
      </c>
      <c r="J353" t="s">
        <v>1019</v>
      </c>
      <c r="K353">
        <v>4</v>
      </c>
    </row>
    <row r="354" spans="1:11" x14ac:dyDescent="0.3">
      <c r="A354" t="s">
        <v>1398</v>
      </c>
      <c r="B354" t="s">
        <v>1045</v>
      </c>
      <c r="C354">
        <v>114</v>
      </c>
      <c r="D354" t="s">
        <v>1038</v>
      </c>
      <c r="E354" s="1">
        <v>45030</v>
      </c>
      <c r="F354">
        <v>126</v>
      </c>
      <c r="G354">
        <v>4.4000000000000004</v>
      </c>
      <c r="H354">
        <v>2023</v>
      </c>
      <c r="I354" t="s">
        <v>411</v>
      </c>
      <c r="J354" t="s">
        <v>1019</v>
      </c>
      <c r="K354">
        <v>4</v>
      </c>
    </row>
    <row r="355" spans="1:11" x14ac:dyDescent="0.3">
      <c r="A355" t="s">
        <v>1399</v>
      </c>
      <c r="B355" t="s">
        <v>1059</v>
      </c>
      <c r="C355">
        <v>67</v>
      </c>
      <c r="D355" t="s">
        <v>1038</v>
      </c>
      <c r="E355" s="1">
        <v>45030</v>
      </c>
      <c r="F355">
        <v>35</v>
      </c>
      <c r="G355">
        <v>3</v>
      </c>
      <c r="H355">
        <v>2023</v>
      </c>
      <c r="I355" t="s">
        <v>411</v>
      </c>
      <c r="J355" t="s">
        <v>1019</v>
      </c>
      <c r="K355">
        <v>3</v>
      </c>
    </row>
    <row r="356" spans="1:11" x14ac:dyDescent="0.3">
      <c r="A356" t="s">
        <v>1400</v>
      </c>
      <c r="B356" t="s">
        <v>1023</v>
      </c>
      <c r="C356">
        <v>91</v>
      </c>
      <c r="D356" t="s">
        <v>1024</v>
      </c>
      <c r="E356" s="1">
        <v>45030</v>
      </c>
      <c r="F356">
        <v>84</v>
      </c>
      <c r="G356">
        <v>4.5</v>
      </c>
      <c r="H356">
        <v>2023</v>
      </c>
      <c r="I356" t="s">
        <v>411</v>
      </c>
      <c r="J356" t="s">
        <v>1019</v>
      </c>
      <c r="K356">
        <v>5</v>
      </c>
    </row>
    <row r="357" spans="1:11" x14ac:dyDescent="0.3">
      <c r="A357" t="s">
        <v>1401</v>
      </c>
      <c r="B357" t="s">
        <v>1098</v>
      </c>
      <c r="C357">
        <v>67</v>
      </c>
      <c r="D357" t="s">
        <v>1024</v>
      </c>
      <c r="E357" s="1">
        <v>45031</v>
      </c>
      <c r="F357">
        <v>172</v>
      </c>
      <c r="G357">
        <v>4.5</v>
      </c>
      <c r="H357">
        <v>2023</v>
      </c>
      <c r="I357" t="s">
        <v>1062</v>
      </c>
      <c r="J357" t="s">
        <v>1019</v>
      </c>
      <c r="K357">
        <v>5</v>
      </c>
    </row>
    <row r="358" spans="1:11" x14ac:dyDescent="0.3">
      <c r="A358" t="s">
        <v>1402</v>
      </c>
      <c r="B358" t="s">
        <v>1045</v>
      </c>
      <c r="C358">
        <v>139</v>
      </c>
      <c r="D358" t="s">
        <v>1017</v>
      </c>
      <c r="E358" s="1">
        <v>45031</v>
      </c>
      <c r="F358">
        <v>114</v>
      </c>
      <c r="G358">
        <v>4</v>
      </c>
      <c r="H358">
        <v>2023</v>
      </c>
      <c r="I358" t="s">
        <v>1062</v>
      </c>
      <c r="J358" t="s">
        <v>1031</v>
      </c>
      <c r="K358">
        <v>4</v>
      </c>
    </row>
    <row r="359" spans="1:11" x14ac:dyDescent="0.3">
      <c r="A359" t="s">
        <v>1403</v>
      </c>
      <c r="B359" t="s">
        <v>1098</v>
      </c>
      <c r="C359">
        <v>102</v>
      </c>
      <c r="D359" t="s">
        <v>1017</v>
      </c>
      <c r="E359" s="1">
        <v>45031</v>
      </c>
      <c r="F359">
        <v>60</v>
      </c>
      <c r="G359">
        <v>3.8</v>
      </c>
      <c r="H359">
        <v>2023</v>
      </c>
      <c r="I359" t="s">
        <v>1062</v>
      </c>
      <c r="J359" t="s">
        <v>1019</v>
      </c>
      <c r="K359">
        <v>4</v>
      </c>
    </row>
    <row r="360" spans="1:11" x14ac:dyDescent="0.3">
      <c r="A360" t="s">
        <v>1404</v>
      </c>
      <c r="B360" t="s">
        <v>1078</v>
      </c>
      <c r="C360">
        <v>108</v>
      </c>
      <c r="D360" t="s">
        <v>1029</v>
      </c>
      <c r="E360" s="1">
        <v>45031</v>
      </c>
      <c r="F360">
        <v>26</v>
      </c>
      <c r="G360">
        <v>3.3</v>
      </c>
      <c r="H360">
        <v>2023</v>
      </c>
      <c r="I360" t="s">
        <v>1062</v>
      </c>
      <c r="J360" t="s">
        <v>1019</v>
      </c>
      <c r="K360">
        <v>3</v>
      </c>
    </row>
    <row r="361" spans="1:11" x14ac:dyDescent="0.3">
      <c r="A361" t="s">
        <v>1405</v>
      </c>
      <c r="B361" t="s">
        <v>1036</v>
      </c>
      <c r="C361">
        <v>66</v>
      </c>
      <c r="D361" t="s">
        <v>1024</v>
      </c>
      <c r="E361" s="1">
        <v>45031</v>
      </c>
      <c r="F361">
        <v>210</v>
      </c>
      <c r="G361">
        <v>4.3</v>
      </c>
      <c r="H361">
        <v>2023</v>
      </c>
      <c r="I361" t="s">
        <v>1062</v>
      </c>
      <c r="J361" t="s">
        <v>1019</v>
      </c>
      <c r="K361">
        <v>4</v>
      </c>
    </row>
    <row r="362" spans="1:11" x14ac:dyDescent="0.3">
      <c r="A362" t="s">
        <v>1406</v>
      </c>
      <c r="B362" t="s">
        <v>1055</v>
      </c>
      <c r="C362">
        <v>85</v>
      </c>
      <c r="D362" t="s">
        <v>1017</v>
      </c>
      <c r="E362" s="1">
        <v>45031</v>
      </c>
      <c r="F362">
        <v>129</v>
      </c>
      <c r="G362">
        <v>4.2</v>
      </c>
      <c r="H362">
        <v>2023</v>
      </c>
      <c r="I362" t="s">
        <v>1062</v>
      </c>
      <c r="J362" t="s">
        <v>1019</v>
      </c>
      <c r="K362">
        <v>4</v>
      </c>
    </row>
    <row r="363" spans="1:11" x14ac:dyDescent="0.3">
      <c r="A363" t="s">
        <v>1407</v>
      </c>
      <c r="B363" t="s">
        <v>1059</v>
      </c>
      <c r="C363">
        <v>55</v>
      </c>
      <c r="D363" t="s">
        <v>1029</v>
      </c>
      <c r="E363" s="1">
        <v>45031</v>
      </c>
      <c r="F363">
        <v>215</v>
      </c>
      <c r="G363">
        <v>4.3</v>
      </c>
      <c r="H363">
        <v>2023</v>
      </c>
      <c r="I363" t="s">
        <v>1062</v>
      </c>
      <c r="J363" t="s">
        <v>1034</v>
      </c>
      <c r="K363">
        <v>4</v>
      </c>
    </row>
    <row r="364" spans="1:11" x14ac:dyDescent="0.3">
      <c r="A364" t="s">
        <v>1408</v>
      </c>
      <c r="B364" t="s">
        <v>1078</v>
      </c>
      <c r="C364">
        <v>17</v>
      </c>
      <c r="D364" t="s">
        <v>1042</v>
      </c>
      <c r="E364" s="1">
        <v>45031</v>
      </c>
      <c r="F364">
        <v>69</v>
      </c>
      <c r="G364">
        <v>4.5999999999999996</v>
      </c>
      <c r="H364">
        <v>2023</v>
      </c>
      <c r="I364" t="s">
        <v>1062</v>
      </c>
      <c r="J364" t="s">
        <v>1056</v>
      </c>
      <c r="K364">
        <v>5</v>
      </c>
    </row>
    <row r="365" spans="1:11" x14ac:dyDescent="0.3">
      <c r="A365" t="s">
        <v>1409</v>
      </c>
      <c r="B365" t="s">
        <v>1059</v>
      </c>
      <c r="C365">
        <v>128</v>
      </c>
      <c r="D365" t="s">
        <v>1042</v>
      </c>
      <c r="E365" s="1">
        <v>45031</v>
      </c>
      <c r="F365">
        <v>140</v>
      </c>
      <c r="G365">
        <v>3</v>
      </c>
      <c r="H365">
        <v>2023</v>
      </c>
      <c r="I365" t="s">
        <v>1062</v>
      </c>
      <c r="J365" t="s">
        <v>1031</v>
      </c>
      <c r="K365">
        <v>3</v>
      </c>
    </row>
    <row r="366" spans="1:11" x14ac:dyDescent="0.3">
      <c r="A366" t="s">
        <v>1410</v>
      </c>
      <c r="B366" t="s">
        <v>1065</v>
      </c>
      <c r="C366">
        <v>45</v>
      </c>
      <c r="D366" t="s">
        <v>1029</v>
      </c>
      <c r="E366" s="1">
        <v>45032</v>
      </c>
      <c r="F366">
        <v>156</v>
      </c>
      <c r="G366">
        <v>2.7</v>
      </c>
      <c r="H366">
        <v>2023</v>
      </c>
      <c r="I366" t="s">
        <v>1018</v>
      </c>
      <c r="J366" t="s">
        <v>1034</v>
      </c>
      <c r="K366">
        <v>3</v>
      </c>
    </row>
    <row r="367" spans="1:11" x14ac:dyDescent="0.3">
      <c r="A367" t="s">
        <v>1411</v>
      </c>
      <c r="B367" t="s">
        <v>1078</v>
      </c>
      <c r="C367">
        <v>41</v>
      </c>
      <c r="D367" t="s">
        <v>1042</v>
      </c>
      <c r="E367" s="1">
        <v>45032</v>
      </c>
      <c r="F367">
        <v>164</v>
      </c>
      <c r="G367">
        <v>3.1</v>
      </c>
      <c r="H367">
        <v>2023</v>
      </c>
      <c r="I367" t="s">
        <v>1018</v>
      </c>
      <c r="J367" t="s">
        <v>1034</v>
      </c>
      <c r="K367">
        <v>3</v>
      </c>
    </row>
    <row r="368" spans="1:11" x14ac:dyDescent="0.3">
      <c r="A368" t="s">
        <v>1412</v>
      </c>
      <c r="B368" t="s">
        <v>1047</v>
      </c>
      <c r="C368">
        <v>49</v>
      </c>
      <c r="D368" t="s">
        <v>1042</v>
      </c>
      <c r="E368" s="1">
        <v>45032</v>
      </c>
      <c r="F368">
        <v>195</v>
      </c>
      <c r="G368">
        <v>2.6</v>
      </c>
      <c r="H368">
        <v>2023</v>
      </c>
      <c r="I368" t="s">
        <v>1018</v>
      </c>
      <c r="J368" t="s">
        <v>1034</v>
      </c>
      <c r="K368">
        <v>3</v>
      </c>
    </row>
    <row r="369" spans="1:11" x14ac:dyDescent="0.3">
      <c r="A369" t="s">
        <v>1413</v>
      </c>
      <c r="B369" t="s">
        <v>1021</v>
      </c>
      <c r="C369">
        <v>21</v>
      </c>
      <c r="D369" t="s">
        <v>1038</v>
      </c>
      <c r="E369" s="1">
        <v>45032</v>
      </c>
      <c r="F369">
        <v>74</v>
      </c>
      <c r="G369">
        <v>4.5999999999999996</v>
      </c>
      <c r="H369">
        <v>2023</v>
      </c>
      <c r="I369" t="s">
        <v>1018</v>
      </c>
      <c r="J369" t="s">
        <v>1056</v>
      </c>
      <c r="K369">
        <v>5</v>
      </c>
    </row>
    <row r="370" spans="1:11" x14ac:dyDescent="0.3">
      <c r="A370" t="s">
        <v>1414</v>
      </c>
      <c r="B370" t="s">
        <v>1068</v>
      </c>
      <c r="C370">
        <v>133</v>
      </c>
      <c r="D370" t="s">
        <v>1029</v>
      </c>
      <c r="E370" s="1">
        <v>45032</v>
      </c>
      <c r="F370">
        <v>100</v>
      </c>
      <c r="G370">
        <v>4</v>
      </c>
      <c r="H370">
        <v>2023</v>
      </c>
      <c r="I370" t="s">
        <v>1018</v>
      </c>
      <c r="J370" t="s">
        <v>1031</v>
      </c>
      <c r="K370">
        <v>4</v>
      </c>
    </row>
    <row r="371" spans="1:11" x14ac:dyDescent="0.3">
      <c r="A371" t="s">
        <v>1415</v>
      </c>
      <c r="B371" t="s">
        <v>1016</v>
      </c>
      <c r="C371">
        <v>135</v>
      </c>
      <c r="D371" t="s">
        <v>1024</v>
      </c>
      <c r="E371" s="1">
        <v>45032</v>
      </c>
      <c r="F371">
        <v>185</v>
      </c>
      <c r="G371">
        <v>4.5</v>
      </c>
      <c r="H371">
        <v>2023</v>
      </c>
      <c r="I371" t="s">
        <v>1018</v>
      </c>
      <c r="J371" t="s">
        <v>1031</v>
      </c>
      <c r="K371">
        <v>5</v>
      </c>
    </row>
    <row r="372" spans="1:11" x14ac:dyDescent="0.3">
      <c r="A372" t="s">
        <v>1416</v>
      </c>
      <c r="B372" t="s">
        <v>1045</v>
      </c>
      <c r="C372">
        <v>69</v>
      </c>
      <c r="D372" t="s">
        <v>1029</v>
      </c>
      <c r="E372" s="1">
        <v>45032</v>
      </c>
      <c r="F372">
        <v>130</v>
      </c>
      <c r="G372">
        <v>1.9</v>
      </c>
      <c r="H372">
        <v>2023</v>
      </c>
      <c r="I372" t="s">
        <v>1018</v>
      </c>
      <c r="J372" t="s">
        <v>1019</v>
      </c>
      <c r="K372">
        <v>2</v>
      </c>
    </row>
    <row r="373" spans="1:11" x14ac:dyDescent="0.3">
      <c r="A373" t="s">
        <v>1417</v>
      </c>
      <c r="B373" t="s">
        <v>1041</v>
      </c>
      <c r="C373">
        <v>110</v>
      </c>
      <c r="D373" t="s">
        <v>1038</v>
      </c>
      <c r="E373" s="1">
        <v>45033</v>
      </c>
      <c r="F373">
        <v>21</v>
      </c>
      <c r="G373">
        <v>2.6</v>
      </c>
      <c r="H373">
        <v>2023</v>
      </c>
      <c r="I373" t="s">
        <v>1030</v>
      </c>
      <c r="J373" t="s">
        <v>1019</v>
      </c>
      <c r="K373">
        <v>3</v>
      </c>
    </row>
    <row r="374" spans="1:11" x14ac:dyDescent="0.3">
      <c r="A374" t="s">
        <v>1418</v>
      </c>
      <c r="B374" t="s">
        <v>1098</v>
      </c>
      <c r="C374">
        <v>64</v>
      </c>
      <c r="D374" t="s">
        <v>1017</v>
      </c>
      <c r="E374" s="1">
        <v>45033</v>
      </c>
      <c r="F374">
        <v>88</v>
      </c>
      <c r="G374">
        <v>4.3</v>
      </c>
      <c r="H374">
        <v>2023</v>
      </c>
      <c r="I374" t="s">
        <v>1030</v>
      </c>
      <c r="J374" t="s">
        <v>1019</v>
      </c>
      <c r="K374">
        <v>4</v>
      </c>
    </row>
    <row r="375" spans="1:11" x14ac:dyDescent="0.3">
      <c r="A375" t="s">
        <v>1419</v>
      </c>
      <c r="B375" t="s">
        <v>1023</v>
      </c>
      <c r="C375">
        <v>105</v>
      </c>
      <c r="D375" t="s">
        <v>1042</v>
      </c>
      <c r="E375" s="1">
        <v>45033</v>
      </c>
      <c r="F375">
        <v>35</v>
      </c>
      <c r="G375">
        <v>4.4000000000000004</v>
      </c>
      <c r="H375">
        <v>2023</v>
      </c>
      <c r="I375" t="s">
        <v>1030</v>
      </c>
      <c r="J375" t="s">
        <v>1019</v>
      </c>
      <c r="K375">
        <v>4</v>
      </c>
    </row>
    <row r="376" spans="1:11" x14ac:dyDescent="0.3">
      <c r="A376" t="s">
        <v>1420</v>
      </c>
      <c r="B376" t="s">
        <v>1098</v>
      </c>
      <c r="C376">
        <v>165</v>
      </c>
      <c r="D376" t="s">
        <v>1024</v>
      </c>
      <c r="E376" s="1">
        <v>45033</v>
      </c>
      <c r="F376">
        <v>68</v>
      </c>
      <c r="G376">
        <v>4.3</v>
      </c>
      <c r="H376">
        <v>2023</v>
      </c>
      <c r="I376" t="s">
        <v>1030</v>
      </c>
      <c r="J376" t="s">
        <v>1031</v>
      </c>
      <c r="K376">
        <v>4</v>
      </c>
    </row>
    <row r="377" spans="1:11" x14ac:dyDescent="0.3">
      <c r="A377" t="s">
        <v>1421</v>
      </c>
      <c r="B377" t="s">
        <v>1065</v>
      </c>
      <c r="C377">
        <v>125</v>
      </c>
      <c r="D377" t="s">
        <v>1024</v>
      </c>
      <c r="E377" s="1">
        <v>45033</v>
      </c>
      <c r="F377">
        <v>148</v>
      </c>
      <c r="G377">
        <v>4.5</v>
      </c>
      <c r="H377">
        <v>2023</v>
      </c>
      <c r="I377" t="s">
        <v>1030</v>
      </c>
      <c r="J377" t="s">
        <v>1031</v>
      </c>
      <c r="K377">
        <v>5</v>
      </c>
    </row>
    <row r="378" spans="1:11" x14ac:dyDescent="0.3">
      <c r="A378" t="s">
        <v>1422</v>
      </c>
      <c r="B378" t="s">
        <v>1023</v>
      </c>
      <c r="C378">
        <v>88</v>
      </c>
      <c r="D378" t="s">
        <v>1017</v>
      </c>
      <c r="E378" s="1">
        <v>45034</v>
      </c>
      <c r="F378">
        <v>81</v>
      </c>
      <c r="G378">
        <v>4.2</v>
      </c>
      <c r="H378">
        <v>2023</v>
      </c>
      <c r="I378" t="s">
        <v>1033</v>
      </c>
      <c r="J378" t="s">
        <v>1019</v>
      </c>
      <c r="K378">
        <v>4</v>
      </c>
    </row>
    <row r="379" spans="1:11" x14ac:dyDescent="0.3">
      <c r="A379" t="s">
        <v>1423</v>
      </c>
      <c r="B379" t="s">
        <v>1045</v>
      </c>
      <c r="C379">
        <v>6</v>
      </c>
      <c r="D379" t="s">
        <v>1017</v>
      </c>
      <c r="E379" s="1">
        <v>45034</v>
      </c>
      <c r="F379">
        <v>75</v>
      </c>
      <c r="G379">
        <v>3.9</v>
      </c>
      <c r="H379">
        <v>2023</v>
      </c>
      <c r="I379" t="s">
        <v>1033</v>
      </c>
      <c r="J379" t="s">
        <v>1186</v>
      </c>
      <c r="K379">
        <v>4</v>
      </c>
    </row>
    <row r="380" spans="1:11" x14ac:dyDescent="0.3">
      <c r="A380" t="s">
        <v>1424</v>
      </c>
      <c r="B380" t="s">
        <v>1055</v>
      </c>
      <c r="C380">
        <v>69</v>
      </c>
      <c r="D380" t="s">
        <v>1029</v>
      </c>
      <c r="E380" s="1">
        <v>45035</v>
      </c>
      <c r="F380">
        <v>32</v>
      </c>
      <c r="G380">
        <v>3.6</v>
      </c>
      <c r="H380">
        <v>2023</v>
      </c>
      <c r="I380" t="s">
        <v>1048</v>
      </c>
      <c r="J380" t="s">
        <v>1019</v>
      </c>
      <c r="K380">
        <v>4</v>
      </c>
    </row>
    <row r="381" spans="1:11" x14ac:dyDescent="0.3">
      <c r="A381" t="s">
        <v>1425</v>
      </c>
      <c r="B381" t="s">
        <v>1078</v>
      </c>
      <c r="C381">
        <v>107</v>
      </c>
      <c r="D381" t="s">
        <v>1029</v>
      </c>
      <c r="E381" s="1">
        <v>45035</v>
      </c>
      <c r="F381">
        <v>156</v>
      </c>
      <c r="G381">
        <v>3.8</v>
      </c>
      <c r="H381">
        <v>2023</v>
      </c>
      <c r="I381" t="s">
        <v>1048</v>
      </c>
      <c r="J381" t="s">
        <v>1019</v>
      </c>
      <c r="K381">
        <v>4</v>
      </c>
    </row>
    <row r="382" spans="1:11" x14ac:dyDescent="0.3">
      <c r="A382" t="s">
        <v>1426</v>
      </c>
      <c r="B382" t="s">
        <v>1021</v>
      </c>
      <c r="C382">
        <v>90</v>
      </c>
      <c r="D382" t="s">
        <v>1024</v>
      </c>
      <c r="E382" s="1">
        <v>45035</v>
      </c>
      <c r="F382">
        <v>99</v>
      </c>
      <c r="G382">
        <v>4.9000000000000004</v>
      </c>
      <c r="H382">
        <v>2023</v>
      </c>
      <c r="I382" t="s">
        <v>1048</v>
      </c>
      <c r="J382" t="s">
        <v>1019</v>
      </c>
      <c r="K382">
        <v>5</v>
      </c>
    </row>
    <row r="383" spans="1:11" x14ac:dyDescent="0.3">
      <c r="A383" t="s">
        <v>1427</v>
      </c>
      <c r="B383" t="s">
        <v>1016</v>
      </c>
      <c r="C383">
        <v>120</v>
      </c>
      <c r="D383" t="s">
        <v>1042</v>
      </c>
      <c r="E383" s="1">
        <v>45035</v>
      </c>
      <c r="F383">
        <v>26</v>
      </c>
      <c r="G383">
        <v>4</v>
      </c>
      <c r="H383">
        <v>2023</v>
      </c>
      <c r="I383" t="s">
        <v>1048</v>
      </c>
      <c r="J383" t="s">
        <v>1019</v>
      </c>
      <c r="K383">
        <v>4</v>
      </c>
    </row>
    <row r="384" spans="1:11" x14ac:dyDescent="0.3">
      <c r="A384" t="s">
        <v>1428</v>
      </c>
      <c r="B384" t="s">
        <v>1028</v>
      </c>
      <c r="C384">
        <v>47</v>
      </c>
      <c r="D384" t="s">
        <v>1029</v>
      </c>
      <c r="E384" s="1">
        <v>45035</v>
      </c>
      <c r="F384">
        <v>84</v>
      </c>
      <c r="G384">
        <v>4.0999999999999996</v>
      </c>
      <c r="H384">
        <v>2023</v>
      </c>
      <c r="I384" t="s">
        <v>1048</v>
      </c>
      <c r="J384" t="s">
        <v>1034</v>
      </c>
      <c r="K384">
        <v>4</v>
      </c>
    </row>
    <row r="385" spans="1:11" x14ac:dyDescent="0.3">
      <c r="A385" t="s">
        <v>1429</v>
      </c>
      <c r="B385" t="s">
        <v>1026</v>
      </c>
      <c r="C385">
        <v>60</v>
      </c>
      <c r="D385" t="s">
        <v>1042</v>
      </c>
      <c r="E385" s="1">
        <v>45035</v>
      </c>
      <c r="F385">
        <v>84</v>
      </c>
      <c r="G385">
        <v>4.8</v>
      </c>
      <c r="H385">
        <v>2023</v>
      </c>
      <c r="I385" t="s">
        <v>1048</v>
      </c>
      <c r="J385" t="s">
        <v>1034</v>
      </c>
      <c r="K385">
        <v>5</v>
      </c>
    </row>
    <row r="386" spans="1:11" x14ac:dyDescent="0.3">
      <c r="A386" t="s">
        <v>1430</v>
      </c>
      <c r="B386" t="s">
        <v>1059</v>
      </c>
      <c r="C386">
        <v>64</v>
      </c>
      <c r="D386" t="s">
        <v>1024</v>
      </c>
      <c r="E386" s="1">
        <v>45035</v>
      </c>
      <c r="F386">
        <v>170</v>
      </c>
      <c r="G386">
        <v>2.2999999999999998</v>
      </c>
      <c r="H386">
        <v>2023</v>
      </c>
      <c r="I386" t="s">
        <v>1048</v>
      </c>
      <c r="J386" t="s">
        <v>1019</v>
      </c>
      <c r="K386">
        <v>2</v>
      </c>
    </row>
    <row r="387" spans="1:11" x14ac:dyDescent="0.3">
      <c r="A387" t="s">
        <v>1431</v>
      </c>
      <c r="B387" t="s">
        <v>1098</v>
      </c>
      <c r="C387">
        <v>62</v>
      </c>
      <c r="D387" t="s">
        <v>1029</v>
      </c>
      <c r="E387" s="1">
        <v>45035</v>
      </c>
      <c r="F387">
        <v>35</v>
      </c>
      <c r="G387">
        <v>4.4000000000000004</v>
      </c>
      <c r="H387">
        <v>2023</v>
      </c>
      <c r="I387" t="s">
        <v>1048</v>
      </c>
      <c r="J387" t="s">
        <v>1019</v>
      </c>
      <c r="K387">
        <v>4</v>
      </c>
    </row>
    <row r="388" spans="1:11" x14ac:dyDescent="0.3">
      <c r="A388" t="s">
        <v>1432</v>
      </c>
      <c r="B388" t="s">
        <v>1041</v>
      </c>
      <c r="C388">
        <v>88</v>
      </c>
      <c r="D388" t="s">
        <v>1029</v>
      </c>
      <c r="E388" s="1">
        <v>45036</v>
      </c>
      <c r="F388">
        <v>35</v>
      </c>
      <c r="G388">
        <v>3.8</v>
      </c>
      <c r="H388">
        <v>2023</v>
      </c>
      <c r="I388" t="s">
        <v>1052</v>
      </c>
      <c r="J388" t="s">
        <v>1019</v>
      </c>
      <c r="K388">
        <v>4</v>
      </c>
    </row>
    <row r="389" spans="1:11" x14ac:dyDescent="0.3">
      <c r="A389" t="s">
        <v>1433</v>
      </c>
      <c r="B389" t="s">
        <v>1065</v>
      </c>
      <c r="C389">
        <v>116</v>
      </c>
      <c r="D389" t="s">
        <v>1029</v>
      </c>
      <c r="E389" s="1">
        <v>45036</v>
      </c>
      <c r="F389">
        <v>132</v>
      </c>
      <c r="G389">
        <v>5</v>
      </c>
      <c r="H389">
        <v>2023</v>
      </c>
      <c r="I389" t="s">
        <v>1052</v>
      </c>
      <c r="J389" t="s">
        <v>1019</v>
      </c>
      <c r="K389">
        <v>5</v>
      </c>
    </row>
    <row r="390" spans="1:11" x14ac:dyDescent="0.3">
      <c r="A390" t="s">
        <v>1434</v>
      </c>
      <c r="B390" t="s">
        <v>1021</v>
      </c>
      <c r="C390">
        <v>82</v>
      </c>
      <c r="D390" t="s">
        <v>1017</v>
      </c>
      <c r="E390" s="1">
        <v>45037</v>
      </c>
      <c r="F390">
        <v>144</v>
      </c>
      <c r="G390">
        <v>3.3</v>
      </c>
      <c r="H390">
        <v>2023</v>
      </c>
      <c r="I390" t="s">
        <v>411</v>
      </c>
      <c r="J390" t="s">
        <v>1019</v>
      </c>
      <c r="K390">
        <v>3</v>
      </c>
    </row>
    <row r="391" spans="1:11" x14ac:dyDescent="0.3">
      <c r="A391" t="s">
        <v>1435</v>
      </c>
      <c r="B391" t="s">
        <v>1098</v>
      </c>
      <c r="C391">
        <v>99</v>
      </c>
      <c r="D391" t="s">
        <v>1024</v>
      </c>
      <c r="E391" s="1">
        <v>45037</v>
      </c>
      <c r="F391">
        <v>48</v>
      </c>
      <c r="G391">
        <v>5</v>
      </c>
      <c r="H391">
        <v>2023</v>
      </c>
      <c r="I391" t="s">
        <v>411</v>
      </c>
      <c r="J391" t="s">
        <v>1019</v>
      </c>
      <c r="K391">
        <v>5</v>
      </c>
    </row>
    <row r="392" spans="1:11" x14ac:dyDescent="0.3">
      <c r="A392" t="s">
        <v>1436</v>
      </c>
      <c r="B392" t="s">
        <v>1098</v>
      </c>
      <c r="C392">
        <v>55</v>
      </c>
      <c r="D392" t="s">
        <v>1017</v>
      </c>
      <c r="E392" s="1">
        <v>45037</v>
      </c>
      <c r="F392">
        <v>200</v>
      </c>
      <c r="G392">
        <v>2.2999999999999998</v>
      </c>
      <c r="H392">
        <v>2023</v>
      </c>
      <c r="I392" t="s">
        <v>411</v>
      </c>
      <c r="J392" t="s">
        <v>1034</v>
      </c>
      <c r="K392">
        <v>2</v>
      </c>
    </row>
    <row r="393" spans="1:11" x14ac:dyDescent="0.3">
      <c r="A393" t="s">
        <v>1437</v>
      </c>
      <c r="B393" t="s">
        <v>1059</v>
      </c>
      <c r="C393">
        <v>61</v>
      </c>
      <c r="D393" t="s">
        <v>1042</v>
      </c>
      <c r="E393" s="1">
        <v>45037</v>
      </c>
      <c r="F393">
        <v>38</v>
      </c>
      <c r="G393">
        <v>4.8</v>
      </c>
      <c r="H393">
        <v>2023</v>
      </c>
      <c r="I393" t="s">
        <v>411</v>
      </c>
      <c r="J393" t="s">
        <v>1019</v>
      </c>
      <c r="K393">
        <v>5</v>
      </c>
    </row>
    <row r="394" spans="1:11" x14ac:dyDescent="0.3">
      <c r="A394" t="s">
        <v>1438</v>
      </c>
      <c r="B394" t="s">
        <v>1065</v>
      </c>
      <c r="C394">
        <v>36</v>
      </c>
      <c r="D394" t="s">
        <v>1038</v>
      </c>
      <c r="E394" s="1">
        <v>45037</v>
      </c>
      <c r="F394">
        <v>81</v>
      </c>
      <c r="G394">
        <v>3.7</v>
      </c>
      <c r="H394">
        <v>2023</v>
      </c>
      <c r="I394" t="s">
        <v>411</v>
      </c>
      <c r="J394" t="s">
        <v>1034</v>
      </c>
      <c r="K394">
        <v>4</v>
      </c>
    </row>
    <row r="395" spans="1:11" x14ac:dyDescent="0.3">
      <c r="A395" t="s">
        <v>1439</v>
      </c>
      <c r="B395" t="s">
        <v>1021</v>
      </c>
      <c r="C395">
        <v>123</v>
      </c>
      <c r="D395" t="s">
        <v>1029</v>
      </c>
      <c r="E395" s="1">
        <v>45037</v>
      </c>
      <c r="F395">
        <v>120</v>
      </c>
      <c r="G395">
        <v>4.2</v>
      </c>
      <c r="H395">
        <v>2023</v>
      </c>
      <c r="I395" t="s">
        <v>411</v>
      </c>
      <c r="J395" t="s">
        <v>1031</v>
      </c>
      <c r="K395">
        <v>4</v>
      </c>
    </row>
    <row r="396" spans="1:11" x14ac:dyDescent="0.3">
      <c r="A396" t="s">
        <v>1440</v>
      </c>
      <c r="B396" t="s">
        <v>1047</v>
      </c>
      <c r="C396">
        <v>24</v>
      </c>
      <c r="D396" t="s">
        <v>1042</v>
      </c>
      <c r="E396" s="1">
        <v>45037</v>
      </c>
      <c r="F396">
        <v>74</v>
      </c>
      <c r="G396">
        <v>4.8</v>
      </c>
      <c r="H396">
        <v>2023</v>
      </c>
      <c r="I396" t="s">
        <v>411</v>
      </c>
      <c r="J396" t="s">
        <v>1056</v>
      </c>
      <c r="K396">
        <v>5</v>
      </c>
    </row>
    <row r="397" spans="1:11" x14ac:dyDescent="0.3">
      <c r="A397" t="s">
        <v>1441</v>
      </c>
      <c r="B397" t="s">
        <v>1021</v>
      </c>
      <c r="C397">
        <v>43</v>
      </c>
      <c r="D397" t="s">
        <v>1029</v>
      </c>
      <c r="E397" s="1">
        <v>45038</v>
      </c>
      <c r="F397">
        <v>128</v>
      </c>
      <c r="G397">
        <v>4.7</v>
      </c>
      <c r="H397">
        <v>2023</v>
      </c>
      <c r="I397" t="s">
        <v>1062</v>
      </c>
      <c r="J397" t="s">
        <v>1034</v>
      </c>
      <c r="K397">
        <v>5</v>
      </c>
    </row>
    <row r="398" spans="1:11" x14ac:dyDescent="0.3">
      <c r="A398" t="s">
        <v>1442</v>
      </c>
      <c r="B398" t="s">
        <v>1026</v>
      </c>
      <c r="C398">
        <v>95</v>
      </c>
      <c r="D398" t="s">
        <v>1024</v>
      </c>
      <c r="E398" s="1">
        <v>45038</v>
      </c>
      <c r="F398">
        <v>21</v>
      </c>
      <c r="G398">
        <v>3.9</v>
      </c>
      <c r="H398">
        <v>2023</v>
      </c>
      <c r="I398" t="s">
        <v>1062</v>
      </c>
      <c r="J398" t="s">
        <v>1019</v>
      </c>
      <c r="K398">
        <v>4</v>
      </c>
    </row>
    <row r="399" spans="1:11" x14ac:dyDescent="0.3">
      <c r="A399" t="s">
        <v>1443</v>
      </c>
      <c r="B399" t="s">
        <v>1098</v>
      </c>
      <c r="C399">
        <v>53</v>
      </c>
      <c r="D399" t="s">
        <v>1029</v>
      </c>
      <c r="E399" s="1">
        <v>45038</v>
      </c>
      <c r="F399">
        <v>110</v>
      </c>
      <c r="G399">
        <v>4.3</v>
      </c>
      <c r="H399">
        <v>2023</v>
      </c>
      <c r="I399" t="s">
        <v>1062</v>
      </c>
      <c r="J399" t="s">
        <v>1034</v>
      </c>
      <c r="K399">
        <v>4</v>
      </c>
    </row>
    <row r="400" spans="1:11" x14ac:dyDescent="0.3">
      <c r="A400" t="s">
        <v>1444</v>
      </c>
      <c r="B400" t="s">
        <v>1021</v>
      </c>
      <c r="C400">
        <v>113</v>
      </c>
      <c r="D400" t="s">
        <v>1029</v>
      </c>
      <c r="E400" s="1">
        <v>45038</v>
      </c>
      <c r="F400">
        <v>145</v>
      </c>
      <c r="G400">
        <v>4</v>
      </c>
      <c r="H400">
        <v>2023</v>
      </c>
      <c r="I400" t="s">
        <v>1062</v>
      </c>
      <c r="J400" t="s">
        <v>1019</v>
      </c>
      <c r="K400">
        <v>4</v>
      </c>
    </row>
    <row r="401" spans="1:11" x14ac:dyDescent="0.3">
      <c r="A401" t="s">
        <v>1445</v>
      </c>
      <c r="B401" t="s">
        <v>1098</v>
      </c>
      <c r="C401">
        <v>89</v>
      </c>
      <c r="D401" t="s">
        <v>1038</v>
      </c>
      <c r="E401" s="1">
        <v>45038</v>
      </c>
      <c r="F401">
        <v>129</v>
      </c>
      <c r="G401">
        <v>4</v>
      </c>
      <c r="H401">
        <v>2023</v>
      </c>
      <c r="I401" t="s">
        <v>1062</v>
      </c>
      <c r="J401" t="s">
        <v>1019</v>
      </c>
      <c r="K401">
        <v>4</v>
      </c>
    </row>
    <row r="402" spans="1:11" x14ac:dyDescent="0.3">
      <c r="A402" t="s">
        <v>1446</v>
      </c>
      <c r="B402" t="s">
        <v>1041</v>
      </c>
      <c r="C402">
        <v>84</v>
      </c>
      <c r="D402" t="s">
        <v>1017</v>
      </c>
      <c r="E402" s="1">
        <v>45038</v>
      </c>
      <c r="F402">
        <v>156</v>
      </c>
      <c r="G402">
        <v>3.2</v>
      </c>
      <c r="H402">
        <v>2023</v>
      </c>
      <c r="I402" t="s">
        <v>1062</v>
      </c>
      <c r="J402" t="s">
        <v>1019</v>
      </c>
      <c r="K402">
        <v>3</v>
      </c>
    </row>
    <row r="403" spans="1:11" x14ac:dyDescent="0.3">
      <c r="A403" t="s">
        <v>1447</v>
      </c>
      <c r="B403" t="s">
        <v>1047</v>
      </c>
      <c r="C403">
        <v>130</v>
      </c>
      <c r="D403" t="s">
        <v>1029</v>
      </c>
      <c r="E403" s="1">
        <v>45039</v>
      </c>
      <c r="F403">
        <v>120</v>
      </c>
      <c r="G403">
        <v>3.8</v>
      </c>
      <c r="H403">
        <v>2023</v>
      </c>
      <c r="I403" t="s">
        <v>1018</v>
      </c>
      <c r="J403" t="s">
        <v>1031</v>
      </c>
      <c r="K403">
        <v>4</v>
      </c>
    </row>
    <row r="404" spans="1:11" x14ac:dyDescent="0.3">
      <c r="A404" t="s">
        <v>1448</v>
      </c>
      <c r="B404" t="s">
        <v>1026</v>
      </c>
      <c r="C404">
        <v>163</v>
      </c>
      <c r="D404" t="s">
        <v>1038</v>
      </c>
      <c r="E404" s="1">
        <v>45039</v>
      </c>
      <c r="F404">
        <v>62</v>
      </c>
      <c r="G404">
        <v>3.4</v>
      </c>
      <c r="H404">
        <v>2023</v>
      </c>
      <c r="I404" t="s">
        <v>1018</v>
      </c>
      <c r="J404" t="s">
        <v>1031</v>
      </c>
      <c r="K404">
        <v>3</v>
      </c>
    </row>
    <row r="405" spans="1:11" x14ac:dyDescent="0.3">
      <c r="A405" t="s">
        <v>1449</v>
      </c>
      <c r="B405" t="s">
        <v>1055</v>
      </c>
      <c r="C405">
        <v>127</v>
      </c>
      <c r="D405" t="s">
        <v>1029</v>
      </c>
      <c r="E405" s="1">
        <v>45039</v>
      </c>
      <c r="F405">
        <v>160</v>
      </c>
      <c r="G405">
        <v>3.2</v>
      </c>
      <c r="H405">
        <v>2023</v>
      </c>
      <c r="I405" t="s">
        <v>1018</v>
      </c>
      <c r="J405" t="s">
        <v>1031</v>
      </c>
      <c r="K405">
        <v>3</v>
      </c>
    </row>
    <row r="406" spans="1:11" x14ac:dyDescent="0.3">
      <c r="A406" t="s">
        <v>1450</v>
      </c>
      <c r="B406" t="s">
        <v>1021</v>
      </c>
      <c r="C406">
        <v>50</v>
      </c>
      <c r="D406" t="s">
        <v>1029</v>
      </c>
      <c r="E406" s="1">
        <v>45039</v>
      </c>
      <c r="F406">
        <v>56</v>
      </c>
      <c r="G406">
        <v>4.7</v>
      </c>
      <c r="H406">
        <v>2023</v>
      </c>
      <c r="I406" t="s">
        <v>1018</v>
      </c>
      <c r="J406" t="s">
        <v>1034</v>
      </c>
      <c r="K406">
        <v>5</v>
      </c>
    </row>
    <row r="407" spans="1:11" x14ac:dyDescent="0.3">
      <c r="A407" t="s">
        <v>1451</v>
      </c>
      <c r="B407" t="s">
        <v>1036</v>
      </c>
      <c r="C407">
        <v>88</v>
      </c>
      <c r="D407" t="s">
        <v>1042</v>
      </c>
      <c r="E407" s="1">
        <v>45039</v>
      </c>
      <c r="F407">
        <v>72</v>
      </c>
      <c r="G407">
        <v>4</v>
      </c>
      <c r="H407">
        <v>2023</v>
      </c>
      <c r="I407" t="s">
        <v>1018</v>
      </c>
      <c r="J407" t="s">
        <v>1019</v>
      </c>
      <c r="K407">
        <v>4</v>
      </c>
    </row>
    <row r="408" spans="1:11" x14ac:dyDescent="0.3">
      <c r="A408" t="s">
        <v>1452</v>
      </c>
      <c r="B408" t="s">
        <v>1021</v>
      </c>
      <c r="C408">
        <v>139</v>
      </c>
      <c r="D408" t="s">
        <v>1024</v>
      </c>
      <c r="E408" s="1">
        <v>45040</v>
      </c>
      <c r="F408">
        <v>81</v>
      </c>
      <c r="G408">
        <v>4.8</v>
      </c>
      <c r="H408">
        <v>2023</v>
      </c>
      <c r="I408" t="s">
        <v>1030</v>
      </c>
      <c r="J408" t="s">
        <v>1031</v>
      </c>
      <c r="K408">
        <v>5</v>
      </c>
    </row>
    <row r="409" spans="1:11" x14ac:dyDescent="0.3">
      <c r="A409" t="s">
        <v>1453</v>
      </c>
      <c r="B409" t="s">
        <v>1026</v>
      </c>
      <c r="C409">
        <v>111</v>
      </c>
      <c r="D409" t="s">
        <v>1029</v>
      </c>
      <c r="E409" s="1">
        <v>45040</v>
      </c>
      <c r="F409">
        <v>144</v>
      </c>
      <c r="G409">
        <v>3.9</v>
      </c>
      <c r="H409">
        <v>2023</v>
      </c>
      <c r="I409" t="s">
        <v>1030</v>
      </c>
      <c r="J409" t="s">
        <v>1019</v>
      </c>
      <c r="K409">
        <v>4</v>
      </c>
    </row>
    <row r="410" spans="1:11" x14ac:dyDescent="0.3">
      <c r="A410" t="s">
        <v>1454</v>
      </c>
      <c r="B410" t="s">
        <v>1023</v>
      </c>
      <c r="C410">
        <v>115</v>
      </c>
      <c r="D410" t="s">
        <v>1024</v>
      </c>
      <c r="E410" s="1">
        <v>45040</v>
      </c>
      <c r="F410">
        <v>111</v>
      </c>
      <c r="G410">
        <v>4.3</v>
      </c>
      <c r="H410">
        <v>2023</v>
      </c>
      <c r="I410" t="s">
        <v>1030</v>
      </c>
      <c r="J410" t="s">
        <v>1019</v>
      </c>
      <c r="K410">
        <v>4</v>
      </c>
    </row>
    <row r="411" spans="1:11" x14ac:dyDescent="0.3">
      <c r="A411" t="s">
        <v>1455</v>
      </c>
      <c r="B411" t="s">
        <v>1098</v>
      </c>
      <c r="C411">
        <v>26</v>
      </c>
      <c r="D411" t="s">
        <v>1038</v>
      </c>
      <c r="E411" s="1">
        <v>45040</v>
      </c>
      <c r="F411">
        <v>43</v>
      </c>
      <c r="G411">
        <v>4.2</v>
      </c>
      <c r="H411">
        <v>2023</v>
      </c>
      <c r="I411" t="s">
        <v>1030</v>
      </c>
      <c r="J411" t="s">
        <v>1056</v>
      </c>
      <c r="K411">
        <v>4</v>
      </c>
    </row>
    <row r="412" spans="1:11" x14ac:dyDescent="0.3">
      <c r="A412" t="s">
        <v>1456</v>
      </c>
      <c r="B412" t="s">
        <v>1041</v>
      </c>
      <c r="C412">
        <v>131</v>
      </c>
      <c r="D412" t="s">
        <v>1042</v>
      </c>
      <c r="E412" s="1">
        <v>45040</v>
      </c>
      <c r="F412">
        <v>41</v>
      </c>
      <c r="G412">
        <v>4.9000000000000004</v>
      </c>
      <c r="H412">
        <v>2023</v>
      </c>
      <c r="I412" t="s">
        <v>1030</v>
      </c>
      <c r="J412" t="s">
        <v>1031</v>
      </c>
      <c r="K412">
        <v>5</v>
      </c>
    </row>
    <row r="413" spans="1:11" x14ac:dyDescent="0.3">
      <c r="A413" t="s">
        <v>1457</v>
      </c>
      <c r="B413" t="s">
        <v>1023</v>
      </c>
      <c r="C413">
        <v>27</v>
      </c>
      <c r="D413" t="s">
        <v>1042</v>
      </c>
      <c r="E413" s="1">
        <v>45040</v>
      </c>
      <c r="F413">
        <v>74</v>
      </c>
      <c r="G413">
        <v>4</v>
      </c>
      <c r="H413">
        <v>2023</v>
      </c>
      <c r="I413" t="s">
        <v>1030</v>
      </c>
      <c r="J413" t="s">
        <v>1056</v>
      </c>
      <c r="K413">
        <v>4</v>
      </c>
    </row>
    <row r="414" spans="1:11" x14ac:dyDescent="0.3">
      <c r="A414" t="s">
        <v>1458</v>
      </c>
      <c r="B414" t="s">
        <v>1068</v>
      </c>
      <c r="C414">
        <v>75</v>
      </c>
      <c r="D414" t="s">
        <v>1029</v>
      </c>
      <c r="E414" s="1">
        <v>45040</v>
      </c>
      <c r="F414">
        <v>43</v>
      </c>
      <c r="G414">
        <v>4.9000000000000004</v>
      </c>
      <c r="H414">
        <v>2023</v>
      </c>
      <c r="I414" t="s">
        <v>1030</v>
      </c>
      <c r="J414" t="s">
        <v>1019</v>
      </c>
      <c r="K414">
        <v>5</v>
      </c>
    </row>
    <row r="415" spans="1:11" x14ac:dyDescent="0.3">
      <c r="A415" t="s">
        <v>1459</v>
      </c>
      <c r="B415" t="s">
        <v>1059</v>
      </c>
      <c r="C415">
        <v>123</v>
      </c>
      <c r="D415" t="s">
        <v>1042</v>
      </c>
      <c r="E415" s="1">
        <v>45040</v>
      </c>
      <c r="F415">
        <v>128</v>
      </c>
      <c r="G415">
        <v>3.6</v>
      </c>
      <c r="H415">
        <v>2023</v>
      </c>
      <c r="I415" t="s">
        <v>1030</v>
      </c>
      <c r="J415" t="s">
        <v>1031</v>
      </c>
      <c r="K415">
        <v>4</v>
      </c>
    </row>
    <row r="416" spans="1:11" x14ac:dyDescent="0.3">
      <c r="A416" t="s">
        <v>1460</v>
      </c>
      <c r="B416" t="s">
        <v>1016</v>
      </c>
      <c r="C416">
        <v>129</v>
      </c>
      <c r="D416" t="s">
        <v>1042</v>
      </c>
      <c r="E416" s="1">
        <v>45041</v>
      </c>
      <c r="F416">
        <v>144</v>
      </c>
      <c r="G416">
        <v>4.0999999999999996</v>
      </c>
      <c r="H416">
        <v>2023</v>
      </c>
      <c r="I416" t="s">
        <v>1033</v>
      </c>
      <c r="J416" t="s">
        <v>1031</v>
      </c>
      <c r="K416">
        <v>4</v>
      </c>
    </row>
    <row r="417" spans="1:11" x14ac:dyDescent="0.3">
      <c r="A417" t="s">
        <v>1461</v>
      </c>
      <c r="B417" t="s">
        <v>1068</v>
      </c>
      <c r="C417">
        <v>124</v>
      </c>
      <c r="D417" t="s">
        <v>1024</v>
      </c>
      <c r="E417" s="1">
        <v>45041</v>
      </c>
      <c r="F417">
        <v>132</v>
      </c>
      <c r="G417">
        <v>4.9000000000000004</v>
      </c>
      <c r="H417">
        <v>2023</v>
      </c>
      <c r="I417" t="s">
        <v>1033</v>
      </c>
      <c r="J417" t="s">
        <v>1031</v>
      </c>
      <c r="K417">
        <v>5</v>
      </c>
    </row>
    <row r="418" spans="1:11" x14ac:dyDescent="0.3">
      <c r="A418" t="s">
        <v>1462</v>
      </c>
      <c r="B418" t="s">
        <v>1023</v>
      </c>
      <c r="C418">
        <v>108</v>
      </c>
      <c r="D418" t="s">
        <v>1024</v>
      </c>
      <c r="E418" s="1">
        <v>45041</v>
      </c>
      <c r="F418">
        <v>180</v>
      </c>
      <c r="G418">
        <v>3.9</v>
      </c>
      <c r="H418">
        <v>2023</v>
      </c>
      <c r="I418" t="s">
        <v>1033</v>
      </c>
      <c r="J418" t="s">
        <v>1019</v>
      </c>
      <c r="K418">
        <v>4</v>
      </c>
    </row>
    <row r="419" spans="1:11" x14ac:dyDescent="0.3">
      <c r="A419" t="s">
        <v>1463</v>
      </c>
      <c r="B419" t="s">
        <v>1028</v>
      </c>
      <c r="C419">
        <v>15</v>
      </c>
      <c r="D419" t="s">
        <v>1024</v>
      </c>
      <c r="E419" s="1">
        <v>45041</v>
      </c>
      <c r="F419">
        <v>31</v>
      </c>
      <c r="G419">
        <v>4.0999999999999996</v>
      </c>
      <c r="H419">
        <v>2023</v>
      </c>
      <c r="I419" t="s">
        <v>1033</v>
      </c>
      <c r="J419" t="s">
        <v>1056</v>
      </c>
      <c r="K419">
        <v>4</v>
      </c>
    </row>
    <row r="420" spans="1:11" x14ac:dyDescent="0.3">
      <c r="A420" t="s">
        <v>1464</v>
      </c>
      <c r="B420" t="s">
        <v>1023</v>
      </c>
      <c r="C420">
        <v>66</v>
      </c>
      <c r="D420" t="s">
        <v>1024</v>
      </c>
      <c r="E420" s="1">
        <v>45041</v>
      </c>
      <c r="F420">
        <v>102</v>
      </c>
      <c r="G420">
        <v>3.8</v>
      </c>
      <c r="H420">
        <v>2023</v>
      </c>
      <c r="I420" t="s">
        <v>1033</v>
      </c>
      <c r="J420" t="s">
        <v>1019</v>
      </c>
      <c r="K420">
        <v>4</v>
      </c>
    </row>
    <row r="421" spans="1:11" x14ac:dyDescent="0.3">
      <c r="A421" t="s">
        <v>1465</v>
      </c>
      <c r="B421" t="s">
        <v>1036</v>
      </c>
      <c r="C421">
        <v>126</v>
      </c>
      <c r="D421" t="s">
        <v>1029</v>
      </c>
      <c r="E421" s="1">
        <v>45042</v>
      </c>
      <c r="F421">
        <v>175</v>
      </c>
      <c r="G421">
        <v>4.8</v>
      </c>
      <c r="H421">
        <v>2023</v>
      </c>
      <c r="I421" t="s">
        <v>1048</v>
      </c>
      <c r="J421" t="s">
        <v>1031</v>
      </c>
      <c r="K421">
        <v>5</v>
      </c>
    </row>
    <row r="422" spans="1:11" x14ac:dyDescent="0.3">
      <c r="A422" t="s">
        <v>1466</v>
      </c>
      <c r="B422" t="s">
        <v>1068</v>
      </c>
      <c r="C422">
        <v>26</v>
      </c>
      <c r="D422" t="s">
        <v>1017</v>
      </c>
      <c r="E422" s="1">
        <v>45042</v>
      </c>
      <c r="F422">
        <v>87</v>
      </c>
      <c r="G422">
        <v>4.7</v>
      </c>
      <c r="H422">
        <v>2023</v>
      </c>
      <c r="I422" t="s">
        <v>1048</v>
      </c>
      <c r="J422" t="s">
        <v>1056</v>
      </c>
      <c r="K422">
        <v>5</v>
      </c>
    </row>
    <row r="423" spans="1:11" x14ac:dyDescent="0.3">
      <c r="A423" t="s">
        <v>1467</v>
      </c>
      <c r="B423" t="s">
        <v>1047</v>
      </c>
      <c r="C423">
        <v>105</v>
      </c>
      <c r="D423" t="s">
        <v>1029</v>
      </c>
      <c r="E423" s="1">
        <v>45042</v>
      </c>
      <c r="F423">
        <v>66</v>
      </c>
      <c r="G423">
        <v>4.2</v>
      </c>
      <c r="H423">
        <v>2023</v>
      </c>
      <c r="I423" t="s">
        <v>1048</v>
      </c>
      <c r="J423" t="s">
        <v>1019</v>
      </c>
      <c r="K423">
        <v>4</v>
      </c>
    </row>
    <row r="424" spans="1:11" x14ac:dyDescent="0.3">
      <c r="A424" t="s">
        <v>1468</v>
      </c>
      <c r="B424" t="s">
        <v>1047</v>
      </c>
      <c r="C424">
        <v>31</v>
      </c>
      <c r="D424" t="s">
        <v>1029</v>
      </c>
      <c r="E424" s="1">
        <v>45042</v>
      </c>
      <c r="F424">
        <v>25</v>
      </c>
      <c r="G424">
        <v>3.2</v>
      </c>
      <c r="H424">
        <v>2023</v>
      </c>
      <c r="I424" t="s">
        <v>1048</v>
      </c>
      <c r="J424" t="s">
        <v>1034</v>
      </c>
      <c r="K424">
        <v>3</v>
      </c>
    </row>
    <row r="425" spans="1:11" x14ac:dyDescent="0.3">
      <c r="A425" t="s">
        <v>1469</v>
      </c>
      <c r="B425" t="s">
        <v>1023</v>
      </c>
      <c r="C425">
        <v>109</v>
      </c>
      <c r="D425" t="s">
        <v>1024</v>
      </c>
      <c r="E425" s="1">
        <v>45042</v>
      </c>
      <c r="F425">
        <v>126</v>
      </c>
      <c r="G425">
        <v>3.4</v>
      </c>
      <c r="H425">
        <v>2023</v>
      </c>
      <c r="I425" t="s">
        <v>1048</v>
      </c>
      <c r="J425" t="s">
        <v>1019</v>
      </c>
      <c r="K425">
        <v>3</v>
      </c>
    </row>
    <row r="426" spans="1:11" x14ac:dyDescent="0.3">
      <c r="A426" t="s">
        <v>1470</v>
      </c>
      <c r="B426" t="s">
        <v>1016</v>
      </c>
      <c r="C426">
        <v>113</v>
      </c>
      <c r="D426" t="s">
        <v>1038</v>
      </c>
      <c r="E426" s="1">
        <v>45043</v>
      </c>
      <c r="F426">
        <v>42</v>
      </c>
      <c r="G426">
        <v>4.5999999999999996</v>
      </c>
      <c r="H426">
        <v>2023</v>
      </c>
      <c r="I426" t="s">
        <v>1052</v>
      </c>
      <c r="J426" t="s">
        <v>1019</v>
      </c>
      <c r="K426">
        <v>5</v>
      </c>
    </row>
    <row r="427" spans="1:11" x14ac:dyDescent="0.3">
      <c r="A427" t="s">
        <v>1471</v>
      </c>
      <c r="B427" t="s">
        <v>1036</v>
      </c>
      <c r="C427">
        <v>101</v>
      </c>
      <c r="D427" t="s">
        <v>1017</v>
      </c>
      <c r="E427" s="1">
        <v>45043</v>
      </c>
      <c r="F427">
        <v>225</v>
      </c>
      <c r="G427">
        <v>1.9</v>
      </c>
      <c r="H427">
        <v>2023</v>
      </c>
      <c r="I427" t="s">
        <v>1052</v>
      </c>
      <c r="J427" t="s">
        <v>1019</v>
      </c>
      <c r="K427">
        <v>2</v>
      </c>
    </row>
    <row r="428" spans="1:11" x14ac:dyDescent="0.3">
      <c r="A428" t="s">
        <v>1472</v>
      </c>
      <c r="B428" t="s">
        <v>1026</v>
      </c>
      <c r="C428">
        <v>156</v>
      </c>
      <c r="D428" t="s">
        <v>1017</v>
      </c>
      <c r="E428" s="1">
        <v>45043</v>
      </c>
      <c r="F428">
        <v>42</v>
      </c>
      <c r="G428">
        <v>3.3</v>
      </c>
      <c r="H428">
        <v>2023</v>
      </c>
      <c r="I428" t="s">
        <v>1052</v>
      </c>
      <c r="J428" t="s">
        <v>1031</v>
      </c>
      <c r="K428">
        <v>3</v>
      </c>
    </row>
    <row r="429" spans="1:11" x14ac:dyDescent="0.3">
      <c r="A429" t="s">
        <v>1473</v>
      </c>
      <c r="B429" t="s">
        <v>1023</v>
      </c>
      <c r="C429">
        <v>145</v>
      </c>
      <c r="D429" t="s">
        <v>1038</v>
      </c>
      <c r="E429" s="1">
        <v>45044</v>
      </c>
      <c r="F429">
        <v>110</v>
      </c>
      <c r="G429">
        <v>3.1</v>
      </c>
      <c r="H429">
        <v>2023</v>
      </c>
      <c r="I429" t="s">
        <v>411</v>
      </c>
      <c r="J429" t="s">
        <v>1031</v>
      </c>
      <c r="K429">
        <v>3</v>
      </c>
    </row>
    <row r="430" spans="1:11" x14ac:dyDescent="0.3">
      <c r="A430" t="s">
        <v>1474</v>
      </c>
      <c r="B430" t="s">
        <v>1059</v>
      </c>
      <c r="C430">
        <v>36</v>
      </c>
      <c r="D430" t="s">
        <v>1024</v>
      </c>
      <c r="E430" s="1">
        <v>45044</v>
      </c>
      <c r="F430">
        <v>225</v>
      </c>
      <c r="G430">
        <v>4.8</v>
      </c>
      <c r="H430">
        <v>2023</v>
      </c>
      <c r="I430" t="s">
        <v>411</v>
      </c>
      <c r="J430" t="s">
        <v>1034</v>
      </c>
      <c r="K430">
        <v>5</v>
      </c>
    </row>
    <row r="431" spans="1:11" x14ac:dyDescent="0.3">
      <c r="A431" t="s">
        <v>1475</v>
      </c>
      <c r="B431" t="s">
        <v>1047</v>
      </c>
      <c r="C431">
        <v>135</v>
      </c>
      <c r="D431" t="s">
        <v>1042</v>
      </c>
      <c r="E431" s="1">
        <v>45045</v>
      </c>
      <c r="F431">
        <v>125</v>
      </c>
      <c r="G431">
        <v>3.3</v>
      </c>
      <c r="H431">
        <v>2023</v>
      </c>
      <c r="I431" t="s">
        <v>1062</v>
      </c>
      <c r="J431" t="s">
        <v>1031</v>
      </c>
      <c r="K431">
        <v>3</v>
      </c>
    </row>
    <row r="432" spans="1:11" x14ac:dyDescent="0.3">
      <c r="A432" t="s">
        <v>1476</v>
      </c>
      <c r="B432" t="s">
        <v>1036</v>
      </c>
      <c r="C432">
        <v>81</v>
      </c>
      <c r="D432" t="s">
        <v>1024</v>
      </c>
      <c r="E432" s="1">
        <v>45045</v>
      </c>
      <c r="F432">
        <v>78</v>
      </c>
      <c r="G432">
        <v>2.9</v>
      </c>
      <c r="H432">
        <v>2023</v>
      </c>
      <c r="I432" t="s">
        <v>1062</v>
      </c>
      <c r="J432" t="s">
        <v>1019</v>
      </c>
      <c r="K432">
        <v>3</v>
      </c>
    </row>
    <row r="433" spans="1:11" x14ac:dyDescent="0.3">
      <c r="A433" t="s">
        <v>1477</v>
      </c>
      <c r="B433" t="s">
        <v>1036</v>
      </c>
      <c r="C433">
        <v>81</v>
      </c>
      <c r="D433" t="s">
        <v>1038</v>
      </c>
      <c r="E433" s="1">
        <v>45045</v>
      </c>
      <c r="F433">
        <v>40</v>
      </c>
      <c r="G433">
        <v>2.4</v>
      </c>
      <c r="H433">
        <v>2023</v>
      </c>
      <c r="I433" t="s">
        <v>1062</v>
      </c>
      <c r="J433" t="s">
        <v>1019</v>
      </c>
      <c r="K433">
        <v>2</v>
      </c>
    </row>
    <row r="434" spans="1:11" x14ac:dyDescent="0.3">
      <c r="A434" t="s">
        <v>1478</v>
      </c>
      <c r="B434" t="s">
        <v>1055</v>
      </c>
      <c r="C434">
        <v>93</v>
      </c>
      <c r="D434" t="s">
        <v>1029</v>
      </c>
      <c r="E434" s="1">
        <v>45045</v>
      </c>
      <c r="F434">
        <v>150</v>
      </c>
      <c r="G434">
        <v>4.5999999999999996</v>
      </c>
      <c r="H434">
        <v>2023</v>
      </c>
      <c r="I434" t="s">
        <v>1062</v>
      </c>
      <c r="J434" t="s">
        <v>1019</v>
      </c>
      <c r="K434">
        <v>5</v>
      </c>
    </row>
    <row r="435" spans="1:11" x14ac:dyDescent="0.3">
      <c r="A435" t="s">
        <v>1479</v>
      </c>
      <c r="B435" t="s">
        <v>1023</v>
      </c>
      <c r="C435">
        <v>14</v>
      </c>
      <c r="D435" t="s">
        <v>1024</v>
      </c>
      <c r="E435" s="1">
        <v>45045</v>
      </c>
      <c r="F435">
        <v>96</v>
      </c>
      <c r="G435">
        <v>4.8</v>
      </c>
      <c r="H435">
        <v>2023</v>
      </c>
      <c r="I435" t="s">
        <v>1062</v>
      </c>
      <c r="J435" t="s">
        <v>1056</v>
      </c>
      <c r="K435">
        <v>5</v>
      </c>
    </row>
    <row r="436" spans="1:11" x14ac:dyDescent="0.3">
      <c r="A436" t="s">
        <v>1480</v>
      </c>
      <c r="B436" t="s">
        <v>1047</v>
      </c>
      <c r="C436">
        <v>95</v>
      </c>
      <c r="D436" t="s">
        <v>1038</v>
      </c>
      <c r="E436" s="1">
        <v>45046</v>
      </c>
      <c r="F436">
        <v>75</v>
      </c>
      <c r="G436">
        <v>4.8</v>
      </c>
      <c r="H436">
        <v>2023</v>
      </c>
      <c r="I436" t="s">
        <v>1018</v>
      </c>
      <c r="J436" t="s">
        <v>1019</v>
      </c>
      <c r="K436">
        <v>5</v>
      </c>
    </row>
    <row r="437" spans="1:11" x14ac:dyDescent="0.3">
      <c r="A437" t="s">
        <v>1481</v>
      </c>
      <c r="B437" t="s">
        <v>1055</v>
      </c>
      <c r="C437">
        <v>81</v>
      </c>
      <c r="D437" t="s">
        <v>1038</v>
      </c>
      <c r="E437" s="1">
        <v>45046</v>
      </c>
      <c r="F437">
        <v>60</v>
      </c>
      <c r="G437">
        <v>3.6</v>
      </c>
      <c r="H437">
        <v>2023</v>
      </c>
      <c r="I437" t="s">
        <v>1018</v>
      </c>
      <c r="J437" t="s">
        <v>1019</v>
      </c>
      <c r="K437">
        <v>4</v>
      </c>
    </row>
    <row r="438" spans="1:11" x14ac:dyDescent="0.3">
      <c r="A438" t="s">
        <v>1482</v>
      </c>
      <c r="B438" t="s">
        <v>1098</v>
      </c>
      <c r="C438">
        <v>60</v>
      </c>
      <c r="D438" t="s">
        <v>1024</v>
      </c>
      <c r="E438" s="1">
        <v>45047</v>
      </c>
      <c r="F438">
        <v>41</v>
      </c>
      <c r="G438">
        <v>4.8</v>
      </c>
      <c r="H438">
        <v>2023</v>
      </c>
      <c r="I438" t="s">
        <v>1030</v>
      </c>
      <c r="J438" t="s">
        <v>1034</v>
      </c>
      <c r="K438">
        <v>5</v>
      </c>
    </row>
    <row r="439" spans="1:11" x14ac:dyDescent="0.3">
      <c r="A439" t="s">
        <v>1483</v>
      </c>
      <c r="B439" t="s">
        <v>1045</v>
      </c>
      <c r="C439">
        <v>137</v>
      </c>
      <c r="D439" t="s">
        <v>1029</v>
      </c>
      <c r="E439" s="1">
        <v>45047</v>
      </c>
      <c r="F439">
        <v>20</v>
      </c>
      <c r="G439">
        <v>4.2</v>
      </c>
      <c r="H439">
        <v>2023</v>
      </c>
      <c r="I439" t="s">
        <v>1030</v>
      </c>
      <c r="J439" t="s">
        <v>1031</v>
      </c>
      <c r="K439">
        <v>4</v>
      </c>
    </row>
    <row r="440" spans="1:11" x14ac:dyDescent="0.3">
      <c r="A440" t="s">
        <v>1484</v>
      </c>
      <c r="B440" t="s">
        <v>1021</v>
      </c>
      <c r="C440">
        <v>112</v>
      </c>
      <c r="D440" t="s">
        <v>1042</v>
      </c>
      <c r="E440" s="1">
        <v>45047</v>
      </c>
      <c r="F440">
        <v>84</v>
      </c>
      <c r="G440">
        <v>2.6</v>
      </c>
      <c r="H440">
        <v>2023</v>
      </c>
      <c r="I440" t="s">
        <v>1030</v>
      </c>
      <c r="J440" t="s">
        <v>1019</v>
      </c>
      <c r="K440">
        <v>3</v>
      </c>
    </row>
    <row r="441" spans="1:11" x14ac:dyDescent="0.3">
      <c r="A441" t="s">
        <v>1485</v>
      </c>
      <c r="B441" t="s">
        <v>1047</v>
      </c>
      <c r="C441">
        <v>76</v>
      </c>
      <c r="D441" t="s">
        <v>1017</v>
      </c>
      <c r="E441" s="1">
        <v>45047</v>
      </c>
      <c r="F441">
        <v>140</v>
      </c>
      <c r="G441">
        <v>3.7</v>
      </c>
      <c r="H441">
        <v>2023</v>
      </c>
      <c r="I441" t="s">
        <v>1030</v>
      </c>
      <c r="J441" t="s">
        <v>1019</v>
      </c>
      <c r="K441">
        <v>4</v>
      </c>
    </row>
    <row r="442" spans="1:11" x14ac:dyDescent="0.3">
      <c r="A442" t="s">
        <v>1486</v>
      </c>
      <c r="B442" t="s">
        <v>1065</v>
      </c>
      <c r="C442">
        <v>73</v>
      </c>
      <c r="D442" t="s">
        <v>1024</v>
      </c>
      <c r="E442" s="1">
        <v>45047</v>
      </c>
      <c r="F442">
        <v>66</v>
      </c>
      <c r="G442">
        <v>4.8</v>
      </c>
      <c r="H442">
        <v>2023</v>
      </c>
      <c r="I442" t="s">
        <v>1030</v>
      </c>
      <c r="J442" t="s">
        <v>1019</v>
      </c>
      <c r="K442">
        <v>5</v>
      </c>
    </row>
    <row r="443" spans="1:11" x14ac:dyDescent="0.3">
      <c r="A443" t="s">
        <v>1487</v>
      </c>
      <c r="B443" t="s">
        <v>1041</v>
      </c>
      <c r="C443">
        <v>119</v>
      </c>
      <c r="D443" t="s">
        <v>1029</v>
      </c>
      <c r="E443" s="1">
        <v>45047</v>
      </c>
      <c r="F443">
        <v>105</v>
      </c>
      <c r="G443">
        <v>4.7</v>
      </c>
      <c r="H443">
        <v>2023</v>
      </c>
      <c r="I443" t="s">
        <v>1030</v>
      </c>
      <c r="J443" t="s">
        <v>1019</v>
      </c>
      <c r="K443">
        <v>5</v>
      </c>
    </row>
    <row r="444" spans="1:11" x14ac:dyDescent="0.3">
      <c r="A444" t="s">
        <v>1488</v>
      </c>
      <c r="B444" t="s">
        <v>1016</v>
      </c>
      <c r="C444">
        <v>135</v>
      </c>
      <c r="D444" t="s">
        <v>1038</v>
      </c>
      <c r="E444" s="1">
        <v>45048</v>
      </c>
      <c r="F444">
        <v>104</v>
      </c>
      <c r="G444">
        <v>4.0999999999999996</v>
      </c>
      <c r="H444">
        <v>2023</v>
      </c>
      <c r="I444" t="s">
        <v>1033</v>
      </c>
      <c r="J444" t="s">
        <v>1031</v>
      </c>
      <c r="K444">
        <v>4</v>
      </c>
    </row>
    <row r="445" spans="1:11" x14ac:dyDescent="0.3">
      <c r="A445" t="s">
        <v>1489</v>
      </c>
      <c r="B445" t="s">
        <v>1045</v>
      </c>
      <c r="C445">
        <v>41</v>
      </c>
      <c r="D445" t="s">
        <v>1042</v>
      </c>
      <c r="E445" s="1">
        <v>45048</v>
      </c>
      <c r="F445">
        <v>123</v>
      </c>
      <c r="G445">
        <v>3.2</v>
      </c>
      <c r="H445">
        <v>2023</v>
      </c>
      <c r="I445" t="s">
        <v>1033</v>
      </c>
      <c r="J445" t="s">
        <v>1034</v>
      </c>
      <c r="K445">
        <v>3</v>
      </c>
    </row>
    <row r="446" spans="1:11" x14ac:dyDescent="0.3">
      <c r="A446" t="s">
        <v>1490</v>
      </c>
      <c r="B446" t="s">
        <v>1023</v>
      </c>
      <c r="C446">
        <v>35</v>
      </c>
      <c r="D446" t="s">
        <v>1038</v>
      </c>
      <c r="E446" s="1">
        <v>45049</v>
      </c>
      <c r="F446">
        <v>215</v>
      </c>
      <c r="G446">
        <v>4.3</v>
      </c>
      <c r="H446">
        <v>2023</v>
      </c>
      <c r="I446" t="s">
        <v>1048</v>
      </c>
      <c r="J446" t="s">
        <v>1034</v>
      </c>
      <c r="K446">
        <v>4</v>
      </c>
    </row>
    <row r="447" spans="1:11" x14ac:dyDescent="0.3">
      <c r="A447" t="s">
        <v>1491</v>
      </c>
      <c r="B447" t="s">
        <v>1016</v>
      </c>
      <c r="C447">
        <v>96</v>
      </c>
      <c r="D447" t="s">
        <v>1024</v>
      </c>
      <c r="E447" s="1">
        <v>45049</v>
      </c>
      <c r="F447">
        <v>46</v>
      </c>
      <c r="G447">
        <v>0.7</v>
      </c>
      <c r="H447">
        <v>2023</v>
      </c>
      <c r="I447" t="s">
        <v>1048</v>
      </c>
      <c r="J447" t="s">
        <v>1019</v>
      </c>
      <c r="K447">
        <v>1</v>
      </c>
    </row>
    <row r="448" spans="1:11" x14ac:dyDescent="0.3">
      <c r="A448" t="s">
        <v>1492</v>
      </c>
      <c r="B448" t="s">
        <v>1055</v>
      </c>
      <c r="C448">
        <v>61</v>
      </c>
      <c r="D448" t="s">
        <v>1042</v>
      </c>
      <c r="E448" s="1">
        <v>45049</v>
      </c>
      <c r="F448">
        <v>115</v>
      </c>
      <c r="G448">
        <v>3.7</v>
      </c>
      <c r="H448">
        <v>2023</v>
      </c>
      <c r="I448" t="s">
        <v>1048</v>
      </c>
      <c r="J448" t="s">
        <v>1019</v>
      </c>
      <c r="K448">
        <v>4</v>
      </c>
    </row>
    <row r="449" spans="1:11" x14ac:dyDescent="0.3">
      <c r="A449" t="s">
        <v>1493</v>
      </c>
      <c r="B449" t="s">
        <v>1016</v>
      </c>
      <c r="C449">
        <v>91</v>
      </c>
      <c r="D449" t="s">
        <v>1042</v>
      </c>
      <c r="E449" s="1">
        <v>45049</v>
      </c>
      <c r="F449">
        <v>124</v>
      </c>
      <c r="G449">
        <v>3.9</v>
      </c>
      <c r="H449">
        <v>2023</v>
      </c>
      <c r="I449" t="s">
        <v>1048</v>
      </c>
      <c r="J449" t="s">
        <v>1019</v>
      </c>
      <c r="K449">
        <v>4</v>
      </c>
    </row>
    <row r="450" spans="1:11" x14ac:dyDescent="0.3">
      <c r="A450" t="s">
        <v>1494</v>
      </c>
      <c r="B450" t="s">
        <v>1078</v>
      </c>
      <c r="C450">
        <v>30</v>
      </c>
      <c r="D450" t="s">
        <v>1042</v>
      </c>
      <c r="E450" s="1">
        <v>45050</v>
      </c>
      <c r="F450">
        <v>205</v>
      </c>
      <c r="G450">
        <v>4.5</v>
      </c>
      <c r="H450">
        <v>2023</v>
      </c>
      <c r="I450" t="s">
        <v>1052</v>
      </c>
      <c r="J450" t="s">
        <v>1056</v>
      </c>
      <c r="K450">
        <v>5</v>
      </c>
    </row>
    <row r="451" spans="1:11" x14ac:dyDescent="0.3">
      <c r="A451" t="s">
        <v>1495</v>
      </c>
      <c r="B451" t="s">
        <v>1098</v>
      </c>
      <c r="C451">
        <v>111</v>
      </c>
      <c r="D451" t="s">
        <v>1029</v>
      </c>
      <c r="E451" s="1">
        <v>45050</v>
      </c>
      <c r="F451">
        <v>90</v>
      </c>
      <c r="G451">
        <v>2.8</v>
      </c>
      <c r="H451">
        <v>2023</v>
      </c>
      <c r="I451" t="s">
        <v>1052</v>
      </c>
      <c r="J451" t="s">
        <v>1019</v>
      </c>
      <c r="K451">
        <v>3</v>
      </c>
    </row>
    <row r="452" spans="1:11" x14ac:dyDescent="0.3">
      <c r="A452" t="s">
        <v>1496</v>
      </c>
      <c r="B452" t="s">
        <v>1055</v>
      </c>
      <c r="C452">
        <v>81</v>
      </c>
      <c r="D452" t="s">
        <v>1024</v>
      </c>
      <c r="E452" s="1">
        <v>45050</v>
      </c>
      <c r="F452">
        <v>92</v>
      </c>
      <c r="G452">
        <v>4.9000000000000004</v>
      </c>
      <c r="H452">
        <v>2023</v>
      </c>
      <c r="I452" t="s">
        <v>1052</v>
      </c>
      <c r="J452" t="s">
        <v>1019</v>
      </c>
      <c r="K452">
        <v>5</v>
      </c>
    </row>
    <row r="453" spans="1:11" x14ac:dyDescent="0.3">
      <c r="A453" t="s">
        <v>1497</v>
      </c>
      <c r="B453" t="s">
        <v>1047</v>
      </c>
      <c r="C453">
        <v>40</v>
      </c>
      <c r="D453" t="s">
        <v>1038</v>
      </c>
      <c r="E453" s="1">
        <v>45052</v>
      </c>
      <c r="F453">
        <v>108</v>
      </c>
      <c r="G453">
        <v>4.2</v>
      </c>
      <c r="H453">
        <v>2023</v>
      </c>
      <c r="I453" t="s">
        <v>1062</v>
      </c>
      <c r="J453" t="s">
        <v>1034</v>
      </c>
      <c r="K453">
        <v>4</v>
      </c>
    </row>
    <row r="454" spans="1:11" x14ac:dyDescent="0.3">
      <c r="A454" t="s">
        <v>1498</v>
      </c>
      <c r="B454" t="s">
        <v>1098</v>
      </c>
      <c r="C454">
        <v>143</v>
      </c>
      <c r="D454" t="s">
        <v>1038</v>
      </c>
      <c r="E454" s="1">
        <v>45052</v>
      </c>
      <c r="F454">
        <v>54</v>
      </c>
      <c r="G454">
        <v>4.4000000000000004</v>
      </c>
      <c r="H454">
        <v>2023</v>
      </c>
      <c r="I454" t="s">
        <v>1062</v>
      </c>
      <c r="J454" t="s">
        <v>1031</v>
      </c>
      <c r="K454">
        <v>4</v>
      </c>
    </row>
    <row r="455" spans="1:11" x14ac:dyDescent="0.3">
      <c r="A455" t="s">
        <v>1499</v>
      </c>
      <c r="B455" t="s">
        <v>1047</v>
      </c>
      <c r="C455">
        <v>70</v>
      </c>
      <c r="D455" t="s">
        <v>1038</v>
      </c>
      <c r="E455" s="1">
        <v>45053</v>
      </c>
      <c r="F455">
        <v>44</v>
      </c>
      <c r="G455">
        <v>3.5</v>
      </c>
      <c r="H455">
        <v>2023</v>
      </c>
      <c r="I455" t="s">
        <v>1018</v>
      </c>
      <c r="J455" t="s">
        <v>1019</v>
      </c>
      <c r="K455">
        <v>4</v>
      </c>
    </row>
    <row r="456" spans="1:11" x14ac:dyDescent="0.3">
      <c r="A456" t="s">
        <v>1500</v>
      </c>
      <c r="B456" t="s">
        <v>1065</v>
      </c>
      <c r="C456">
        <v>137</v>
      </c>
      <c r="D456" t="s">
        <v>1038</v>
      </c>
      <c r="E456" s="1">
        <v>45053</v>
      </c>
      <c r="F456">
        <v>44</v>
      </c>
      <c r="G456">
        <v>4.7</v>
      </c>
      <c r="H456">
        <v>2023</v>
      </c>
      <c r="I456" t="s">
        <v>1018</v>
      </c>
      <c r="J456" t="s">
        <v>1031</v>
      </c>
      <c r="K456">
        <v>5</v>
      </c>
    </row>
    <row r="457" spans="1:11" x14ac:dyDescent="0.3">
      <c r="A457" t="s">
        <v>1501</v>
      </c>
      <c r="B457" t="s">
        <v>1016</v>
      </c>
      <c r="C457">
        <v>52</v>
      </c>
      <c r="D457" t="s">
        <v>1024</v>
      </c>
      <c r="E457" s="1">
        <v>45054</v>
      </c>
      <c r="F457">
        <v>37</v>
      </c>
      <c r="G457">
        <v>4.9000000000000004</v>
      </c>
      <c r="H457">
        <v>2023</v>
      </c>
      <c r="I457" t="s">
        <v>1030</v>
      </c>
      <c r="J457" t="s">
        <v>1034</v>
      </c>
      <c r="K457">
        <v>5</v>
      </c>
    </row>
    <row r="458" spans="1:11" x14ac:dyDescent="0.3">
      <c r="A458" t="s">
        <v>1502</v>
      </c>
      <c r="B458" t="s">
        <v>1021</v>
      </c>
      <c r="C458">
        <v>31</v>
      </c>
      <c r="D458" t="s">
        <v>1029</v>
      </c>
      <c r="E458" s="1">
        <v>45054</v>
      </c>
      <c r="F458">
        <v>180</v>
      </c>
      <c r="G458">
        <v>4.5</v>
      </c>
      <c r="H458">
        <v>2023</v>
      </c>
      <c r="I458" t="s">
        <v>1030</v>
      </c>
      <c r="J458" t="s">
        <v>1034</v>
      </c>
      <c r="K458">
        <v>5</v>
      </c>
    </row>
    <row r="459" spans="1:11" x14ac:dyDescent="0.3">
      <c r="A459" t="s">
        <v>1503</v>
      </c>
      <c r="B459" t="s">
        <v>1016</v>
      </c>
      <c r="C459">
        <v>114</v>
      </c>
      <c r="D459" t="s">
        <v>1042</v>
      </c>
      <c r="E459" s="1">
        <v>45054</v>
      </c>
      <c r="F459">
        <v>105</v>
      </c>
      <c r="G459">
        <v>4.9000000000000004</v>
      </c>
      <c r="H459">
        <v>2023</v>
      </c>
      <c r="I459" t="s">
        <v>1030</v>
      </c>
      <c r="J459" t="s">
        <v>1019</v>
      </c>
      <c r="K459">
        <v>5</v>
      </c>
    </row>
    <row r="460" spans="1:11" x14ac:dyDescent="0.3">
      <c r="A460" t="s">
        <v>1504</v>
      </c>
      <c r="B460" t="s">
        <v>1065</v>
      </c>
      <c r="C460">
        <v>73</v>
      </c>
      <c r="D460" t="s">
        <v>1017</v>
      </c>
      <c r="E460" s="1">
        <v>45054</v>
      </c>
      <c r="F460">
        <v>87</v>
      </c>
      <c r="G460">
        <v>3.6</v>
      </c>
      <c r="H460">
        <v>2023</v>
      </c>
      <c r="I460" t="s">
        <v>1030</v>
      </c>
      <c r="J460" t="s">
        <v>1019</v>
      </c>
      <c r="K460">
        <v>4</v>
      </c>
    </row>
    <row r="461" spans="1:11" x14ac:dyDescent="0.3">
      <c r="A461" t="s">
        <v>1505</v>
      </c>
      <c r="B461" t="s">
        <v>1055</v>
      </c>
      <c r="C461">
        <v>25</v>
      </c>
      <c r="D461" t="s">
        <v>1029</v>
      </c>
      <c r="E461" s="1">
        <v>45054</v>
      </c>
      <c r="F461">
        <v>52</v>
      </c>
      <c r="G461">
        <v>3.8</v>
      </c>
      <c r="H461">
        <v>2023</v>
      </c>
      <c r="I461" t="s">
        <v>1030</v>
      </c>
      <c r="J461" t="s">
        <v>1056</v>
      </c>
      <c r="K461">
        <v>4</v>
      </c>
    </row>
    <row r="462" spans="1:11" x14ac:dyDescent="0.3">
      <c r="A462" t="s">
        <v>1506</v>
      </c>
      <c r="B462" t="s">
        <v>1028</v>
      </c>
      <c r="C462">
        <v>44</v>
      </c>
      <c r="D462" t="s">
        <v>1042</v>
      </c>
      <c r="E462" s="1">
        <v>45054</v>
      </c>
      <c r="F462">
        <v>63</v>
      </c>
      <c r="G462">
        <v>3.5</v>
      </c>
      <c r="H462">
        <v>2023</v>
      </c>
      <c r="I462" t="s">
        <v>1030</v>
      </c>
      <c r="J462" t="s">
        <v>1034</v>
      </c>
      <c r="K462">
        <v>4</v>
      </c>
    </row>
    <row r="463" spans="1:11" x14ac:dyDescent="0.3">
      <c r="A463" t="s">
        <v>1507</v>
      </c>
      <c r="B463" t="s">
        <v>1059</v>
      </c>
      <c r="C463">
        <v>34</v>
      </c>
      <c r="D463" t="s">
        <v>1024</v>
      </c>
      <c r="E463" s="1">
        <v>45055</v>
      </c>
      <c r="F463">
        <v>195</v>
      </c>
      <c r="G463">
        <v>4.8</v>
      </c>
      <c r="H463">
        <v>2023</v>
      </c>
      <c r="I463" t="s">
        <v>1033</v>
      </c>
      <c r="J463" t="s">
        <v>1034</v>
      </c>
      <c r="K463">
        <v>5</v>
      </c>
    </row>
    <row r="464" spans="1:11" x14ac:dyDescent="0.3">
      <c r="A464" t="s">
        <v>1508</v>
      </c>
      <c r="B464" t="s">
        <v>1098</v>
      </c>
      <c r="C464">
        <v>89</v>
      </c>
      <c r="D464" t="s">
        <v>1038</v>
      </c>
      <c r="E464" s="1">
        <v>45056</v>
      </c>
      <c r="F464">
        <v>176</v>
      </c>
      <c r="G464">
        <v>4.5</v>
      </c>
      <c r="H464">
        <v>2023</v>
      </c>
      <c r="I464" t="s">
        <v>1048</v>
      </c>
      <c r="J464" t="s">
        <v>1019</v>
      </c>
      <c r="K464">
        <v>5</v>
      </c>
    </row>
    <row r="465" spans="1:11" x14ac:dyDescent="0.3">
      <c r="A465" t="s">
        <v>1509</v>
      </c>
      <c r="B465" t="s">
        <v>1041</v>
      </c>
      <c r="C465">
        <v>54</v>
      </c>
      <c r="D465" t="s">
        <v>1029</v>
      </c>
      <c r="E465" s="1">
        <v>45057</v>
      </c>
      <c r="F465">
        <v>31</v>
      </c>
      <c r="G465">
        <v>3.3</v>
      </c>
      <c r="H465">
        <v>2023</v>
      </c>
      <c r="I465" t="s">
        <v>1052</v>
      </c>
      <c r="J465" t="s">
        <v>1034</v>
      </c>
      <c r="K465">
        <v>3</v>
      </c>
    </row>
    <row r="466" spans="1:11" x14ac:dyDescent="0.3">
      <c r="A466" t="s">
        <v>1510</v>
      </c>
      <c r="B466" t="s">
        <v>1023</v>
      </c>
      <c r="C466">
        <v>25</v>
      </c>
      <c r="D466" t="s">
        <v>1029</v>
      </c>
      <c r="E466" s="1">
        <v>45058</v>
      </c>
      <c r="F466">
        <v>27</v>
      </c>
      <c r="G466">
        <v>3.2</v>
      </c>
      <c r="H466">
        <v>2023</v>
      </c>
      <c r="I466" t="s">
        <v>411</v>
      </c>
      <c r="J466" t="s">
        <v>1056</v>
      </c>
      <c r="K466">
        <v>3</v>
      </c>
    </row>
    <row r="467" spans="1:11" x14ac:dyDescent="0.3">
      <c r="A467" t="s">
        <v>1511</v>
      </c>
      <c r="B467" t="s">
        <v>1045</v>
      </c>
      <c r="C467">
        <v>91</v>
      </c>
      <c r="D467" t="s">
        <v>1038</v>
      </c>
      <c r="E467" s="1">
        <v>45058</v>
      </c>
      <c r="F467">
        <v>76</v>
      </c>
      <c r="G467">
        <v>4.9000000000000004</v>
      </c>
      <c r="H467">
        <v>2023</v>
      </c>
      <c r="I467" t="s">
        <v>411</v>
      </c>
      <c r="J467" t="s">
        <v>1019</v>
      </c>
      <c r="K467">
        <v>5</v>
      </c>
    </row>
    <row r="468" spans="1:11" x14ac:dyDescent="0.3">
      <c r="A468" t="s">
        <v>1512</v>
      </c>
      <c r="B468" t="s">
        <v>1028</v>
      </c>
      <c r="C468">
        <v>144</v>
      </c>
      <c r="D468" t="s">
        <v>1042</v>
      </c>
      <c r="E468" s="1">
        <v>45058</v>
      </c>
      <c r="F468">
        <v>62</v>
      </c>
      <c r="G468">
        <v>4.8</v>
      </c>
      <c r="H468">
        <v>2023</v>
      </c>
      <c r="I468" t="s">
        <v>411</v>
      </c>
      <c r="J468" t="s">
        <v>1031</v>
      </c>
      <c r="K468">
        <v>5</v>
      </c>
    </row>
    <row r="469" spans="1:11" x14ac:dyDescent="0.3">
      <c r="A469" t="s">
        <v>1513</v>
      </c>
      <c r="B469" t="s">
        <v>1045</v>
      </c>
      <c r="C469">
        <v>81</v>
      </c>
      <c r="D469" t="s">
        <v>1024</v>
      </c>
      <c r="E469" s="1">
        <v>45060</v>
      </c>
      <c r="F469">
        <v>100</v>
      </c>
      <c r="G469">
        <v>1.3</v>
      </c>
      <c r="H469">
        <v>2023</v>
      </c>
      <c r="I469" t="s">
        <v>1018</v>
      </c>
      <c r="J469" t="s">
        <v>1019</v>
      </c>
      <c r="K469">
        <v>1</v>
      </c>
    </row>
    <row r="470" spans="1:11" x14ac:dyDescent="0.3">
      <c r="A470" t="s">
        <v>1514</v>
      </c>
      <c r="B470" t="s">
        <v>1078</v>
      </c>
      <c r="C470">
        <v>92</v>
      </c>
      <c r="D470" t="s">
        <v>1029</v>
      </c>
      <c r="E470" s="1">
        <v>45060</v>
      </c>
      <c r="F470">
        <v>44</v>
      </c>
      <c r="G470">
        <v>3.1</v>
      </c>
      <c r="H470">
        <v>2023</v>
      </c>
      <c r="I470" t="s">
        <v>1018</v>
      </c>
      <c r="J470" t="s">
        <v>1019</v>
      </c>
      <c r="K470">
        <v>3</v>
      </c>
    </row>
    <row r="471" spans="1:11" x14ac:dyDescent="0.3">
      <c r="A471" t="s">
        <v>1515</v>
      </c>
      <c r="B471" t="s">
        <v>1023</v>
      </c>
      <c r="C471">
        <v>115</v>
      </c>
      <c r="D471" t="s">
        <v>1038</v>
      </c>
      <c r="E471" s="1">
        <v>45060</v>
      </c>
      <c r="F471">
        <v>168</v>
      </c>
      <c r="G471">
        <v>3.4</v>
      </c>
      <c r="H471">
        <v>2023</v>
      </c>
      <c r="I471" t="s">
        <v>1018</v>
      </c>
      <c r="J471" t="s">
        <v>1019</v>
      </c>
      <c r="K471">
        <v>3</v>
      </c>
    </row>
    <row r="472" spans="1:11" x14ac:dyDescent="0.3">
      <c r="A472" t="s">
        <v>1516</v>
      </c>
      <c r="B472" t="s">
        <v>1036</v>
      </c>
      <c r="C472">
        <v>56</v>
      </c>
      <c r="D472" t="s">
        <v>1038</v>
      </c>
      <c r="E472" s="1">
        <v>45061</v>
      </c>
      <c r="F472">
        <v>200</v>
      </c>
      <c r="G472">
        <v>4.5999999999999996</v>
      </c>
      <c r="H472">
        <v>2023</v>
      </c>
      <c r="I472" t="s">
        <v>1030</v>
      </c>
      <c r="J472" t="s">
        <v>1034</v>
      </c>
      <c r="K472">
        <v>5</v>
      </c>
    </row>
    <row r="473" spans="1:11" x14ac:dyDescent="0.3">
      <c r="A473" t="s">
        <v>1517</v>
      </c>
      <c r="B473" t="s">
        <v>1021</v>
      </c>
      <c r="C473">
        <v>154</v>
      </c>
      <c r="D473" t="s">
        <v>1029</v>
      </c>
      <c r="E473" s="1">
        <v>45061</v>
      </c>
      <c r="F473">
        <v>84</v>
      </c>
      <c r="G473">
        <v>4.3</v>
      </c>
      <c r="H473">
        <v>2023</v>
      </c>
      <c r="I473" t="s">
        <v>1030</v>
      </c>
      <c r="J473" t="s">
        <v>1031</v>
      </c>
      <c r="K473">
        <v>4</v>
      </c>
    </row>
    <row r="474" spans="1:11" x14ac:dyDescent="0.3">
      <c r="A474" t="s">
        <v>1518</v>
      </c>
      <c r="B474" t="s">
        <v>1098</v>
      </c>
      <c r="C474">
        <v>51</v>
      </c>
      <c r="D474" t="s">
        <v>1038</v>
      </c>
      <c r="E474" s="1">
        <v>45062</v>
      </c>
      <c r="F474">
        <v>117</v>
      </c>
      <c r="G474">
        <v>2.7</v>
      </c>
      <c r="H474">
        <v>2023</v>
      </c>
      <c r="I474" t="s">
        <v>1033</v>
      </c>
      <c r="J474" t="s">
        <v>1034</v>
      </c>
      <c r="K474">
        <v>3</v>
      </c>
    </row>
    <row r="475" spans="1:11" x14ac:dyDescent="0.3">
      <c r="A475" t="s">
        <v>1519</v>
      </c>
      <c r="B475" t="s">
        <v>1059</v>
      </c>
      <c r="C475">
        <v>21</v>
      </c>
      <c r="D475" t="s">
        <v>1024</v>
      </c>
      <c r="E475" s="1">
        <v>45062</v>
      </c>
      <c r="F475">
        <v>63</v>
      </c>
      <c r="G475">
        <v>4.2</v>
      </c>
      <c r="H475">
        <v>2023</v>
      </c>
      <c r="I475" t="s">
        <v>1033</v>
      </c>
      <c r="J475" t="s">
        <v>1056</v>
      </c>
      <c r="K475">
        <v>4</v>
      </c>
    </row>
    <row r="476" spans="1:11" x14ac:dyDescent="0.3">
      <c r="A476" t="s">
        <v>1520</v>
      </c>
      <c r="B476" t="s">
        <v>1023</v>
      </c>
      <c r="C476">
        <v>80</v>
      </c>
      <c r="D476" t="s">
        <v>1038</v>
      </c>
      <c r="E476" s="1">
        <v>45063</v>
      </c>
      <c r="F476">
        <v>145</v>
      </c>
      <c r="G476">
        <v>4.9000000000000004</v>
      </c>
      <c r="H476">
        <v>2023</v>
      </c>
      <c r="I476" t="s">
        <v>1048</v>
      </c>
      <c r="J476" t="s">
        <v>1019</v>
      </c>
      <c r="K476">
        <v>5</v>
      </c>
    </row>
    <row r="477" spans="1:11" x14ac:dyDescent="0.3">
      <c r="A477" t="s">
        <v>1521</v>
      </c>
      <c r="B477" t="s">
        <v>1098</v>
      </c>
      <c r="C477">
        <v>139</v>
      </c>
      <c r="D477" t="s">
        <v>1029</v>
      </c>
      <c r="E477" s="1">
        <v>45063</v>
      </c>
      <c r="F477">
        <v>220</v>
      </c>
      <c r="G477">
        <v>3.2</v>
      </c>
      <c r="H477">
        <v>2023</v>
      </c>
      <c r="I477" t="s">
        <v>1048</v>
      </c>
      <c r="J477" t="s">
        <v>1031</v>
      </c>
      <c r="K477">
        <v>3</v>
      </c>
    </row>
    <row r="478" spans="1:11" x14ac:dyDescent="0.3">
      <c r="A478" t="s">
        <v>1522</v>
      </c>
      <c r="B478" t="s">
        <v>1047</v>
      </c>
      <c r="C478">
        <v>50</v>
      </c>
      <c r="D478" t="s">
        <v>1024</v>
      </c>
      <c r="E478" s="1">
        <v>45063</v>
      </c>
      <c r="F478">
        <v>26</v>
      </c>
      <c r="G478">
        <v>4.7</v>
      </c>
      <c r="H478">
        <v>2023</v>
      </c>
      <c r="I478" t="s">
        <v>1048</v>
      </c>
      <c r="J478" t="s">
        <v>1034</v>
      </c>
      <c r="K478">
        <v>5</v>
      </c>
    </row>
    <row r="479" spans="1:11" x14ac:dyDescent="0.3">
      <c r="A479" t="s">
        <v>1523</v>
      </c>
      <c r="B479" t="s">
        <v>1023</v>
      </c>
      <c r="C479">
        <v>88</v>
      </c>
      <c r="D479" t="s">
        <v>1038</v>
      </c>
      <c r="E479" s="1">
        <v>45063</v>
      </c>
      <c r="F479">
        <v>78</v>
      </c>
      <c r="G479">
        <v>4.3</v>
      </c>
      <c r="H479">
        <v>2023</v>
      </c>
      <c r="I479" t="s">
        <v>1048</v>
      </c>
      <c r="J479" t="s">
        <v>1019</v>
      </c>
      <c r="K479">
        <v>4</v>
      </c>
    </row>
    <row r="480" spans="1:11" x14ac:dyDescent="0.3">
      <c r="A480" t="s">
        <v>1524</v>
      </c>
      <c r="B480" t="s">
        <v>1041</v>
      </c>
      <c r="C480">
        <v>19</v>
      </c>
      <c r="D480" t="s">
        <v>1042</v>
      </c>
      <c r="E480" s="1">
        <v>45064</v>
      </c>
      <c r="F480">
        <v>132</v>
      </c>
      <c r="G480">
        <v>4.3</v>
      </c>
      <c r="H480">
        <v>2023</v>
      </c>
      <c r="I480" t="s">
        <v>1052</v>
      </c>
      <c r="J480" t="s">
        <v>1056</v>
      </c>
      <c r="K480">
        <v>4</v>
      </c>
    </row>
    <row r="481" spans="1:11" x14ac:dyDescent="0.3">
      <c r="A481" t="s">
        <v>1525</v>
      </c>
      <c r="B481" t="s">
        <v>1055</v>
      </c>
      <c r="C481">
        <v>104</v>
      </c>
      <c r="D481" t="s">
        <v>1042</v>
      </c>
      <c r="E481" s="1">
        <v>45065</v>
      </c>
      <c r="F481">
        <v>68</v>
      </c>
      <c r="G481">
        <v>3.7</v>
      </c>
      <c r="H481">
        <v>2023</v>
      </c>
      <c r="I481" t="s">
        <v>411</v>
      </c>
      <c r="J481" t="s">
        <v>1019</v>
      </c>
      <c r="K481">
        <v>4</v>
      </c>
    </row>
    <row r="482" spans="1:11" x14ac:dyDescent="0.3">
      <c r="A482" t="s">
        <v>1526</v>
      </c>
      <c r="B482" t="s">
        <v>1021</v>
      </c>
      <c r="C482">
        <v>67</v>
      </c>
      <c r="D482" t="s">
        <v>1029</v>
      </c>
      <c r="E482" s="1">
        <v>45067</v>
      </c>
      <c r="F482">
        <v>129</v>
      </c>
      <c r="G482">
        <v>4.7</v>
      </c>
      <c r="H482">
        <v>2023</v>
      </c>
      <c r="I482" t="s">
        <v>1018</v>
      </c>
      <c r="J482" t="s">
        <v>1019</v>
      </c>
      <c r="K482">
        <v>5</v>
      </c>
    </row>
    <row r="483" spans="1:11" x14ac:dyDescent="0.3">
      <c r="A483" t="s">
        <v>1527</v>
      </c>
      <c r="B483" t="s">
        <v>1068</v>
      </c>
      <c r="C483">
        <v>107</v>
      </c>
      <c r="D483" t="s">
        <v>1042</v>
      </c>
      <c r="E483" s="1">
        <v>45067</v>
      </c>
      <c r="F483">
        <v>115</v>
      </c>
      <c r="G483">
        <v>4.9000000000000004</v>
      </c>
      <c r="H483">
        <v>2023</v>
      </c>
      <c r="I483" t="s">
        <v>1018</v>
      </c>
      <c r="J483" t="s">
        <v>1019</v>
      </c>
      <c r="K483">
        <v>5</v>
      </c>
    </row>
    <row r="484" spans="1:11" x14ac:dyDescent="0.3">
      <c r="A484" t="s">
        <v>1528</v>
      </c>
      <c r="B484" t="s">
        <v>1068</v>
      </c>
      <c r="C484">
        <v>93</v>
      </c>
      <c r="D484" t="s">
        <v>1042</v>
      </c>
      <c r="E484" s="1">
        <v>45067</v>
      </c>
      <c r="F484">
        <v>128</v>
      </c>
      <c r="G484">
        <v>3.9</v>
      </c>
      <c r="H484">
        <v>2023</v>
      </c>
      <c r="I484" t="s">
        <v>1018</v>
      </c>
      <c r="J484" t="s">
        <v>1019</v>
      </c>
      <c r="K484">
        <v>4</v>
      </c>
    </row>
    <row r="485" spans="1:11" x14ac:dyDescent="0.3">
      <c r="A485" t="s">
        <v>1529</v>
      </c>
      <c r="B485" t="s">
        <v>1068</v>
      </c>
      <c r="C485">
        <v>117</v>
      </c>
      <c r="D485" t="s">
        <v>1029</v>
      </c>
      <c r="E485" s="1">
        <v>45067</v>
      </c>
      <c r="F485">
        <v>90</v>
      </c>
      <c r="G485">
        <v>4.5</v>
      </c>
      <c r="H485">
        <v>2023</v>
      </c>
      <c r="I485" t="s">
        <v>1018</v>
      </c>
      <c r="J485" t="s">
        <v>1019</v>
      </c>
      <c r="K485">
        <v>5</v>
      </c>
    </row>
    <row r="486" spans="1:11" x14ac:dyDescent="0.3">
      <c r="A486" t="s">
        <v>1530</v>
      </c>
      <c r="B486" t="s">
        <v>1047</v>
      </c>
      <c r="C486">
        <v>76</v>
      </c>
      <c r="D486" t="s">
        <v>1038</v>
      </c>
      <c r="E486" s="1">
        <v>45068</v>
      </c>
      <c r="F486">
        <v>39</v>
      </c>
      <c r="G486">
        <v>4.5999999999999996</v>
      </c>
      <c r="H486">
        <v>2023</v>
      </c>
      <c r="I486" t="s">
        <v>1030</v>
      </c>
      <c r="J486" t="s">
        <v>1019</v>
      </c>
      <c r="K486">
        <v>5</v>
      </c>
    </row>
    <row r="487" spans="1:11" x14ac:dyDescent="0.3">
      <c r="A487" t="s">
        <v>1531</v>
      </c>
      <c r="B487" t="s">
        <v>1041</v>
      </c>
      <c r="C487">
        <v>64</v>
      </c>
      <c r="D487" t="s">
        <v>1042</v>
      </c>
      <c r="E487" s="1">
        <v>45068</v>
      </c>
      <c r="F487">
        <v>132</v>
      </c>
      <c r="G487">
        <v>3.3</v>
      </c>
      <c r="H487">
        <v>2023</v>
      </c>
      <c r="I487" t="s">
        <v>1030</v>
      </c>
      <c r="J487" t="s">
        <v>1019</v>
      </c>
      <c r="K487">
        <v>3</v>
      </c>
    </row>
    <row r="488" spans="1:11" x14ac:dyDescent="0.3">
      <c r="A488" t="s">
        <v>1532</v>
      </c>
      <c r="B488" t="s">
        <v>1028</v>
      </c>
      <c r="C488">
        <v>33</v>
      </c>
      <c r="D488" t="s">
        <v>1042</v>
      </c>
      <c r="E488" s="1">
        <v>45068</v>
      </c>
      <c r="F488">
        <v>170</v>
      </c>
      <c r="G488">
        <v>3.8</v>
      </c>
      <c r="H488">
        <v>2023</v>
      </c>
      <c r="I488" t="s">
        <v>1030</v>
      </c>
      <c r="J488" t="s">
        <v>1034</v>
      </c>
      <c r="K488">
        <v>4</v>
      </c>
    </row>
    <row r="489" spans="1:11" x14ac:dyDescent="0.3">
      <c r="A489" t="s">
        <v>1533</v>
      </c>
      <c r="B489" t="s">
        <v>1068</v>
      </c>
      <c r="C489">
        <v>115</v>
      </c>
      <c r="D489" t="s">
        <v>1029</v>
      </c>
      <c r="E489" s="1">
        <v>45068</v>
      </c>
      <c r="F489">
        <v>42</v>
      </c>
      <c r="G489">
        <v>4.7</v>
      </c>
      <c r="H489">
        <v>2023</v>
      </c>
      <c r="I489" t="s">
        <v>1030</v>
      </c>
      <c r="J489" t="s">
        <v>1019</v>
      </c>
      <c r="K489">
        <v>5</v>
      </c>
    </row>
    <row r="490" spans="1:11" x14ac:dyDescent="0.3">
      <c r="A490" t="s">
        <v>1534</v>
      </c>
      <c r="B490" t="s">
        <v>1026</v>
      </c>
      <c r="C490">
        <v>155</v>
      </c>
      <c r="D490" t="s">
        <v>1038</v>
      </c>
      <c r="E490" s="1">
        <v>45069</v>
      </c>
      <c r="F490">
        <v>37</v>
      </c>
      <c r="G490">
        <v>4</v>
      </c>
      <c r="H490">
        <v>2023</v>
      </c>
      <c r="I490" t="s">
        <v>1033</v>
      </c>
      <c r="J490" t="s">
        <v>1031</v>
      </c>
      <c r="K490">
        <v>4</v>
      </c>
    </row>
    <row r="491" spans="1:11" x14ac:dyDescent="0.3">
      <c r="A491" t="s">
        <v>1535</v>
      </c>
      <c r="B491" t="s">
        <v>1021</v>
      </c>
      <c r="C491">
        <v>117</v>
      </c>
      <c r="D491" t="s">
        <v>1038</v>
      </c>
      <c r="E491" s="1">
        <v>45069</v>
      </c>
      <c r="F491">
        <v>88</v>
      </c>
      <c r="G491">
        <v>4.7</v>
      </c>
      <c r="H491">
        <v>2023</v>
      </c>
      <c r="I491" t="s">
        <v>1033</v>
      </c>
      <c r="J491" t="s">
        <v>1019</v>
      </c>
      <c r="K491">
        <v>5</v>
      </c>
    </row>
    <row r="492" spans="1:11" x14ac:dyDescent="0.3">
      <c r="A492" t="s">
        <v>1536</v>
      </c>
      <c r="B492" t="s">
        <v>1098</v>
      </c>
      <c r="C492">
        <v>63</v>
      </c>
      <c r="D492" t="s">
        <v>1038</v>
      </c>
      <c r="E492" s="1">
        <v>45069</v>
      </c>
      <c r="F492">
        <v>80</v>
      </c>
      <c r="G492">
        <v>2.5</v>
      </c>
      <c r="H492">
        <v>2023</v>
      </c>
      <c r="I492" t="s">
        <v>1033</v>
      </c>
      <c r="J492" t="s">
        <v>1019</v>
      </c>
      <c r="K492">
        <v>3</v>
      </c>
    </row>
    <row r="493" spans="1:11" x14ac:dyDescent="0.3">
      <c r="A493" t="s">
        <v>1537</v>
      </c>
      <c r="B493" t="s">
        <v>1041</v>
      </c>
      <c r="C493">
        <v>59</v>
      </c>
      <c r="D493" t="s">
        <v>1017</v>
      </c>
      <c r="E493" s="1">
        <v>45070</v>
      </c>
      <c r="F493">
        <v>123</v>
      </c>
      <c r="G493">
        <v>3.6</v>
      </c>
      <c r="H493">
        <v>2023</v>
      </c>
      <c r="I493" t="s">
        <v>1048</v>
      </c>
      <c r="J493" t="s">
        <v>1034</v>
      </c>
      <c r="K493">
        <v>4</v>
      </c>
    </row>
    <row r="494" spans="1:11" x14ac:dyDescent="0.3">
      <c r="A494" t="s">
        <v>1538</v>
      </c>
      <c r="B494" t="s">
        <v>1059</v>
      </c>
      <c r="C494">
        <v>133</v>
      </c>
      <c r="D494" t="s">
        <v>1042</v>
      </c>
      <c r="E494" s="1">
        <v>45070</v>
      </c>
      <c r="F494">
        <v>31</v>
      </c>
      <c r="G494">
        <v>3.7</v>
      </c>
      <c r="H494">
        <v>2023</v>
      </c>
      <c r="I494" t="s">
        <v>1048</v>
      </c>
      <c r="J494" t="s">
        <v>1031</v>
      </c>
      <c r="K494">
        <v>4</v>
      </c>
    </row>
    <row r="495" spans="1:11" x14ac:dyDescent="0.3">
      <c r="A495" t="s">
        <v>1539</v>
      </c>
      <c r="B495" t="s">
        <v>1078</v>
      </c>
      <c r="C495">
        <v>101</v>
      </c>
      <c r="D495" t="s">
        <v>1024</v>
      </c>
      <c r="E495" s="1">
        <v>45070</v>
      </c>
      <c r="F495">
        <v>205</v>
      </c>
      <c r="G495">
        <v>3.9</v>
      </c>
      <c r="H495">
        <v>2023</v>
      </c>
      <c r="I495" t="s">
        <v>1048</v>
      </c>
      <c r="J495" t="s">
        <v>1019</v>
      </c>
      <c r="K495">
        <v>4</v>
      </c>
    </row>
    <row r="496" spans="1:11" x14ac:dyDescent="0.3">
      <c r="A496" t="s">
        <v>1540</v>
      </c>
      <c r="B496" t="s">
        <v>1045</v>
      </c>
      <c r="C496">
        <v>151</v>
      </c>
      <c r="D496" t="s">
        <v>1038</v>
      </c>
      <c r="E496" s="1">
        <v>45071</v>
      </c>
      <c r="F496">
        <v>123</v>
      </c>
      <c r="G496">
        <v>3.7</v>
      </c>
      <c r="H496">
        <v>2023</v>
      </c>
      <c r="I496" t="s">
        <v>1052</v>
      </c>
      <c r="J496" t="s">
        <v>1031</v>
      </c>
      <c r="K496">
        <v>4</v>
      </c>
    </row>
    <row r="497" spans="1:11" x14ac:dyDescent="0.3">
      <c r="A497" t="s">
        <v>1541</v>
      </c>
      <c r="B497" t="s">
        <v>1028</v>
      </c>
      <c r="C497">
        <v>146</v>
      </c>
      <c r="D497" t="s">
        <v>1042</v>
      </c>
      <c r="E497" s="1">
        <v>45071</v>
      </c>
      <c r="F497">
        <v>123</v>
      </c>
      <c r="G497">
        <v>4.3</v>
      </c>
      <c r="H497">
        <v>2023</v>
      </c>
      <c r="I497" t="s">
        <v>1052</v>
      </c>
      <c r="J497" t="s">
        <v>1031</v>
      </c>
      <c r="K497">
        <v>4</v>
      </c>
    </row>
    <row r="498" spans="1:11" x14ac:dyDescent="0.3">
      <c r="A498" t="s">
        <v>1542</v>
      </c>
      <c r="B498" t="s">
        <v>1098</v>
      </c>
      <c r="C498">
        <v>148</v>
      </c>
      <c r="D498" t="s">
        <v>1042</v>
      </c>
      <c r="E498" s="1">
        <v>45071</v>
      </c>
      <c r="F498">
        <v>36</v>
      </c>
      <c r="G498">
        <v>2.9</v>
      </c>
      <c r="H498">
        <v>2023</v>
      </c>
      <c r="I498" t="s">
        <v>1052</v>
      </c>
      <c r="J498" t="s">
        <v>1031</v>
      </c>
      <c r="K498">
        <v>3</v>
      </c>
    </row>
    <row r="499" spans="1:11" x14ac:dyDescent="0.3">
      <c r="A499" t="s">
        <v>1543</v>
      </c>
      <c r="B499" t="s">
        <v>1045</v>
      </c>
      <c r="C499">
        <v>81</v>
      </c>
      <c r="D499" t="s">
        <v>1042</v>
      </c>
      <c r="E499" s="1">
        <v>45071</v>
      </c>
      <c r="F499">
        <v>116</v>
      </c>
      <c r="G499">
        <v>4.3</v>
      </c>
      <c r="H499">
        <v>2023</v>
      </c>
      <c r="I499" t="s">
        <v>1052</v>
      </c>
      <c r="J499" t="s">
        <v>1019</v>
      </c>
      <c r="K499">
        <v>4</v>
      </c>
    </row>
    <row r="500" spans="1:11" x14ac:dyDescent="0.3">
      <c r="A500" t="s">
        <v>1544</v>
      </c>
      <c r="B500" t="s">
        <v>1055</v>
      </c>
      <c r="C500">
        <v>115</v>
      </c>
      <c r="D500" t="s">
        <v>1042</v>
      </c>
      <c r="E500" s="1">
        <v>45071</v>
      </c>
      <c r="F500">
        <v>40</v>
      </c>
      <c r="G500">
        <v>4.9000000000000004</v>
      </c>
      <c r="H500">
        <v>2023</v>
      </c>
      <c r="I500" t="s">
        <v>1052</v>
      </c>
      <c r="J500" t="s">
        <v>1019</v>
      </c>
      <c r="K500">
        <v>5</v>
      </c>
    </row>
    <row r="501" spans="1:11" x14ac:dyDescent="0.3">
      <c r="A501" t="s">
        <v>1545</v>
      </c>
      <c r="B501" t="s">
        <v>1055</v>
      </c>
      <c r="C501">
        <v>117</v>
      </c>
      <c r="D501" t="s">
        <v>1038</v>
      </c>
      <c r="E501" s="1">
        <v>45071</v>
      </c>
      <c r="F501">
        <v>40</v>
      </c>
      <c r="G501">
        <v>4</v>
      </c>
      <c r="H501">
        <v>2023</v>
      </c>
      <c r="I501" t="s">
        <v>1052</v>
      </c>
      <c r="J501" t="s">
        <v>1019</v>
      </c>
      <c r="K501">
        <v>4</v>
      </c>
    </row>
    <row r="502" spans="1:11" x14ac:dyDescent="0.3">
      <c r="A502" t="s">
        <v>1546</v>
      </c>
      <c r="B502" t="s">
        <v>1078</v>
      </c>
      <c r="C502">
        <v>110</v>
      </c>
      <c r="D502" t="s">
        <v>1029</v>
      </c>
      <c r="E502" s="1">
        <v>45072</v>
      </c>
      <c r="F502">
        <v>82</v>
      </c>
      <c r="G502">
        <v>4</v>
      </c>
      <c r="H502">
        <v>2023</v>
      </c>
      <c r="I502" t="s">
        <v>411</v>
      </c>
      <c r="J502" t="s">
        <v>1019</v>
      </c>
      <c r="K502">
        <v>4</v>
      </c>
    </row>
    <row r="503" spans="1:11" x14ac:dyDescent="0.3">
      <c r="A503" t="s">
        <v>1547</v>
      </c>
      <c r="B503" t="s">
        <v>1047</v>
      </c>
      <c r="C503">
        <v>103</v>
      </c>
      <c r="D503" t="s">
        <v>1017</v>
      </c>
      <c r="E503" s="1">
        <v>45072</v>
      </c>
      <c r="F503">
        <v>62</v>
      </c>
      <c r="G503">
        <v>3.4</v>
      </c>
      <c r="H503">
        <v>2023</v>
      </c>
      <c r="I503" t="s">
        <v>411</v>
      </c>
      <c r="J503" t="s">
        <v>1019</v>
      </c>
      <c r="K503">
        <v>3</v>
      </c>
    </row>
    <row r="504" spans="1:11" x14ac:dyDescent="0.3">
      <c r="A504" t="s">
        <v>1548</v>
      </c>
      <c r="B504" t="s">
        <v>1026</v>
      </c>
      <c r="C504">
        <v>45</v>
      </c>
      <c r="D504" t="s">
        <v>1017</v>
      </c>
      <c r="E504" s="1">
        <v>45072</v>
      </c>
      <c r="F504">
        <v>135</v>
      </c>
      <c r="G504">
        <v>3.9</v>
      </c>
      <c r="H504">
        <v>2023</v>
      </c>
      <c r="I504" t="s">
        <v>411</v>
      </c>
      <c r="J504" t="s">
        <v>1034</v>
      </c>
      <c r="K504">
        <v>4</v>
      </c>
    </row>
    <row r="505" spans="1:11" x14ac:dyDescent="0.3">
      <c r="A505" t="s">
        <v>1549</v>
      </c>
      <c r="B505" t="s">
        <v>1078</v>
      </c>
      <c r="C505">
        <v>110</v>
      </c>
      <c r="D505" t="s">
        <v>1024</v>
      </c>
      <c r="E505" s="1">
        <v>45072</v>
      </c>
      <c r="F505">
        <v>155</v>
      </c>
      <c r="G505">
        <v>2.1</v>
      </c>
      <c r="H505">
        <v>2023</v>
      </c>
      <c r="I505" t="s">
        <v>411</v>
      </c>
      <c r="J505" t="s">
        <v>1019</v>
      </c>
      <c r="K505">
        <v>2</v>
      </c>
    </row>
    <row r="506" spans="1:11" x14ac:dyDescent="0.3">
      <c r="A506" t="s">
        <v>1550</v>
      </c>
      <c r="B506" t="s">
        <v>1041</v>
      </c>
      <c r="C506">
        <v>43</v>
      </c>
      <c r="D506" t="s">
        <v>1029</v>
      </c>
      <c r="E506" s="1">
        <v>45072</v>
      </c>
      <c r="F506">
        <v>37</v>
      </c>
      <c r="G506">
        <v>4.9000000000000004</v>
      </c>
      <c r="H506">
        <v>2023</v>
      </c>
      <c r="I506" t="s">
        <v>411</v>
      </c>
      <c r="J506" t="s">
        <v>1034</v>
      </c>
      <c r="K506">
        <v>5</v>
      </c>
    </row>
    <row r="507" spans="1:11" x14ac:dyDescent="0.3">
      <c r="A507" t="s">
        <v>1551</v>
      </c>
      <c r="B507" t="s">
        <v>1078</v>
      </c>
      <c r="C507">
        <v>104</v>
      </c>
      <c r="D507" t="s">
        <v>1038</v>
      </c>
      <c r="E507" s="1">
        <v>45073</v>
      </c>
      <c r="F507">
        <v>56</v>
      </c>
      <c r="G507">
        <v>3.4</v>
      </c>
      <c r="H507">
        <v>2023</v>
      </c>
      <c r="I507" t="s">
        <v>1062</v>
      </c>
      <c r="J507" t="s">
        <v>1019</v>
      </c>
      <c r="K507">
        <v>3</v>
      </c>
    </row>
    <row r="508" spans="1:11" x14ac:dyDescent="0.3">
      <c r="A508" t="s">
        <v>1552</v>
      </c>
      <c r="B508" t="s">
        <v>1078</v>
      </c>
      <c r="C508">
        <v>101</v>
      </c>
      <c r="D508" t="s">
        <v>1038</v>
      </c>
      <c r="E508" s="1">
        <v>45073</v>
      </c>
      <c r="F508">
        <v>185</v>
      </c>
      <c r="G508">
        <v>5</v>
      </c>
      <c r="H508">
        <v>2023</v>
      </c>
      <c r="I508" t="s">
        <v>1062</v>
      </c>
      <c r="J508" t="s">
        <v>1019</v>
      </c>
      <c r="K508">
        <v>5</v>
      </c>
    </row>
    <row r="509" spans="1:11" x14ac:dyDescent="0.3">
      <c r="A509" t="s">
        <v>1553</v>
      </c>
      <c r="B509" t="s">
        <v>1016</v>
      </c>
      <c r="C509">
        <v>55</v>
      </c>
      <c r="D509" t="s">
        <v>1029</v>
      </c>
      <c r="E509" s="1">
        <v>45074</v>
      </c>
      <c r="F509">
        <v>145</v>
      </c>
      <c r="G509">
        <v>4.5</v>
      </c>
      <c r="H509">
        <v>2023</v>
      </c>
      <c r="I509" t="s">
        <v>1018</v>
      </c>
      <c r="J509" t="s">
        <v>1034</v>
      </c>
      <c r="K509">
        <v>5</v>
      </c>
    </row>
    <row r="510" spans="1:11" x14ac:dyDescent="0.3">
      <c r="A510" t="s">
        <v>1554</v>
      </c>
      <c r="B510" t="s">
        <v>1045</v>
      </c>
      <c r="C510">
        <v>40</v>
      </c>
      <c r="D510" t="s">
        <v>1017</v>
      </c>
      <c r="E510" s="1">
        <v>45074</v>
      </c>
      <c r="F510">
        <v>116</v>
      </c>
      <c r="G510">
        <v>2.6</v>
      </c>
      <c r="H510">
        <v>2023</v>
      </c>
      <c r="I510" t="s">
        <v>1018</v>
      </c>
      <c r="J510" t="s">
        <v>1034</v>
      </c>
      <c r="K510">
        <v>3</v>
      </c>
    </row>
    <row r="511" spans="1:11" x14ac:dyDescent="0.3">
      <c r="A511" t="s">
        <v>1555</v>
      </c>
      <c r="B511" t="s">
        <v>1041</v>
      </c>
      <c r="C511">
        <v>122</v>
      </c>
      <c r="D511" t="s">
        <v>1042</v>
      </c>
      <c r="E511" s="1">
        <v>45074</v>
      </c>
      <c r="F511">
        <v>45</v>
      </c>
      <c r="G511">
        <v>4.2</v>
      </c>
      <c r="H511">
        <v>2023</v>
      </c>
      <c r="I511" t="s">
        <v>1018</v>
      </c>
      <c r="J511" t="s">
        <v>1031</v>
      </c>
      <c r="K511">
        <v>4</v>
      </c>
    </row>
    <row r="512" spans="1:11" x14ac:dyDescent="0.3">
      <c r="A512" t="s">
        <v>1556</v>
      </c>
      <c r="B512" t="s">
        <v>1028</v>
      </c>
      <c r="C512">
        <v>98</v>
      </c>
      <c r="D512" t="s">
        <v>1038</v>
      </c>
      <c r="E512" s="1">
        <v>45075</v>
      </c>
      <c r="F512">
        <v>35</v>
      </c>
      <c r="G512">
        <v>4.5</v>
      </c>
      <c r="H512">
        <v>2023</v>
      </c>
      <c r="I512" t="s">
        <v>1030</v>
      </c>
      <c r="J512" t="s">
        <v>1019</v>
      </c>
      <c r="K512">
        <v>5</v>
      </c>
    </row>
    <row r="513" spans="1:11" x14ac:dyDescent="0.3">
      <c r="A513" t="s">
        <v>1557</v>
      </c>
      <c r="B513" t="s">
        <v>1055</v>
      </c>
      <c r="C513">
        <v>110</v>
      </c>
      <c r="D513" t="s">
        <v>1017</v>
      </c>
      <c r="E513" s="1">
        <v>45075</v>
      </c>
      <c r="F513">
        <v>100</v>
      </c>
      <c r="G513">
        <v>4.4000000000000004</v>
      </c>
      <c r="H513">
        <v>2023</v>
      </c>
      <c r="I513" t="s">
        <v>1030</v>
      </c>
      <c r="J513" t="s">
        <v>1019</v>
      </c>
      <c r="K513">
        <v>4</v>
      </c>
    </row>
    <row r="514" spans="1:11" x14ac:dyDescent="0.3">
      <c r="A514" t="s">
        <v>1558</v>
      </c>
      <c r="B514" t="s">
        <v>1055</v>
      </c>
      <c r="C514">
        <v>62</v>
      </c>
      <c r="D514" t="s">
        <v>1029</v>
      </c>
      <c r="E514" s="1">
        <v>45076</v>
      </c>
      <c r="F514">
        <v>125</v>
      </c>
      <c r="G514">
        <v>3.5</v>
      </c>
      <c r="H514">
        <v>2023</v>
      </c>
      <c r="I514" t="s">
        <v>1033</v>
      </c>
      <c r="J514" t="s">
        <v>1019</v>
      </c>
      <c r="K514">
        <v>4</v>
      </c>
    </row>
    <row r="515" spans="1:11" x14ac:dyDescent="0.3">
      <c r="A515" t="s">
        <v>1559</v>
      </c>
      <c r="B515" t="s">
        <v>1041</v>
      </c>
      <c r="C515">
        <v>134</v>
      </c>
      <c r="D515" t="s">
        <v>1042</v>
      </c>
      <c r="E515" s="1">
        <v>45076</v>
      </c>
      <c r="F515">
        <v>120</v>
      </c>
      <c r="G515">
        <v>3</v>
      </c>
      <c r="H515">
        <v>2023</v>
      </c>
      <c r="I515" t="s">
        <v>1033</v>
      </c>
      <c r="J515" t="s">
        <v>1031</v>
      </c>
      <c r="K515">
        <v>3</v>
      </c>
    </row>
    <row r="516" spans="1:11" x14ac:dyDescent="0.3">
      <c r="A516" t="s">
        <v>1560</v>
      </c>
      <c r="B516" t="s">
        <v>1065</v>
      </c>
      <c r="C516">
        <v>94</v>
      </c>
      <c r="D516" t="s">
        <v>1024</v>
      </c>
      <c r="E516" s="1">
        <v>45076</v>
      </c>
      <c r="F516">
        <v>180</v>
      </c>
      <c r="G516">
        <v>4.7</v>
      </c>
      <c r="H516">
        <v>2023</v>
      </c>
      <c r="I516" t="s">
        <v>1033</v>
      </c>
      <c r="J516" t="s">
        <v>1019</v>
      </c>
      <c r="K516">
        <v>5</v>
      </c>
    </row>
    <row r="517" spans="1:11" x14ac:dyDescent="0.3">
      <c r="A517" t="s">
        <v>1561</v>
      </c>
      <c r="B517" t="s">
        <v>1036</v>
      </c>
      <c r="C517">
        <v>63</v>
      </c>
      <c r="D517" t="s">
        <v>1017</v>
      </c>
      <c r="E517" s="1">
        <v>45076</v>
      </c>
      <c r="F517">
        <v>44</v>
      </c>
      <c r="G517">
        <v>3</v>
      </c>
      <c r="H517">
        <v>2023</v>
      </c>
      <c r="I517" t="s">
        <v>1033</v>
      </c>
      <c r="J517" t="s">
        <v>1019</v>
      </c>
      <c r="K517">
        <v>3</v>
      </c>
    </row>
    <row r="518" spans="1:11" x14ac:dyDescent="0.3">
      <c r="A518" t="s">
        <v>1562</v>
      </c>
      <c r="B518" t="s">
        <v>1059</v>
      </c>
      <c r="C518">
        <v>95</v>
      </c>
      <c r="D518" t="s">
        <v>1042</v>
      </c>
      <c r="E518" s="1">
        <v>45076</v>
      </c>
      <c r="F518">
        <v>86</v>
      </c>
      <c r="G518">
        <v>3.6</v>
      </c>
      <c r="H518">
        <v>2023</v>
      </c>
      <c r="I518" t="s">
        <v>1033</v>
      </c>
      <c r="J518" t="s">
        <v>1019</v>
      </c>
      <c r="K518">
        <v>4</v>
      </c>
    </row>
    <row r="519" spans="1:11" x14ac:dyDescent="0.3">
      <c r="A519" t="s">
        <v>1563</v>
      </c>
      <c r="B519" t="s">
        <v>1041</v>
      </c>
      <c r="C519">
        <v>106</v>
      </c>
      <c r="D519" t="s">
        <v>1042</v>
      </c>
      <c r="E519" s="1">
        <v>45077</v>
      </c>
      <c r="F519">
        <v>120</v>
      </c>
      <c r="G519">
        <v>4.0999999999999996</v>
      </c>
      <c r="H519">
        <v>2023</v>
      </c>
      <c r="I519" t="s">
        <v>1048</v>
      </c>
      <c r="J519" t="s">
        <v>1019</v>
      </c>
      <c r="K519">
        <v>4</v>
      </c>
    </row>
    <row r="520" spans="1:11" x14ac:dyDescent="0.3">
      <c r="A520" t="s">
        <v>1564</v>
      </c>
      <c r="B520" t="s">
        <v>1026</v>
      </c>
      <c r="C520">
        <v>94</v>
      </c>
      <c r="D520" t="s">
        <v>1024</v>
      </c>
      <c r="E520" s="1">
        <v>45077</v>
      </c>
      <c r="F520">
        <v>100</v>
      </c>
      <c r="G520">
        <v>3.7</v>
      </c>
      <c r="H520">
        <v>2023</v>
      </c>
      <c r="I520" t="s">
        <v>1048</v>
      </c>
      <c r="J520" t="s">
        <v>1019</v>
      </c>
      <c r="K520">
        <v>4</v>
      </c>
    </row>
    <row r="521" spans="1:11" x14ac:dyDescent="0.3">
      <c r="A521" t="s">
        <v>1565</v>
      </c>
      <c r="B521" t="s">
        <v>1026</v>
      </c>
      <c r="C521">
        <v>51</v>
      </c>
      <c r="D521" t="s">
        <v>1024</v>
      </c>
      <c r="E521" s="1">
        <v>45078</v>
      </c>
      <c r="F521">
        <v>108</v>
      </c>
      <c r="G521">
        <v>4.5</v>
      </c>
      <c r="H521">
        <v>2023</v>
      </c>
      <c r="I521" t="s">
        <v>1052</v>
      </c>
      <c r="J521" t="s">
        <v>1034</v>
      </c>
      <c r="K521">
        <v>5</v>
      </c>
    </row>
    <row r="522" spans="1:11" x14ac:dyDescent="0.3">
      <c r="A522" t="s">
        <v>1566</v>
      </c>
      <c r="B522" t="s">
        <v>1098</v>
      </c>
      <c r="C522">
        <v>39</v>
      </c>
      <c r="D522" t="s">
        <v>1024</v>
      </c>
      <c r="E522" s="1">
        <v>45078</v>
      </c>
      <c r="F522">
        <v>46</v>
      </c>
      <c r="G522">
        <v>4.5999999999999996</v>
      </c>
      <c r="H522">
        <v>2023</v>
      </c>
      <c r="I522" t="s">
        <v>1052</v>
      </c>
      <c r="J522" t="s">
        <v>1034</v>
      </c>
      <c r="K522">
        <v>5</v>
      </c>
    </row>
    <row r="523" spans="1:11" x14ac:dyDescent="0.3">
      <c r="A523" t="s">
        <v>1567</v>
      </c>
      <c r="B523" t="s">
        <v>1045</v>
      </c>
      <c r="C523">
        <v>111</v>
      </c>
      <c r="D523" t="s">
        <v>1042</v>
      </c>
      <c r="E523" s="1">
        <v>45078</v>
      </c>
      <c r="F523">
        <v>210</v>
      </c>
      <c r="G523">
        <v>4.3</v>
      </c>
      <c r="H523">
        <v>2023</v>
      </c>
      <c r="I523" t="s">
        <v>1052</v>
      </c>
      <c r="J523" t="s">
        <v>1019</v>
      </c>
      <c r="K523">
        <v>4</v>
      </c>
    </row>
    <row r="524" spans="1:11" x14ac:dyDescent="0.3">
      <c r="A524" t="s">
        <v>1568</v>
      </c>
      <c r="B524" t="s">
        <v>1068</v>
      </c>
      <c r="C524">
        <v>141</v>
      </c>
      <c r="D524" t="s">
        <v>1029</v>
      </c>
      <c r="E524" s="1">
        <v>45080</v>
      </c>
      <c r="F524">
        <v>54</v>
      </c>
      <c r="G524">
        <v>4.8</v>
      </c>
      <c r="H524">
        <v>2023</v>
      </c>
      <c r="I524" t="s">
        <v>1062</v>
      </c>
      <c r="J524" t="s">
        <v>1031</v>
      </c>
      <c r="K524">
        <v>5</v>
      </c>
    </row>
    <row r="525" spans="1:11" x14ac:dyDescent="0.3">
      <c r="A525" t="s">
        <v>1569</v>
      </c>
      <c r="B525" t="s">
        <v>1036</v>
      </c>
      <c r="C525">
        <v>147</v>
      </c>
      <c r="D525" t="s">
        <v>1042</v>
      </c>
      <c r="E525" s="1">
        <v>45080</v>
      </c>
      <c r="F525">
        <v>115</v>
      </c>
      <c r="G525">
        <v>4.7</v>
      </c>
      <c r="H525">
        <v>2023</v>
      </c>
      <c r="I525" t="s">
        <v>1062</v>
      </c>
      <c r="J525" t="s">
        <v>1031</v>
      </c>
      <c r="K525">
        <v>5</v>
      </c>
    </row>
    <row r="526" spans="1:11" x14ac:dyDescent="0.3">
      <c r="A526" t="s">
        <v>1570</v>
      </c>
      <c r="B526" t="s">
        <v>1065</v>
      </c>
      <c r="C526">
        <v>49</v>
      </c>
      <c r="D526" t="s">
        <v>1024</v>
      </c>
      <c r="E526" s="1">
        <v>45081</v>
      </c>
      <c r="F526">
        <v>100</v>
      </c>
      <c r="G526">
        <v>2.2000000000000002</v>
      </c>
      <c r="H526">
        <v>2023</v>
      </c>
      <c r="I526" t="s">
        <v>1018</v>
      </c>
      <c r="J526" t="s">
        <v>1034</v>
      </c>
      <c r="K526">
        <v>2</v>
      </c>
    </row>
    <row r="527" spans="1:11" x14ac:dyDescent="0.3">
      <c r="A527" t="s">
        <v>1571</v>
      </c>
      <c r="B527" t="s">
        <v>1023</v>
      </c>
      <c r="C527">
        <v>75</v>
      </c>
      <c r="D527" t="s">
        <v>1042</v>
      </c>
      <c r="E527" s="1">
        <v>45081</v>
      </c>
      <c r="F527">
        <v>38</v>
      </c>
      <c r="G527">
        <v>4.4000000000000004</v>
      </c>
      <c r="H527">
        <v>2023</v>
      </c>
      <c r="I527" t="s">
        <v>1018</v>
      </c>
      <c r="J527" t="s">
        <v>1019</v>
      </c>
      <c r="K527">
        <v>4</v>
      </c>
    </row>
    <row r="528" spans="1:11" x14ac:dyDescent="0.3">
      <c r="A528" t="s">
        <v>1572</v>
      </c>
      <c r="B528" t="s">
        <v>1068</v>
      </c>
      <c r="C528">
        <v>48</v>
      </c>
      <c r="D528" t="s">
        <v>1029</v>
      </c>
      <c r="E528" s="1">
        <v>45082</v>
      </c>
      <c r="F528">
        <v>120</v>
      </c>
      <c r="G528">
        <v>4.0999999999999996</v>
      </c>
      <c r="H528">
        <v>2023</v>
      </c>
      <c r="I528" t="s">
        <v>1030</v>
      </c>
      <c r="J528" t="s">
        <v>1034</v>
      </c>
      <c r="K528">
        <v>4</v>
      </c>
    </row>
    <row r="529" spans="1:11" x14ac:dyDescent="0.3">
      <c r="A529" t="s">
        <v>1573</v>
      </c>
      <c r="B529" t="s">
        <v>1055</v>
      </c>
      <c r="C529">
        <v>48</v>
      </c>
      <c r="D529" t="s">
        <v>1029</v>
      </c>
      <c r="E529" s="1">
        <v>45082</v>
      </c>
      <c r="F529">
        <v>120</v>
      </c>
      <c r="G529">
        <v>4.0999999999999996</v>
      </c>
      <c r="H529">
        <v>2023</v>
      </c>
      <c r="I529" t="s">
        <v>1030</v>
      </c>
      <c r="J529" t="s">
        <v>1034</v>
      </c>
      <c r="K529">
        <v>4</v>
      </c>
    </row>
    <row r="530" spans="1:11" x14ac:dyDescent="0.3">
      <c r="A530" t="s">
        <v>1574</v>
      </c>
      <c r="B530" t="s">
        <v>1021</v>
      </c>
      <c r="C530">
        <v>138</v>
      </c>
      <c r="D530" t="s">
        <v>1024</v>
      </c>
      <c r="E530" s="1">
        <v>45082</v>
      </c>
      <c r="F530">
        <v>29</v>
      </c>
      <c r="G530">
        <v>4.4000000000000004</v>
      </c>
      <c r="H530">
        <v>2023</v>
      </c>
      <c r="I530" t="s">
        <v>1030</v>
      </c>
      <c r="J530" t="s">
        <v>1031</v>
      </c>
      <c r="K530">
        <v>4</v>
      </c>
    </row>
    <row r="531" spans="1:11" x14ac:dyDescent="0.3">
      <c r="A531" t="s">
        <v>1575</v>
      </c>
      <c r="B531" t="s">
        <v>1059</v>
      </c>
      <c r="C531">
        <v>144</v>
      </c>
      <c r="D531" t="s">
        <v>1024</v>
      </c>
      <c r="E531" s="1">
        <v>45083</v>
      </c>
      <c r="F531">
        <v>25</v>
      </c>
      <c r="G531">
        <v>3.7</v>
      </c>
      <c r="H531">
        <v>2023</v>
      </c>
      <c r="I531" t="s">
        <v>1033</v>
      </c>
      <c r="J531" t="s">
        <v>1031</v>
      </c>
      <c r="K531">
        <v>4</v>
      </c>
    </row>
    <row r="532" spans="1:11" x14ac:dyDescent="0.3">
      <c r="A532" t="s">
        <v>1576</v>
      </c>
      <c r="B532" t="s">
        <v>1078</v>
      </c>
      <c r="C532">
        <v>119</v>
      </c>
      <c r="D532" t="s">
        <v>1042</v>
      </c>
      <c r="E532" s="1">
        <v>45084</v>
      </c>
      <c r="F532">
        <v>116</v>
      </c>
      <c r="G532">
        <v>3.8</v>
      </c>
      <c r="H532">
        <v>2023</v>
      </c>
      <c r="I532" t="s">
        <v>1048</v>
      </c>
      <c r="J532" t="s">
        <v>1019</v>
      </c>
      <c r="K532">
        <v>4</v>
      </c>
    </row>
    <row r="533" spans="1:11" x14ac:dyDescent="0.3">
      <c r="A533" t="s">
        <v>1577</v>
      </c>
      <c r="B533" t="s">
        <v>1021</v>
      </c>
      <c r="C533">
        <v>101</v>
      </c>
      <c r="D533" t="s">
        <v>1029</v>
      </c>
      <c r="E533" s="1">
        <v>45085</v>
      </c>
      <c r="F533">
        <v>132</v>
      </c>
      <c r="G533">
        <v>4.3</v>
      </c>
      <c r="H533">
        <v>2023</v>
      </c>
      <c r="I533" t="s">
        <v>1052</v>
      </c>
      <c r="J533" t="s">
        <v>1019</v>
      </c>
      <c r="K533">
        <v>4</v>
      </c>
    </row>
    <row r="534" spans="1:11" x14ac:dyDescent="0.3">
      <c r="A534" t="s">
        <v>1578</v>
      </c>
      <c r="B534" t="s">
        <v>1059</v>
      </c>
      <c r="C534">
        <v>59</v>
      </c>
      <c r="D534" t="s">
        <v>1042</v>
      </c>
      <c r="E534" s="1">
        <v>45086</v>
      </c>
      <c r="F534">
        <v>90</v>
      </c>
      <c r="G534">
        <v>3.5</v>
      </c>
      <c r="H534">
        <v>2023</v>
      </c>
      <c r="I534" t="s">
        <v>411</v>
      </c>
      <c r="J534" t="s">
        <v>1034</v>
      </c>
      <c r="K534">
        <v>4</v>
      </c>
    </row>
    <row r="535" spans="1:11" x14ac:dyDescent="0.3">
      <c r="A535" t="s">
        <v>1579</v>
      </c>
      <c r="B535" t="s">
        <v>1045</v>
      </c>
      <c r="C535">
        <v>125</v>
      </c>
      <c r="D535" t="s">
        <v>1017</v>
      </c>
      <c r="E535" s="1">
        <v>45086</v>
      </c>
      <c r="F535">
        <v>87</v>
      </c>
      <c r="G535">
        <v>4.0999999999999996</v>
      </c>
      <c r="H535">
        <v>2023</v>
      </c>
      <c r="I535" t="s">
        <v>411</v>
      </c>
      <c r="J535" t="s">
        <v>1031</v>
      </c>
      <c r="K535">
        <v>4</v>
      </c>
    </row>
    <row r="536" spans="1:11" x14ac:dyDescent="0.3">
      <c r="A536" t="s">
        <v>1580</v>
      </c>
      <c r="B536" t="s">
        <v>1041</v>
      </c>
      <c r="C536">
        <v>147</v>
      </c>
      <c r="D536" t="s">
        <v>1042</v>
      </c>
      <c r="E536" s="1">
        <v>45086</v>
      </c>
      <c r="F536">
        <v>140</v>
      </c>
      <c r="G536">
        <v>4.2</v>
      </c>
      <c r="H536">
        <v>2023</v>
      </c>
      <c r="I536" t="s">
        <v>411</v>
      </c>
      <c r="J536" t="s">
        <v>1031</v>
      </c>
      <c r="K536">
        <v>4</v>
      </c>
    </row>
    <row r="537" spans="1:11" x14ac:dyDescent="0.3">
      <c r="A537" t="s">
        <v>1581</v>
      </c>
      <c r="B537" t="s">
        <v>1047</v>
      </c>
      <c r="C537">
        <v>76</v>
      </c>
      <c r="D537" t="s">
        <v>1042</v>
      </c>
      <c r="E537" s="1">
        <v>45086</v>
      </c>
      <c r="F537">
        <v>164</v>
      </c>
      <c r="G537">
        <v>4.5</v>
      </c>
      <c r="H537">
        <v>2023</v>
      </c>
      <c r="I537" t="s">
        <v>411</v>
      </c>
      <c r="J537" t="s">
        <v>1019</v>
      </c>
      <c r="K537">
        <v>5</v>
      </c>
    </row>
    <row r="538" spans="1:11" x14ac:dyDescent="0.3">
      <c r="A538" t="s">
        <v>1582</v>
      </c>
      <c r="B538" t="s">
        <v>1036</v>
      </c>
      <c r="C538">
        <v>99</v>
      </c>
      <c r="D538" t="s">
        <v>1029</v>
      </c>
      <c r="E538" s="1">
        <v>45087</v>
      </c>
      <c r="F538">
        <v>180</v>
      </c>
      <c r="G538">
        <v>3.8</v>
      </c>
      <c r="H538">
        <v>2023</v>
      </c>
      <c r="I538" t="s">
        <v>1062</v>
      </c>
      <c r="J538" t="s">
        <v>1019</v>
      </c>
      <c r="K538">
        <v>4</v>
      </c>
    </row>
    <row r="539" spans="1:11" x14ac:dyDescent="0.3">
      <c r="A539" t="s">
        <v>1583</v>
      </c>
      <c r="B539" t="s">
        <v>1098</v>
      </c>
      <c r="C539">
        <v>111</v>
      </c>
      <c r="D539" t="s">
        <v>1038</v>
      </c>
      <c r="E539" s="1">
        <v>45088</v>
      </c>
      <c r="F539">
        <v>22</v>
      </c>
      <c r="G539">
        <v>4.0999999999999996</v>
      </c>
      <c r="H539">
        <v>2023</v>
      </c>
      <c r="I539" t="s">
        <v>1018</v>
      </c>
      <c r="J539" t="s">
        <v>1019</v>
      </c>
      <c r="K539">
        <v>4</v>
      </c>
    </row>
    <row r="540" spans="1:11" x14ac:dyDescent="0.3">
      <c r="A540" t="s">
        <v>1584</v>
      </c>
      <c r="B540" t="s">
        <v>1028</v>
      </c>
      <c r="C540">
        <v>147</v>
      </c>
      <c r="D540" t="s">
        <v>1017</v>
      </c>
      <c r="E540" s="1">
        <v>45088</v>
      </c>
      <c r="F540">
        <v>82</v>
      </c>
      <c r="G540">
        <v>4.4000000000000004</v>
      </c>
      <c r="H540">
        <v>2023</v>
      </c>
      <c r="I540" t="s">
        <v>1018</v>
      </c>
      <c r="J540" t="s">
        <v>1031</v>
      </c>
      <c r="K540">
        <v>4</v>
      </c>
    </row>
    <row r="541" spans="1:11" x14ac:dyDescent="0.3">
      <c r="A541" t="s">
        <v>1585</v>
      </c>
      <c r="B541" t="s">
        <v>1016</v>
      </c>
      <c r="C541">
        <v>141</v>
      </c>
      <c r="D541" t="s">
        <v>1029</v>
      </c>
      <c r="E541" s="1">
        <v>45088</v>
      </c>
      <c r="F541">
        <v>100</v>
      </c>
      <c r="G541">
        <v>4.5999999999999996</v>
      </c>
      <c r="H541">
        <v>2023</v>
      </c>
      <c r="I541" t="s">
        <v>1018</v>
      </c>
      <c r="J541" t="s">
        <v>1031</v>
      </c>
      <c r="K541">
        <v>5</v>
      </c>
    </row>
    <row r="542" spans="1:11" x14ac:dyDescent="0.3">
      <c r="A542" t="s">
        <v>1586</v>
      </c>
      <c r="B542" t="s">
        <v>1047</v>
      </c>
      <c r="C542">
        <v>71</v>
      </c>
      <c r="D542" t="s">
        <v>1042</v>
      </c>
      <c r="E542" s="1">
        <v>45089</v>
      </c>
      <c r="F542">
        <v>52</v>
      </c>
      <c r="G542">
        <v>3.4</v>
      </c>
      <c r="H542">
        <v>2023</v>
      </c>
      <c r="I542" t="s">
        <v>1030</v>
      </c>
      <c r="J542" t="s">
        <v>1019</v>
      </c>
      <c r="K542">
        <v>3</v>
      </c>
    </row>
    <row r="543" spans="1:11" x14ac:dyDescent="0.3">
      <c r="A543" t="s">
        <v>1587</v>
      </c>
      <c r="B543" t="s">
        <v>1047</v>
      </c>
      <c r="C543">
        <v>121</v>
      </c>
      <c r="D543" t="s">
        <v>1017</v>
      </c>
      <c r="E543" s="1">
        <v>45090</v>
      </c>
      <c r="F543">
        <v>84</v>
      </c>
      <c r="G543">
        <v>4.5999999999999996</v>
      </c>
      <c r="H543">
        <v>2023</v>
      </c>
      <c r="I543" t="s">
        <v>1033</v>
      </c>
      <c r="J543" t="s">
        <v>1031</v>
      </c>
      <c r="K543">
        <v>5</v>
      </c>
    </row>
    <row r="544" spans="1:11" x14ac:dyDescent="0.3">
      <c r="A544" t="s">
        <v>1588</v>
      </c>
      <c r="B544" t="s">
        <v>1047</v>
      </c>
      <c r="C544">
        <v>60</v>
      </c>
      <c r="D544" t="s">
        <v>1017</v>
      </c>
      <c r="E544" s="1">
        <v>45090</v>
      </c>
      <c r="F544">
        <v>37</v>
      </c>
      <c r="G544">
        <v>3.9</v>
      </c>
      <c r="H544">
        <v>2023</v>
      </c>
      <c r="I544" t="s">
        <v>1033</v>
      </c>
      <c r="J544" t="s">
        <v>1034</v>
      </c>
      <c r="K544">
        <v>4</v>
      </c>
    </row>
    <row r="545" spans="1:11" x14ac:dyDescent="0.3">
      <c r="A545" t="s">
        <v>1589</v>
      </c>
      <c r="B545" t="s">
        <v>1065</v>
      </c>
      <c r="C545">
        <v>158</v>
      </c>
      <c r="D545" t="s">
        <v>1029</v>
      </c>
      <c r="E545" s="1">
        <v>45091</v>
      </c>
      <c r="F545">
        <v>190</v>
      </c>
      <c r="G545">
        <v>4</v>
      </c>
      <c r="H545">
        <v>2023</v>
      </c>
      <c r="I545" t="s">
        <v>1048</v>
      </c>
      <c r="J545" t="s">
        <v>1031</v>
      </c>
      <c r="K545">
        <v>4</v>
      </c>
    </row>
    <row r="546" spans="1:11" x14ac:dyDescent="0.3">
      <c r="A546" t="s">
        <v>1590</v>
      </c>
      <c r="B546" t="s">
        <v>1041</v>
      </c>
      <c r="C546">
        <v>159</v>
      </c>
      <c r="D546" t="s">
        <v>1024</v>
      </c>
      <c r="E546" s="1">
        <v>45091</v>
      </c>
      <c r="F546">
        <v>66</v>
      </c>
      <c r="G546">
        <v>3.4</v>
      </c>
      <c r="H546">
        <v>2023</v>
      </c>
      <c r="I546" t="s">
        <v>1048</v>
      </c>
      <c r="J546" t="s">
        <v>1031</v>
      </c>
      <c r="K546">
        <v>3</v>
      </c>
    </row>
    <row r="547" spans="1:11" x14ac:dyDescent="0.3">
      <c r="A547" t="s">
        <v>1591</v>
      </c>
      <c r="B547" t="s">
        <v>1021</v>
      </c>
      <c r="C547">
        <v>70</v>
      </c>
      <c r="D547" t="s">
        <v>1042</v>
      </c>
      <c r="E547" s="1">
        <v>45092</v>
      </c>
      <c r="F547">
        <v>116</v>
      </c>
      <c r="G547">
        <v>3.2</v>
      </c>
      <c r="H547">
        <v>2023</v>
      </c>
      <c r="I547" t="s">
        <v>1052</v>
      </c>
      <c r="J547" t="s">
        <v>1019</v>
      </c>
      <c r="K547">
        <v>3</v>
      </c>
    </row>
    <row r="548" spans="1:11" x14ac:dyDescent="0.3">
      <c r="A548" t="s">
        <v>1592</v>
      </c>
      <c r="B548" t="s">
        <v>1068</v>
      </c>
      <c r="C548">
        <v>78</v>
      </c>
      <c r="D548" t="s">
        <v>1038</v>
      </c>
      <c r="E548" s="1">
        <v>45092</v>
      </c>
      <c r="F548">
        <v>28</v>
      </c>
      <c r="G548">
        <v>3.9</v>
      </c>
      <c r="H548">
        <v>2023</v>
      </c>
      <c r="I548" t="s">
        <v>1052</v>
      </c>
      <c r="J548" t="s">
        <v>1019</v>
      </c>
      <c r="K548">
        <v>4</v>
      </c>
    </row>
    <row r="549" spans="1:11" x14ac:dyDescent="0.3">
      <c r="A549" t="s">
        <v>1593</v>
      </c>
      <c r="B549" t="s">
        <v>1028</v>
      </c>
      <c r="C549">
        <v>103</v>
      </c>
      <c r="D549" t="s">
        <v>1042</v>
      </c>
      <c r="E549" s="1">
        <v>45092</v>
      </c>
      <c r="F549">
        <v>120</v>
      </c>
      <c r="G549">
        <v>5</v>
      </c>
      <c r="H549">
        <v>2023</v>
      </c>
      <c r="I549" t="s">
        <v>1052</v>
      </c>
      <c r="J549" t="s">
        <v>1019</v>
      </c>
      <c r="K549">
        <v>5</v>
      </c>
    </row>
    <row r="550" spans="1:11" x14ac:dyDescent="0.3">
      <c r="A550" t="s">
        <v>1594</v>
      </c>
      <c r="B550" t="s">
        <v>1023</v>
      </c>
      <c r="C550">
        <v>108</v>
      </c>
      <c r="D550" t="s">
        <v>1029</v>
      </c>
      <c r="E550" s="1">
        <v>45092</v>
      </c>
      <c r="F550">
        <v>56</v>
      </c>
      <c r="G550">
        <v>3.5</v>
      </c>
      <c r="H550">
        <v>2023</v>
      </c>
      <c r="I550" t="s">
        <v>1052</v>
      </c>
      <c r="J550" t="s">
        <v>1019</v>
      </c>
      <c r="K550">
        <v>4</v>
      </c>
    </row>
    <row r="551" spans="1:11" x14ac:dyDescent="0.3">
      <c r="A551" t="s">
        <v>1595</v>
      </c>
      <c r="B551" t="s">
        <v>1023</v>
      </c>
      <c r="C551">
        <v>44</v>
      </c>
      <c r="D551" t="s">
        <v>1017</v>
      </c>
      <c r="E551" s="1">
        <v>45092</v>
      </c>
      <c r="F551">
        <v>170</v>
      </c>
      <c r="G551">
        <v>3.8</v>
      </c>
      <c r="H551">
        <v>2023</v>
      </c>
      <c r="I551" t="s">
        <v>1052</v>
      </c>
      <c r="J551" t="s">
        <v>1034</v>
      </c>
      <c r="K551">
        <v>4</v>
      </c>
    </row>
    <row r="552" spans="1:11" x14ac:dyDescent="0.3">
      <c r="A552" t="s">
        <v>1596</v>
      </c>
      <c r="B552" t="s">
        <v>1068</v>
      </c>
      <c r="C552">
        <v>127</v>
      </c>
      <c r="D552" t="s">
        <v>1029</v>
      </c>
      <c r="E552" s="1">
        <v>45093</v>
      </c>
      <c r="F552">
        <v>200</v>
      </c>
      <c r="G552">
        <v>4.8</v>
      </c>
      <c r="H552">
        <v>2023</v>
      </c>
      <c r="I552" t="s">
        <v>411</v>
      </c>
      <c r="J552" t="s">
        <v>1031</v>
      </c>
      <c r="K552">
        <v>5</v>
      </c>
    </row>
    <row r="553" spans="1:11" x14ac:dyDescent="0.3">
      <c r="A553" t="s">
        <v>1597</v>
      </c>
      <c r="B553" t="s">
        <v>1028</v>
      </c>
      <c r="C553">
        <v>132</v>
      </c>
      <c r="D553" t="s">
        <v>1042</v>
      </c>
      <c r="E553" s="1">
        <v>45094</v>
      </c>
      <c r="F553">
        <v>50</v>
      </c>
      <c r="G553">
        <v>4.2</v>
      </c>
      <c r="H553">
        <v>2023</v>
      </c>
      <c r="I553" t="s">
        <v>1062</v>
      </c>
      <c r="J553" t="s">
        <v>1031</v>
      </c>
      <c r="K553">
        <v>4</v>
      </c>
    </row>
    <row r="554" spans="1:11" x14ac:dyDescent="0.3">
      <c r="A554" t="s">
        <v>1598</v>
      </c>
      <c r="B554" t="s">
        <v>1016</v>
      </c>
      <c r="C554">
        <v>106</v>
      </c>
      <c r="D554" t="s">
        <v>1038</v>
      </c>
      <c r="E554" s="1">
        <v>45094</v>
      </c>
      <c r="F554">
        <v>112</v>
      </c>
      <c r="G554">
        <v>3.7</v>
      </c>
      <c r="H554">
        <v>2023</v>
      </c>
      <c r="I554" t="s">
        <v>1062</v>
      </c>
      <c r="J554" t="s">
        <v>1019</v>
      </c>
      <c r="K554">
        <v>4</v>
      </c>
    </row>
    <row r="555" spans="1:11" x14ac:dyDescent="0.3">
      <c r="A555" t="s">
        <v>1599</v>
      </c>
      <c r="B555" t="s">
        <v>1098</v>
      </c>
      <c r="C555">
        <v>107</v>
      </c>
      <c r="D555" t="s">
        <v>1042</v>
      </c>
      <c r="E555" s="1">
        <v>45095</v>
      </c>
      <c r="F555">
        <v>39</v>
      </c>
      <c r="G555">
        <v>4.8</v>
      </c>
      <c r="H555">
        <v>2023</v>
      </c>
      <c r="I555" t="s">
        <v>1018</v>
      </c>
      <c r="J555" t="s">
        <v>1019</v>
      </c>
      <c r="K555">
        <v>5</v>
      </c>
    </row>
    <row r="556" spans="1:11" x14ac:dyDescent="0.3">
      <c r="A556" t="s">
        <v>1600</v>
      </c>
      <c r="B556" t="s">
        <v>1041</v>
      </c>
      <c r="C556">
        <v>85</v>
      </c>
      <c r="D556" t="s">
        <v>1038</v>
      </c>
      <c r="E556" s="1">
        <v>45095</v>
      </c>
      <c r="F556">
        <v>38</v>
      </c>
      <c r="G556">
        <v>4.8</v>
      </c>
      <c r="H556">
        <v>2023</v>
      </c>
      <c r="I556" t="s">
        <v>1018</v>
      </c>
      <c r="J556" t="s">
        <v>1019</v>
      </c>
      <c r="K556">
        <v>5</v>
      </c>
    </row>
    <row r="557" spans="1:11" x14ac:dyDescent="0.3">
      <c r="A557" t="s">
        <v>1601</v>
      </c>
      <c r="B557" t="s">
        <v>1036</v>
      </c>
      <c r="C557">
        <v>49</v>
      </c>
      <c r="D557" t="s">
        <v>1042</v>
      </c>
      <c r="E557" s="1">
        <v>45096</v>
      </c>
      <c r="F557">
        <v>84</v>
      </c>
      <c r="G557">
        <v>2.9</v>
      </c>
      <c r="H557">
        <v>2023</v>
      </c>
      <c r="I557" t="s">
        <v>1030</v>
      </c>
      <c r="J557" t="s">
        <v>1034</v>
      </c>
      <c r="K557">
        <v>3</v>
      </c>
    </row>
    <row r="558" spans="1:11" x14ac:dyDescent="0.3">
      <c r="A558" t="s">
        <v>1602</v>
      </c>
      <c r="B558" t="s">
        <v>1047</v>
      </c>
      <c r="C558">
        <v>117</v>
      </c>
      <c r="D558" t="s">
        <v>1029</v>
      </c>
      <c r="E558" s="1">
        <v>45097</v>
      </c>
      <c r="F558">
        <v>82</v>
      </c>
      <c r="G558">
        <v>3.5</v>
      </c>
      <c r="H558">
        <v>2023</v>
      </c>
      <c r="I558" t="s">
        <v>1033</v>
      </c>
      <c r="J558" t="s">
        <v>1019</v>
      </c>
      <c r="K558">
        <v>4</v>
      </c>
    </row>
    <row r="559" spans="1:11" x14ac:dyDescent="0.3">
      <c r="A559" t="s">
        <v>1603</v>
      </c>
      <c r="B559" t="s">
        <v>1098</v>
      </c>
      <c r="C559">
        <v>136</v>
      </c>
      <c r="D559" t="s">
        <v>1038</v>
      </c>
      <c r="E559" s="1">
        <v>45097</v>
      </c>
      <c r="F559">
        <v>37</v>
      </c>
      <c r="G559">
        <v>0.9</v>
      </c>
      <c r="H559">
        <v>2023</v>
      </c>
      <c r="I559" t="s">
        <v>1033</v>
      </c>
      <c r="J559" t="s">
        <v>1031</v>
      </c>
      <c r="K559">
        <v>1</v>
      </c>
    </row>
    <row r="560" spans="1:11" x14ac:dyDescent="0.3">
      <c r="A560" t="s">
        <v>1604</v>
      </c>
      <c r="B560" t="s">
        <v>1023</v>
      </c>
      <c r="C560">
        <v>130</v>
      </c>
      <c r="D560" t="s">
        <v>1024</v>
      </c>
      <c r="E560" s="1">
        <v>45098</v>
      </c>
      <c r="F560">
        <v>87</v>
      </c>
      <c r="G560">
        <v>3.4</v>
      </c>
      <c r="H560">
        <v>2023</v>
      </c>
      <c r="I560" t="s">
        <v>1048</v>
      </c>
      <c r="J560" t="s">
        <v>1031</v>
      </c>
      <c r="K560">
        <v>3</v>
      </c>
    </row>
    <row r="561" spans="1:11" x14ac:dyDescent="0.3">
      <c r="A561" t="s">
        <v>1605</v>
      </c>
      <c r="B561" t="s">
        <v>1023</v>
      </c>
      <c r="C561">
        <v>73</v>
      </c>
      <c r="D561" t="s">
        <v>1024</v>
      </c>
      <c r="E561" s="1">
        <v>45098</v>
      </c>
      <c r="F561">
        <v>75</v>
      </c>
      <c r="G561">
        <v>2.7</v>
      </c>
      <c r="H561">
        <v>2023</v>
      </c>
      <c r="I561" t="s">
        <v>1048</v>
      </c>
      <c r="J561" t="s">
        <v>1019</v>
      </c>
      <c r="K561">
        <v>3</v>
      </c>
    </row>
    <row r="562" spans="1:11" x14ac:dyDescent="0.3">
      <c r="A562" t="s">
        <v>1606</v>
      </c>
      <c r="B562" t="s">
        <v>1036</v>
      </c>
      <c r="C562">
        <v>80</v>
      </c>
      <c r="D562" t="s">
        <v>1042</v>
      </c>
      <c r="E562" s="1">
        <v>45098</v>
      </c>
      <c r="F562">
        <v>32</v>
      </c>
      <c r="G562">
        <v>4.7</v>
      </c>
      <c r="H562">
        <v>2023</v>
      </c>
      <c r="I562" t="s">
        <v>1048</v>
      </c>
      <c r="J562" t="s">
        <v>1019</v>
      </c>
      <c r="K562">
        <v>5</v>
      </c>
    </row>
    <row r="563" spans="1:11" x14ac:dyDescent="0.3">
      <c r="A563" t="s">
        <v>1607</v>
      </c>
      <c r="B563" t="s">
        <v>1078</v>
      </c>
      <c r="C563">
        <v>44</v>
      </c>
      <c r="D563" t="s">
        <v>1029</v>
      </c>
      <c r="E563" s="1">
        <v>45098</v>
      </c>
      <c r="F563">
        <v>33</v>
      </c>
      <c r="G563">
        <v>3</v>
      </c>
      <c r="H563">
        <v>2023</v>
      </c>
      <c r="I563" t="s">
        <v>1048</v>
      </c>
      <c r="J563" t="s">
        <v>1034</v>
      </c>
      <c r="K563">
        <v>3</v>
      </c>
    </row>
    <row r="564" spans="1:11" x14ac:dyDescent="0.3">
      <c r="A564" t="s">
        <v>1608</v>
      </c>
      <c r="B564" t="s">
        <v>1078</v>
      </c>
      <c r="C564">
        <v>102</v>
      </c>
      <c r="D564" t="s">
        <v>1017</v>
      </c>
      <c r="E564" s="1">
        <v>45098</v>
      </c>
      <c r="F564">
        <v>76</v>
      </c>
      <c r="G564">
        <v>4.2</v>
      </c>
      <c r="H564">
        <v>2023</v>
      </c>
      <c r="I564" t="s">
        <v>1048</v>
      </c>
      <c r="J564" t="s">
        <v>1019</v>
      </c>
      <c r="K564">
        <v>4</v>
      </c>
    </row>
    <row r="565" spans="1:11" x14ac:dyDescent="0.3">
      <c r="A565" t="s">
        <v>1609</v>
      </c>
      <c r="B565" t="s">
        <v>1065</v>
      </c>
      <c r="C565">
        <v>74</v>
      </c>
      <c r="D565" t="s">
        <v>1017</v>
      </c>
      <c r="E565" s="1">
        <v>45098</v>
      </c>
      <c r="F565">
        <v>117</v>
      </c>
      <c r="G565">
        <v>4.8</v>
      </c>
      <c r="H565">
        <v>2023</v>
      </c>
      <c r="I565" t="s">
        <v>1048</v>
      </c>
      <c r="J565" t="s">
        <v>1019</v>
      </c>
      <c r="K565">
        <v>5</v>
      </c>
    </row>
    <row r="566" spans="1:11" x14ac:dyDescent="0.3">
      <c r="A566" t="s">
        <v>1610</v>
      </c>
      <c r="B566" t="s">
        <v>1036</v>
      </c>
      <c r="C566">
        <v>52</v>
      </c>
      <c r="D566" t="s">
        <v>1029</v>
      </c>
      <c r="E566" s="1">
        <v>45100</v>
      </c>
      <c r="F566">
        <v>70</v>
      </c>
      <c r="G566">
        <v>4.0999999999999996</v>
      </c>
      <c r="H566">
        <v>2023</v>
      </c>
      <c r="I566" t="s">
        <v>411</v>
      </c>
      <c r="J566" t="s">
        <v>1034</v>
      </c>
      <c r="K566">
        <v>4</v>
      </c>
    </row>
    <row r="567" spans="1:11" x14ac:dyDescent="0.3">
      <c r="A567" t="s">
        <v>1611</v>
      </c>
      <c r="B567" t="s">
        <v>1036</v>
      </c>
      <c r="C567">
        <v>74</v>
      </c>
      <c r="D567" t="s">
        <v>1024</v>
      </c>
      <c r="E567" s="1">
        <v>45100</v>
      </c>
      <c r="F567">
        <v>37</v>
      </c>
      <c r="G567">
        <v>2.7</v>
      </c>
      <c r="H567">
        <v>2023</v>
      </c>
      <c r="I567" t="s">
        <v>411</v>
      </c>
      <c r="J567" t="s">
        <v>1019</v>
      </c>
      <c r="K567">
        <v>3</v>
      </c>
    </row>
    <row r="568" spans="1:11" x14ac:dyDescent="0.3">
      <c r="A568" t="s">
        <v>1612</v>
      </c>
      <c r="B568" t="s">
        <v>1023</v>
      </c>
      <c r="C568">
        <v>96</v>
      </c>
      <c r="D568" t="s">
        <v>1017</v>
      </c>
      <c r="E568" s="1">
        <v>45100</v>
      </c>
      <c r="F568">
        <v>46</v>
      </c>
      <c r="G568">
        <v>2.9</v>
      </c>
      <c r="H568">
        <v>2023</v>
      </c>
      <c r="I568" t="s">
        <v>411</v>
      </c>
      <c r="J568" t="s">
        <v>1019</v>
      </c>
      <c r="K568">
        <v>3</v>
      </c>
    </row>
    <row r="569" spans="1:11" x14ac:dyDescent="0.3">
      <c r="A569" t="s">
        <v>1613</v>
      </c>
      <c r="B569" t="s">
        <v>1045</v>
      </c>
      <c r="C569">
        <v>104</v>
      </c>
      <c r="D569" t="s">
        <v>1042</v>
      </c>
      <c r="E569" s="1">
        <v>45100</v>
      </c>
      <c r="F569">
        <v>136</v>
      </c>
      <c r="G569">
        <v>5</v>
      </c>
      <c r="H569">
        <v>2023</v>
      </c>
      <c r="I569" t="s">
        <v>411</v>
      </c>
      <c r="J569" t="s">
        <v>1019</v>
      </c>
      <c r="K569">
        <v>5</v>
      </c>
    </row>
    <row r="570" spans="1:11" x14ac:dyDescent="0.3">
      <c r="A570" t="s">
        <v>1614</v>
      </c>
      <c r="B570" t="s">
        <v>1023</v>
      </c>
      <c r="C570">
        <v>123</v>
      </c>
      <c r="D570" t="s">
        <v>1017</v>
      </c>
      <c r="E570" s="1">
        <v>45101</v>
      </c>
      <c r="F570">
        <v>44</v>
      </c>
      <c r="G570">
        <v>4.5999999999999996</v>
      </c>
      <c r="H570">
        <v>2023</v>
      </c>
      <c r="I570" t="s">
        <v>1062</v>
      </c>
      <c r="J570" t="s">
        <v>1031</v>
      </c>
      <c r="K570">
        <v>5</v>
      </c>
    </row>
    <row r="571" spans="1:11" x14ac:dyDescent="0.3">
      <c r="A571" t="s">
        <v>1615</v>
      </c>
      <c r="B571" t="s">
        <v>1055</v>
      </c>
      <c r="C571">
        <v>100</v>
      </c>
      <c r="D571" t="s">
        <v>1038</v>
      </c>
      <c r="E571" s="1">
        <v>45101</v>
      </c>
      <c r="F571">
        <v>69</v>
      </c>
      <c r="G571">
        <v>3</v>
      </c>
      <c r="H571">
        <v>2023</v>
      </c>
      <c r="I571" t="s">
        <v>1062</v>
      </c>
      <c r="J571" t="s">
        <v>1019</v>
      </c>
      <c r="K571">
        <v>3</v>
      </c>
    </row>
    <row r="572" spans="1:11" x14ac:dyDescent="0.3">
      <c r="A572" t="s">
        <v>1616</v>
      </c>
      <c r="B572" t="s">
        <v>1045</v>
      </c>
      <c r="C572">
        <v>35</v>
      </c>
      <c r="D572" t="s">
        <v>1029</v>
      </c>
      <c r="E572" s="1">
        <v>45102</v>
      </c>
      <c r="F572">
        <v>86</v>
      </c>
      <c r="G572">
        <v>4.5999999999999996</v>
      </c>
      <c r="H572">
        <v>2023</v>
      </c>
      <c r="I572" t="s">
        <v>1018</v>
      </c>
      <c r="J572" t="s">
        <v>1034</v>
      </c>
      <c r="K572">
        <v>5</v>
      </c>
    </row>
    <row r="573" spans="1:11" x14ac:dyDescent="0.3">
      <c r="A573" t="s">
        <v>1617</v>
      </c>
      <c r="B573" t="s">
        <v>1036</v>
      </c>
      <c r="C573">
        <v>123</v>
      </c>
      <c r="D573" t="s">
        <v>1042</v>
      </c>
      <c r="E573" s="1">
        <v>45102</v>
      </c>
      <c r="F573">
        <v>68</v>
      </c>
      <c r="G573">
        <v>4.5</v>
      </c>
      <c r="H573">
        <v>2023</v>
      </c>
      <c r="I573" t="s">
        <v>1018</v>
      </c>
      <c r="J573" t="s">
        <v>1031</v>
      </c>
      <c r="K573">
        <v>5</v>
      </c>
    </row>
    <row r="574" spans="1:11" x14ac:dyDescent="0.3">
      <c r="A574" t="s">
        <v>1618</v>
      </c>
      <c r="B574" t="s">
        <v>1047</v>
      </c>
      <c r="C574">
        <v>133</v>
      </c>
      <c r="D574" t="s">
        <v>1029</v>
      </c>
      <c r="E574" s="1">
        <v>45103</v>
      </c>
      <c r="F574">
        <v>21</v>
      </c>
      <c r="G574">
        <v>3.7</v>
      </c>
      <c r="H574">
        <v>2023</v>
      </c>
      <c r="I574" t="s">
        <v>1030</v>
      </c>
      <c r="J574" t="s">
        <v>1031</v>
      </c>
      <c r="K574">
        <v>4</v>
      </c>
    </row>
    <row r="575" spans="1:11" x14ac:dyDescent="0.3">
      <c r="A575" t="s">
        <v>1619</v>
      </c>
      <c r="B575" t="s">
        <v>1023</v>
      </c>
      <c r="C575">
        <v>126</v>
      </c>
      <c r="D575" t="s">
        <v>1024</v>
      </c>
      <c r="E575" s="1">
        <v>45103</v>
      </c>
      <c r="F575">
        <v>190</v>
      </c>
      <c r="G575">
        <v>2.4</v>
      </c>
      <c r="H575">
        <v>2023</v>
      </c>
      <c r="I575" t="s">
        <v>1030</v>
      </c>
      <c r="J575" t="s">
        <v>1031</v>
      </c>
      <c r="K575">
        <v>2</v>
      </c>
    </row>
    <row r="576" spans="1:11" x14ac:dyDescent="0.3">
      <c r="A576" t="s">
        <v>1620</v>
      </c>
      <c r="B576" t="s">
        <v>1036</v>
      </c>
      <c r="C576">
        <v>39</v>
      </c>
      <c r="D576" t="s">
        <v>1017</v>
      </c>
      <c r="E576" s="1">
        <v>45103</v>
      </c>
      <c r="F576">
        <v>176</v>
      </c>
      <c r="G576">
        <v>4.3</v>
      </c>
      <c r="H576">
        <v>2023</v>
      </c>
      <c r="I576" t="s">
        <v>1030</v>
      </c>
      <c r="J576" t="s">
        <v>1034</v>
      </c>
      <c r="K576">
        <v>4</v>
      </c>
    </row>
    <row r="577" spans="1:11" x14ac:dyDescent="0.3">
      <c r="A577" t="s">
        <v>1621</v>
      </c>
      <c r="B577" t="s">
        <v>1065</v>
      </c>
      <c r="C577">
        <v>31</v>
      </c>
      <c r="D577" t="s">
        <v>1042</v>
      </c>
      <c r="E577" s="1">
        <v>45103</v>
      </c>
      <c r="F577">
        <v>172</v>
      </c>
      <c r="G577">
        <v>3.9</v>
      </c>
      <c r="H577">
        <v>2023</v>
      </c>
      <c r="I577" t="s">
        <v>1030</v>
      </c>
      <c r="J577" t="s">
        <v>1034</v>
      </c>
      <c r="K577">
        <v>4</v>
      </c>
    </row>
    <row r="578" spans="1:11" x14ac:dyDescent="0.3">
      <c r="A578" t="s">
        <v>1622</v>
      </c>
      <c r="B578" t="s">
        <v>1028</v>
      </c>
      <c r="C578">
        <v>25</v>
      </c>
      <c r="D578" t="s">
        <v>1029</v>
      </c>
      <c r="E578" s="1">
        <v>45103</v>
      </c>
      <c r="F578">
        <v>84</v>
      </c>
      <c r="G578">
        <v>4.5</v>
      </c>
      <c r="H578">
        <v>2023</v>
      </c>
      <c r="I578" t="s">
        <v>1030</v>
      </c>
      <c r="J578" t="s">
        <v>1056</v>
      </c>
      <c r="K578">
        <v>5</v>
      </c>
    </row>
    <row r="579" spans="1:11" x14ac:dyDescent="0.3">
      <c r="A579" t="s">
        <v>1623</v>
      </c>
      <c r="B579" t="s">
        <v>1021</v>
      </c>
      <c r="C579">
        <v>132</v>
      </c>
      <c r="D579" t="s">
        <v>1038</v>
      </c>
      <c r="E579" s="1">
        <v>45104</v>
      </c>
      <c r="F579">
        <v>42</v>
      </c>
      <c r="G579">
        <v>5</v>
      </c>
      <c r="H579">
        <v>2023</v>
      </c>
      <c r="I579" t="s">
        <v>1033</v>
      </c>
      <c r="J579" t="s">
        <v>1031</v>
      </c>
      <c r="K579">
        <v>5</v>
      </c>
    </row>
    <row r="580" spans="1:11" x14ac:dyDescent="0.3">
      <c r="A580" t="s">
        <v>1624</v>
      </c>
      <c r="B580" t="s">
        <v>1045</v>
      </c>
      <c r="C580">
        <v>63</v>
      </c>
      <c r="D580" t="s">
        <v>1024</v>
      </c>
      <c r="E580" s="1">
        <v>45104</v>
      </c>
      <c r="F580">
        <v>70</v>
      </c>
      <c r="G580">
        <v>1.6</v>
      </c>
      <c r="H580">
        <v>2023</v>
      </c>
      <c r="I580" t="s">
        <v>1033</v>
      </c>
      <c r="J580" t="s">
        <v>1019</v>
      </c>
      <c r="K580">
        <v>2</v>
      </c>
    </row>
    <row r="581" spans="1:11" x14ac:dyDescent="0.3">
      <c r="A581" t="s">
        <v>1625</v>
      </c>
      <c r="B581" t="s">
        <v>1055</v>
      </c>
      <c r="C581">
        <v>135</v>
      </c>
      <c r="D581" t="s">
        <v>1038</v>
      </c>
      <c r="E581" s="1">
        <v>45104</v>
      </c>
      <c r="F581">
        <v>60</v>
      </c>
      <c r="G581">
        <v>4.3</v>
      </c>
      <c r="H581">
        <v>2023</v>
      </c>
      <c r="I581" t="s">
        <v>1033</v>
      </c>
      <c r="J581" t="s">
        <v>1031</v>
      </c>
      <c r="K581">
        <v>4</v>
      </c>
    </row>
    <row r="582" spans="1:11" x14ac:dyDescent="0.3">
      <c r="A582" t="s">
        <v>1626</v>
      </c>
      <c r="B582" t="s">
        <v>1041</v>
      </c>
      <c r="C582">
        <v>101</v>
      </c>
      <c r="D582" t="s">
        <v>1024</v>
      </c>
      <c r="E582" s="1">
        <v>45104</v>
      </c>
      <c r="F582">
        <v>84</v>
      </c>
      <c r="G582">
        <v>3.5</v>
      </c>
      <c r="H582">
        <v>2023</v>
      </c>
      <c r="I582" t="s">
        <v>1033</v>
      </c>
      <c r="J582" t="s">
        <v>1019</v>
      </c>
      <c r="K582">
        <v>4</v>
      </c>
    </row>
    <row r="583" spans="1:11" x14ac:dyDescent="0.3">
      <c r="A583" t="s">
        <v>1627</v>
      </c>
      <c r="B583" t="s">
        <v>1047</v>
      </c>
      <c r="C583">
        <v>80</v>
      </c>
      <c r="D583" t="s">
        <v>1017</v>
      </c>
      <c r="E583" s="1">
        <v>45105</v>
      </c>
      <c r="F583">
        <v>68</v>
      </c>
      <c r="G583">
        <v>3.1</v>
      </c>
      <c r="H583">
        <v>2023</v>
      </c>
      <c r="I583" t="s">
        <v>1048</v>
      </c>
      <c r="J583" t="s">
        <v>1019</v>
      </c>
      <c r="K583">
        <v>3</v>
      </c>
    </row>
    <row r="584" spans="1:11" x14ac:dyDescent="0.3">
      <c r="A584" t="s">
        <v>1628</v>
      </c>
      <c r="B584" t="s">
        <v>1078</v>
      </c>
      <c r="C584">
        <v>28</v>
      </c>
      <c r="D584" t="s">
        <v>1017</v>
      </c>
      <c r="E584" s="1">
        <v>45105</v>
      </c>
      <c r="F584">
        <v>44</v>
      </c>
      <c r="G584">
        <v>2.9</v>
      </c>
      <c r="H584">
        <v>2023</v>
      </c>
      <c r="I584" t="s">
        <v>1048</v>
      </c>
      <c r="J584" t="s">
        <v>1056</v>
      </c>
      <c r="K584">
        <v>3</v>
      </c>
    </row>
    <row r="585" spans="1:11" x14ac:dyDescent="0.3">
      <c r="A585" t="s">
        <v>1629</v>
      </c>
      <c r="B585" t="s">
        <v>1041</v>
      </c>
      <c r="C585">
        <v>102</v>
      </c>
      <c r="D585" t="s">
        <v>1038</v>
      </c>
      <c r="E585" s="1">
        <v>45106</v>
      </c>
      <c r="F585">
        <v>99</v>
      </c>
      <c r="G585">
        <v>3.2</v>
      </c>
      <c r="H585">
        <v>2023</v>
      </c>
      <c r="I585" t="s">
        <v>1052</v>
      </c>
      <c r="J585" t="s">
        <v>1019</v>
      </c>
      <c r="K585">
        <v>3</v>
      </c>
    </row>
    <row r="586" spans="1:11" x14ac:dyDescent="0.3">
      <c r="A586" t="s">
        <v>1630</v>
      </c>
      <c r="B586" t="s">
        <v>1045</v>
      </c>
      <c r="C586">
        <v>60</v>
      </c>
      <c r="D586" t="s">
        <v>1038</v>
      </c>
      <c r="E586" s="1">
        <v>45107</v>
      </c>
      <c r="F586">
        <v>66</v>
      </c>
      <c r="G586">
        <v>3.2</v>
      </c>
      <c r="H586">
        <v>2023</v>
      </c>
      <c r="I586" t="s">
        <v>411</v>
      </c>
      <c r="J586" t="s">
        <v>1034</v>
      </c>
      <c r="K586">
        <v>3</v>
      </c>
    </row>
    <row r="587" spans="1:11" x14ac:dyDescent="0.3">
      <c r="A587" t="s">
        <v>1631</v>
      </c>
      <c r="B587" t="s">
        <v>1026</v>
      </c>
      <c r="C587">
        <v>103</v>
      </c>
      <c r="D587" t="s">
        <v>1038</v>
      </c>
      <c r="E587" s="1">
        <v>45107</v>
      </c>
      <c r="F587">
        <v>102</v>
      </c>
      <c r="G587">
        <v>4.5</v>
      </c>
      <c r="H587">
        <v>2023</v>
      </c>
      <c r="I587" t="s">
        <v>411</v>
      </c>
      <c r="J587" t="s">
        <v>1019</v>
      </c>
      <c r="K587">
        <v>5</v>
      </c>
    </row>
    <row r="588" spans="1:11" x14ac:dyDescent="0.3">
      <c r="A588" t="s">
        <v>1632</v>
      </c>
      <c r="B588" t="s">
        <v>1047</v>
      </c>
      <c r="C588">
        <v>90</v>
      </c>
      <c r="D588" t="s">
        <v>1017</v>
      </c>
      <c r="E588" s="1">
        <v>45108</v>
      </c>
      <c r="F588">
        <v>129</v>
      </c>
      <c r="G588">
        <v>3.9</v>
      </c>
      <c r="H588">
        <v>2024</v>
      </c>
      <c r="I588" t="s">
        <v>1062</v>
      </c>
      <c r="J588" t="s">
        <v>1019</v>
      </c>
      <c r="K588">
        <v>4</v>
      </c>
    </row>
    <row r="589" spans="1:11" x14ac:dyDescent="0.3">
      <c r="A589" t="s">
        <v>1633</v>
      </c>
      <c r="B589" t="s">
        <v>1068</v>
      </c>
      <c r="C589">
        <v>88</v>
      </c>
      <c r="D589" t="s">
        <v>1038</v>
      </c>
      <c r="E589" s="1">
        <v>45108</v>
      </c>
      <c r="F589">
        <v>80</v>
      </c>
      <c r="G589">
        <v>4.2</v>
      </c>
      <c r="H589">
        <v>2024</v>
      </c>
      <c r="I589" t="s">
        <v>1062</v>
      </c>
      <c r="J589" t="s">
        <v>1019</v>
      </c>
      <c r="K589">
        <v>4</v>
      </c>
    </row>
    <row r="590" spans="1:11" x14ac:dyDescent="0.3">
      <c r="A590" t="s">
        <v>1634</v>
      </c>
      <c r="B590" t="s">
        <v>1026</v>
      </c>
      <c r="C590">
        <v>37</v>
      </c>
      <c r="D590" t="s">
        <v>1038</v>
      </c>
      <c r="E590" s="1">
        <v>45108</v>
      </c>
      <c r="F590">
        <v>54</v>
      </c>
      <c r="G590">
        <v>1.8</v>
      </c>
      <c r="H590">
        <v>2024</v>
      </c>
      <c r="I590" t="s">
        <v>1062</v>
      </c>
      <c r="J590" t="s">
        <v>1034</v>
      </c>
      <c r="K590">
        <v>2</v>
      </c>
    </row>
    <row r="591" spans="1:11" x14ac:dyDescent="0.3">
      <c r="A591" t="s">
        <v>1635</v>
      </c>
      <c r="B591" t="s">
        <v>1078</v>
      </c>
      <c r="C591">
        <v>142</v>
      </c>
      <c r="D591" t="s">
        <v>1017</v>
      </c>
      <c r="E591" s="1">
        <v>45108</v>
      </c>
      <c r="F591">
        <v>116</v>
      </c>
      <c r="G591">
        <v>4.2</v>
      </c>
      <c r="H591">
        <v>2024</v>
      </c>
      <c r="I591" t="s">
        <v>1062</v>
      </c>
      <c r="J591" t="s">
        <v>1031</v>
      </c>
      <c r="K591">
        <v>4</v>
      </c>
    </row>
    <row r="592" spans="1:11" x14ac:dyDescent="0.3">
      <c r="A592" t="s">
        <v>1636</v>
      </c>
      <c r="B592" t="s">
        <v>1078</v>
      </c>
      <c r="C592">
        <v>153</v>
      </c>
      <c r="D592" t="s">
        <v>1029</v>
      </c>
      <c r="E592" s="1">
        <v>45108</v>
      </c>
      <c r="F592">
        <v>102</v>
      </c>
      <c r="G592">
        <v>3.1</v>
      </c>
      <c r="H592">
        <v>2024</v>
      </c>
      <c r="I592" t="s">
        <v>1062</v>
      </c>
      <c r="J592" t="s">
        <v>1031</v>
      </c>
      <c r="K592">
        <v>3</v>
      </c>
    </row>
    <row r="593" spans="1:11" x14ac:dyDescent="0.3">
      <c r="A593" t="s">
        <v>1637</v>
      </c>
      <c r="B593" t="s">
        <v>1059</v>
      </c>
      <c r="C593">
        <v>128</v>
      </c>
      <c r="D593" t="s">
        <v>1024</v>
      </c>
      <c r="E593" s="1">
        <v>45108</v>
      </c>
      <c r="F593">
        <v>140</v>
      </c>
      <c r="G593">
        <v>4.3</v>
      </c>
      <c r="H593">
        <v>2024</v>
      </c>
      <c r="I593" t="s">
        <v>1062</v>
      </c>
      <c r="J593" t="s">
        <v>1031</v>
      </c>
      <c r="K593">
        <v>4</v>
      </c>
    </row>
    <row r="594" spans="1:11" x14ac:dyDescent="0.3">
      <c r="A594" t="s">
        <v>1638</v>
      </c>
      <c r="B594" t="s">
        <v>1045</v>
      </c>
      <c r="C594">
        <v>110</v>
      </c>
      <c r="D594" t="s">
        <v>1024</v>
      </c>
      <c r="E594" s="1">
        <v>45109</v>
      </c>
      <c r="F594">
        <v>104</v>
      </c>
      <c r="G594">
        <v>4.4000000000000004</v>
      </c>
      <c r="H594">
        <v>2024</v>
      </c>
      <c r="I594" t="s">
        <v>1018</v>
      </c>
      <c r="J594" t="s">
        <v>1019</v>
      </c>
      <c r="K594">
        <v>4</v>
      </c>
    </row>
    <row r="595" spans="1:11" x14ac:dyDescent="0.3">
      <c r="A595" t="s">
        <v>1639</v>
      </c>
      <c r="B595" t="s">
        <v>1059</v>
      </c>
      <c r="C595">
        <v>139</v>
      </c>
      <c r="D595" t="s">
        <v>1038</v>
      </c>
      <c r="E595" s="1">
        <v>45109</v>
      </c>
      <c r="F595">
        <v>81</v>
      </c>
      <c r="G595">
        <v>4.4000000000000004</v>
      </c>
      <c r="H595">
        <v>2024</v>
      </c>
      <c r="I595" t="s">
        <v>1018</v>
      </c>
      <c r="J595" t="s">
        <v>1031</v>
      </c>
      <c r="K595">
        <v>4</v>
      </c>
    </row>
    <row r="596" spans="1:11" x14ac:dyDescent="0.3">
      <c r="A596" t="s">
        <v>1640</v>
      </c>
      <c r="B596" t="s">
        <v>1041</v>
      </c>
      <c r="C596">
        <v>109</v>
      </c>
      <c r="D596" t="s">
        <v>1042</v>
      </c>
      <c r="E596" s="1">
        <v>45111</v>
      </c>
      <c r="F596">
        <v>140</v>
      </c>
      <c r="G596">
        <v>2.4</v>
      </c>
      <c r="H596">
        <v>2024</v>
      </c>
      <c r="I596" t="s">
        <v>1033</v>
      </c>
      <c r="J596" t="s">
        <v>1019</v>
      </c>
      <c r="K596">
        <v>2</v>
      </c>
    </row>
    <row r="597" spans="1:11" x14ac:dyDescent="0.3">
      <c r="A597" t="s">
        <v>1641</v>
      </c>
      <c r="B597" t="s">
        <v>1021</v>
      </c>
      <c r="C597">
        <v>57</v>
      </c>
      <c r="D597" t="s">
        <v>1017</v>
      </c>
      <c r="E597" s="1">
        <v>45112</v>
      </c>
      <c r="F597">
        <v>120</v>
      </c>
      <c r="G597">
        <v>3.5</v>
      </c>
      <c r="H597">
        <v>2024</v>
      </c>
      <c r="I597" t="s">
        <v>1048</v>
      </c>
      <c r="J597" t="s">
        <v>1034</v>
      </c>
      <c r="K597">
        <v>4</v>
      </c>
    </row>
    <row r="598" spans="1:11" x14ac:dyDescent="0.3">
      <c r="A598" t="s">
        <v>1642</v>
      </c>
      <c r="B598" t="s">
        <v>1041</v>
      </c>
      <c r="C598">
        <v>68</v>
      </c>
      <c r="D598" t="s">
        <v>1038</v>
      </c>
      <c r="E598" s="1">
        <v>45112</v>
      </c>
      <c r="F598">
        <v>41</v>
      </c>
      <c r="G598">
        <v>3.1</v>
      </c>
      <c r="H598">
        <v>2024</v>
      </c>
      <c r="I598" t="s">
        <v>1048</v>
      </c>
      <c r="J598" t="s">
        <v>1019</v>
      </c>
      <c r="K598">
        <v>3</v>
      </c>
    </row>
    <row r="599" spans="1:11" x14ac:dyDescent="0.3">
      <c r="A599" t="s">
        <v>1643</v>
      </c>
      <c r="B599" t="s">
        <v>1028</v>
      </c>
      <c r="C599">
        <v>128</v>
      </c>
      <c r="D599" t="s">
        <v>1038</v>
      </c>
      <c r="E599" s="1">
        <v>45112</v>
      </c>
      <c r="F599">
        <v>116</v>
      </c>
      <c r="G599">
        <v>2.2999999999999998</v>
      </c>
      <c r="H599">
        <v>2024</v>
      </c>
      <c r="I599" t="s">
        <v>1048</v>
      </c>
      <c r="J599" t="s">
        <v>1031</v>
      </c>
      <c r="K599">
        <v>2</v>
      </c>
    </row>
    <row r="600" spans="1:11" x14ac:dyDescent="0.3">
      <c r="A600" t="s">
        <v>1644</v>
      </c>
      <c r="B600" t="s">
        <v>1016</v>
      </c>
      <c r="C600">
        <v>102</v>
      </c>
      <c r="D600" t="s">
        <v>1017</v>
      </c>
      <c r="E600" s="1">
        <v>45113</v>
      </c>
      <c r="F600">
        <v>70</v>
      </c>
      <c r="G600">
        <v>2.8</v>
      </c>
      <c r="H600">
        <v>2024</v>
      </c>
      <c r="I600" t="s">
        <v>1052</v>
      </c>
      <c r="J600" t="s">
        <v>1019</v>
      </c>
      <c r="K600">
        <v>3</v>
      </c>
    </row>
    <row r="601" spans="1:11" x14ac:dyDescent="0.3">
      <c r="A601" t="s">
        <v>1645</v>
      </c>
      <c r="B601" t="s">
        <v>1059</v>
      </c>
      <c r="C601">
        <v>52</v>
      </c>
      <c r="D601" t="s">
        <v>1029</v>
      </c>
      <c r="E601" s="1">
        <v>45113</v>
      </c>
      <c r="F601">
        <v>42</v>
      </c>
      <c r="G601">
        <v>4.5</v>
      </c>
      <c r="H601">
        <v>2024</v>
      </c>
      <c r="I601" t="s">
        <v>1052</v>
      </c>
      <c r="J601" t="s">
        <v>1034</v>
      </c>
      <c r="K601">
        <v>5</v>
      </c>
    </row>
    <row r="602" spans="1:11" x14ac:dyDescent="0.3">
      <c r="A602" t="s">
        <v>1646</v>
      </c>
      <c r="B602" t="s">
        <v>1028</v>
      </c>
      <c r="C602">
        <v>55</v>
      </c>
      <c r="D602" t="s">
        <v>1024</v>
      </c>
      <c r="E602" s="1">
        <v>45114</v>
      </c>
      <c r="F602">
        <v>112</v>
      </c>
      <c r="G602">
        <v>4.5</v>
      </c>
      <c r="H602">
        <v>2024</v>
      </c>
      <c r="I602" t="s">
        <v>411</v>
      </c>
      <c r="J602" t="s">
        <v>1034</v>
      </c>
      <c r="K602">
        <v>5</v>
      </c>
    </row>
    <row r="603" spans="1:11" x14ac:dyDescent="0.3">
      <c r="A603" t="s">
        <v>1647</v>
      </c>
      <c r="B603" t="s">
        <v>1026</v>
      </c>
      <c r="C603">
        <v>107</v>
      </c>
      <c r="D603" t="s">
        <v>1038</v>
      </c>
      <c r="E603" s="1">
        <v>45114</v>
      </c>
      <c r="F603">
        <v>20</v>
      </c>
      <c r="G603">
        <v>4.5</v>
      </c>
      <c r="H603">
        <v>2024</v>
      </c>
      <c r="I603" t="s">
        <v>411</v>
      </c>
      <c r="J603" t="s">
        <v>1019</v>
      </c>
      <c r="K603">
        <v>5</v>
      </c>
    </row>
    <row r="604" spans="1:11" x14ac:dyDescent="0.3">
      <c r="A604" t="s">
        <v>1648</v>
      </c>
      <c r="B604" t="s">
        <v>1047</v>
      </c>
      <c r="C604">
        <v>88</v>
      </c>
      <c r="D604" t="s">
        <v>1029</v>
      </c>
      <c r="E604" s="1">
        <v>45115</v>
      </c>
      <c r="F604">
        <v>110</v>
      </c>
      <c r="G604">
        <v>4.8</v>
      </c>
      <c r="H604">
        <v>2024</v>
      </c>
      <c r="I604" t="s">
        <v>1062</v>
      </c>
      <c r="J604" t="s">
        <v>1019</v>
      </c>
      <c r="K604">
        <v>5</v>
      </c>
    </row>
    <row r="605" spans="1:11" x14ac:dyDescent="0.3">
      <c r="A605" t="s">
        <v>1649</v>
      </c>
      <c r="B605" t="s">
        <v>1036</v>
      </c>
      <c r="C605">
        <v>49</v>
      </c>
      <c r="D605" t="s">
        <v>1029</v>
      </c>
      <c r="E605" s="1">
        <v>45115</v>
      </c>
      <c r="F605">
        <v>39</v>
      </c>
      <c r="G605">
        <v>4.5999999999999996</v>
      </c>
      <c r="H605">
        <v>2024</v>
      </c>
      <c r="I605" t="s">
        <v>1062</v>
      </c>
      <c r="J605" t="s">
        <v>1034</v>
      </c>
      <c r="K605">
        <v>5</v>
      </c>
    </row>
    <row r="606" spans="1:11" x14ac:dyDescent="0.3">
      <c r="A606" t="s">
        <v>1650</v>
      </c>
      <c r="B606" t="s">
        <v>1047</v>
      </c>
      <c r="C606">
        <v>72</v>
      </c>
      <c r="D606" t="s">
        <v>1017</v>
      </c>
      <c r="E606" s="1">
        <v>45115</v>
      </c>
      <c r="F606">
        <v>76</v>
      </c>
      <c r="G606">
        <v>4.5</v>
      </c>
      <c r="H606">
        <v>2024</v>
      </c>
      <c r="I606" t="s">
        <v>1062</v>
      </c>
      <c r="J606" t="s">
        <v>1019</v>
      </c>
      <c r="K606">
        <v>5</v>
      </c>
    </row>
    <row r="607" spans="1:11" x14ac:dyDescent="0.3">
      <c r="A607" t="s">
        <v>1651</v>
      </c>
      <c r="B607" t="s">
        <v>1021</v>
      </c>
      <c r="C607">
        <v>50</v>
      </c>
      <c r="D607" t="s">
        <v>1017</v>
      </c>
      <c r="E607" s="1">
        <v>45115</v>
      </c>
      <c r="F607">
        <v>40</v>
      </c>
      <c r="G607">
        <v>5</v>
      </c>
      <c r="H607">
        <v>2024</v>
      </c>
      <c r="I607" t="s">
        <v>1062</v>
      </c>
      <c r="J607" t="s">
        <v>1034</v>
      </c>
      <c r="K607">
        <v>5</v>
      </c>
    </row>
    <row r="608" spans="1:11" x14ac:dyDescent="0.3">
      <c r="A608" t="s">
        <v>1652</v>
      </c>
      <c r="B608" t="s">
        <v>1047</v>
      </c>
      <c r="C608">
        <v>52</v>
      </c>
      <c r="D608" t="s">
        <v>1038</v>
      </c>
      <c r="E608" s="1">
        <v>45115</v>
      </c>
      <c r="F608">
        <v>42</v>
      </c>
      <c r="G608">
        <v>4.8</v>
      </c>
      <c r="H608">
        <v>2024</v>
      </c>
      <c r="I608" t="s">
        <v>1062</v>
      </c>
      <c r="J608" t="s">
        <v>1034</v>
      </c>
      <c r="K608">
        <v>5</v>
      </c>
    </row>
    <row r="609" spans="1:11" x14ac:dyDescent="0.3">
      <c r="A609" t="s">
        <v>1653</v>
      </c>
      <c r="B609" t="s">
        <v>1023</v>
      </c>
      <c r="C609">
        <v>85</v>
      </c>
      <c r="D609" t="s">
        <v>1042</v>
      </c>
      <c r="E609" s="1">
        <v>45116</v>
      </c>
      <c r="F609">
        <v>215</v>
      </c>
      <c r="G609">
        <v>3.5</v>
      </c>
      <c r="H609">
        <v>2024</v>
      </c>
      <c r="I609" t="s">
        <v>1018</v>
      </c>
      <c r="J609" t="s">
        <v>1019</v>
      </c>
      <c r="K609">
        <v>4</v>
      </c>
    </row>
    <row r="610" spans="1:11" x14ac:dyDescent="0.3">
      <c r="A610" t="s">
        <v>1654</v>
      </c>
      <c r="B610" t="s">
        <v>1055</v>
      </c>
      <c r="C610">
        <v>98</v>
      </c>
      <c r="D610" t="s">
        <v>1042</v>
      </c>
      <c r="E610" s="1">
        <v>45117</v>
      </c>
      <c r="F610">
        <v>130</v>
      </c>
      <c r="G610">
        <v>3.4</v>
      </c>
      <c r="H610">
        <v>2024</v>
      </c>
      <c r="I610" t="s">
        <v>1030</v>
      </c>
      <c r="J610" t="s">
        <v>1019</v>
      </c>
      <c r="K610">
        <v>3</v>
      </c>
    </row>
    <row r="611" spans="1:11" x14ac:dyDescent="0.3">
      <c r="A611" t="s">
        <v>1655</v>
      </c>
      <c r="B611" t="s">
        <v>1065</v>
      </c>
      <c r="C611">
        <v>52</v>
      </c>
      <c r="D611" t="s">
        <v>1042</v>
      </c>
      <c r="E611" s="1">
        <v>45117</v>
      </c>
      <c r="F611">
        <v>190</v>
      </c>
      <c r="G611">
        <v>3.3</v>
      </c>
      <c r="H611">
        <v>2024</v>
      </c>
      <c r="I611" t="s">
        <v>1030</v>
      </c>
      <c r="J611" t="s">
        <v>1034</v>
      </c>
      <c r="K611">
        <v>3</v>
      </c>
    </row>
    <row r="612" spans="1:11" x14ac:dyDescent="0.3">
      <c r="A612" t="s">
        <v>1656</v>
      </c>
      <c r="B612" t="s">
        <v>1028</v>
      </c>
      <c r="C612">
        <v>154</v>
      </c>
      <c r="D612" t="s">
        <v>1029</v>
      </c>
      <c r="E612" s="1">
        <v>45117</v>
      </c>
      <c r="F612">
        <v>164</v>
      </c>
      <c r="G612">
        <v>4.9000000000000004</v>
      </c>
      <c r="H612">
        <v>2024</v>
      </c>
      <c r="I612" t="s">
        <v>1030</v>
      </c>
      <c r="J612" t="s">
        <v>1031</v>
      </c>
      <c r="K612">
        <v>5</v>
      </c>
    </row>
    <row r="613" spans="1:11" x14ac:dyDescent="0.3">
      <c r="A613" t="s">
        <v>1657</v>
      </c>
      <c r="B613" t="s">
        <v>1098</v>
      </c>
      <c r="C613">
        <v>131</v>
      </c>
      <c r="D613" t="s">
        <v>1024</v>
      </c>
      <c r="E613" s="1">
        <v>45118</v>
      </c>
      <c r="F613">
        <v>76</v>
      </c>
      <c r="G613">
        <v>4.5</v>
      </c>
      <c r="H613">
        <v>2024</v>
      </c>
      <c r="I613" t="s">
        <v>1033</v>
      </c>
      <c r="J613" t="s">
        <v>1031</v>
      </c>
      <c r="K613">
        <v>5</v>
      </c>
    </row>
    <row r="614" spans="1:11" x14ac:dyDescent="0.3">
      <c r="A614" t="s">
        <v>1658</v>
      </c>
      <c r="B614" t="s">
        <v>1023</v>
      </c>
      <c r="C614">
        <v>73</v>
      </c>
      <c r="D614" t="s">
        <v>1024</v>
      </c>
      <c r="E614" s="1">
        <v>45119</v>
      </c>
      <c r="F614">
        <v>87</v>
      </c>
      <c r="G614">
        <v>4.8</v>
      </c>
      <c r="H614">
        <v>2024</v>
      </c>
      <c r="I614" t="s">
        <v>1048</v>
      </c>
      <c r="J614" t="s">
        <v>1019</v>
      </c>
      <c r="K614">
        <v>5</v>
      </c>
    </row>
    <row r="615" spans="1:11" x14ac:dyDescent="0.3">
      <c r="A615" t="s">
        <v>1659</v>
      </c>
      <c r="B615" t="s">
        <v>1045</v>
      </c>
      <c r="C615">
        <v>45</v>
      </c>
      <c r="D615" t="s">
        <v>1042</v>
      </c>
      <c r="E615" s="1">
        <v>45119</v>
      </c>
      <c r="F615">
        <v>84</v>
      </c>
      <c r="G615">
        <v>4.8</v>
      </c>
      <c r="H615">
        <v>2024</v>
      </c>
      <c r="I615" t="s">
        <v>1048</v>
      </c>
      <c r="J615" t="s">
        <v>1034</v>
      </c>
      <c r="K615">
        <v>5</v>
      </c>
    </row>
    <row r="616" spans="1:11" x14ac:dyDescent="0.3">
      <c r="A616" t="s">
        <v>1660</v>
      </c>
      <c r="B616" t="s">
        <v>1059</v>
      </c>
      <c r="C616">
        <v>114</v>
      </c>
      <c r="D616" t="s">
        <v>1038</v>
      </c>
      <c r="E616" s="1">
        <v>45119</v>
      </c>
      <c r="F616">
        <v>114</v>
      </c>
      <c r="G616">
        <v>3.9</v>
      </c>
      <c r="H616">
        <v>2024</v>
      </c>
      <c r="I616" t="s">
        <v>1048</v>
      </c>
      <c r="J616" t="s">
        <v>1019</v>
      </c>
      <c r="K616">
        <v>4</v>
      </c>
    </row>
    <row r="617" spans="1:11" x14ac:dyDescent="0.3">
      <c r="A617" t="s">
        <v>1661</v>
      </c>
      <c r="B617" t="s">
        <v>1055</v>
      </c>
      <c r="C617">
        <v>69</v>
      </c>
      <c r="D617" t="s">
        <v>1024</v>
      </c>
      <c r="E617" s="1">
        <v>45120</v>
      </c>
      <c r="F617">
        <v>56</v>
      </c>
      <c r="G617">
        <v>3.9</v>
      </c>
      <c r="H617">
        <v>2024</v>
      </c>
      <c r="I617" t="s">
        <v>1052</v>
      </c>
      <c r="J617" t="s">
        <v>1019</v>
      </c>
      <c r="K617">
        <v>4</v>
      </c>
    </row>
    <row r="618" spans="1:11" x14ac:dyDescent="0.3">
      <c r="A618" t="s">
        <v>1662</v>
      </c>
      <c r="B618" t="s">
        <v>1098</v>
      </c>
      <c r="C618">
        <v>33</v>
      </c>
      <c r="D618" t="s">
        <v>1029</v>
      </c>
      <c r="E618" s="1">
        <v>45120</v>
      </c>
      <c r="F618">
        <v>27</v>
      </c>
      <c r="G618">
        <v>3.7</v>
      </c>
      <c r="H618">
        <v>2024</v>
      </c>
      <c r="I618" t="s">
        <v>1052</v>
      </c>
      <c r="J618" t="s">
        <v>1034</v>
      </c>
      <c r="K618">
        <v>4</v>
      </c>
    </row>
    <row r="619" spans="1:11" x14ac:dyDescent="0.3">
      <c r="A619" t="s">
        <v>1663</v>
      </c>
      <c r="B619" t="s">
        <v>1021</v>
      </c>
      <c r="C619">
        <v>31</v>
      </c>
      <c r="D619" t="s">
        <v>1017</v>
      </c>
      <c r="E619" s="1">
        <v>45121</v>
      </c>
      <c r="F619">
        <v>84</v>
      </c>
      <c r="G619">
        <v>4.8</v>
      </c>
      <c r="H619">
        <v>2024</v>
      </c>
      <c r="I619" t="s">
        <v>411</v>
      </c>
      <c r="J619" t="s">
        <v>1034</v>
      </c>
      <c r="K619">
        <v>5</v>
      </c>
    </row>
    <row r="620" spans="1:11" x14ac:dyDescent="0.3">
      <c r="A620" t="s">
        <v>1664</v>
      </c>
      <c r="B620" t="s">
        <v>1045</v>
      </c>
      <c r="C620">
        <v>168</v>
      </c>
      <c r="D620" t="s">
        <v>1029</v>
      </c>
      <c r="E620" s="1">
        <v>45121</v>
      </c>
      <c r="F620">
        <v>72</v>
      </c>
      <c r="G620">
        <v>3.5</v>
      </c>
      <c r="H620">
        <v>2024</v>
      </c>
      <c r="I620" t="s">
        <v>411</v>
      </c>
      <c r="J620" t="s">
        <v>1031</v>
      </c>
      <c r="K620">
        <v>4</v>
      </c>
    </row>
    <row r="621" spans="1:11" x14ac:dyDescent="0.3">
      <c r="A621" t="s">
        <v>1665</v>
      </c>
      <c r="B621" t="s">
        <v>1023</v>
      </c>
      <c r="C621">
        <v>111</v>
      </c>
      <c r="D621" t="s">
        <v>1038</v>
      </c>
      <c r="E621" s="1">
        <v>45122</v>
      </c>
      <c r="F621">
        <v>126</v>
      </c>
      <c r="G621">
        <v>4.2</v>
      </c>
      <c r="H621">
        <v>2024</v>
      </c>
      <c r="I621" t="s">
        <v>1062</v>
      </c>
      <c r="J621" t="s">
        <v>1019</v>
      </c>
      <c r="K621">
        <v>4</v>
      </c>
    </row>
    <row r="622" spans="1:11" x14ac:dyDescent="0.3">
      <c r="A622" t="s">
        <v>1666</v>
      </c>
      <c r="B622" t="s">
        <v>1021</v>
      </c>
      <c r="C622">
        <v>80</v>
      </c>
      <c r="D622" t="s">
        <v>1029</v>
      </c>
      <c r="E622" s="1">
        <v>45123</v>
      </c>
      <c r="F622">
        <v>88</v>
      </c>
      <c r="G622">
        <v>4.9000000000000004</v>
      </c>
      <c r="H622">
        <v>2024</v>
      </c>
      <c r="I622" t="s">
        <v>1018</v>
      </c>
      <c r="J622" t="s">
        <v>1019</v>
      </c>
      <c r="K622">
        <v>5</v>
      </c>
    </row>
    <row r="623" spans="1:11" x14ac:dyDescent="0.3">
      <c r="A623" t="s">
        <v>1667</v>
      </c>
      <c r="B623" t="s">
        <v>1016</v>
      </c>
      <c r="C623">
        <v>37</v>
      </c>
      <c r="D623" t="s">
        <v>1029</v>
      </c>
      <c r="E623" s="1">
        <v>45123</v>
      </c>
      <c r="F623">
        <v>124</v>
      </c>
      <c r="G623">
        <v>4.5999999999999996</v>
      </c>
      <c r="H623">
        <v>2024</v>
      </c>
      <c r="I623" t="s">
        <v>1018</v>
      </c>
      <c r="J623" t="s">
        <v>1034</v>
      </c>
      <c r="K623">
        <v>5</v>
      </c>
    </row>
    <row r="624" spans="1:11" x14ac:dyDescent="0.3">
      <c r="A624" t="s">
        <v>1668</v>
      </c>
      <c r="B624" t="s">
        <v>1078</v>
      </c>
      <c r="C624">
        <v>137</v>
      </c>
      <c r="D624" t="s">
        <v>1029</v>
      </c>
      <c r="E624" s="1">
        <v>45124</v>
      </c>
      <c r="F624">
        <v>84</v>
      </c>
      <c r="G624">
        <v>2.6</v>
      </c>
      <c r="H624">
        <v>2024</v>
      </c>
      <c r="I624" t="s">
        <v>1030</v>
      </c>
      <c r="J624" t="s">
        <v>1031</v>
      </c>
      <c r="K624">
        <v>3</v>
      </c>
    </row>
    <row r="625" spans="1:11" x14ac:dyDescent="0.3">
      <c r="A625" t="s">
        <v>1669</v>
      </c>
      <c r="B625" t="s">
        <v>1055</v>
      </c>
      <c r="C625">
        <v>123</v>
      </c>
      <c r="D625" t="s">
        <v>1038</v>
      </c>
      <c r="E625" s="1">
        <v>45124</v>
      </c>
      <c r="F625">
        <v>80</v>
      </c>
      <c r="G625">
        <v>2.7</v>
      </c>
      <c r="H625">
        <v>2024</v>
      </c>
      <c r="I625" t="s">
        <v>1030</v>
      </c>
      <c r="J625" t="s">
        <v>1031</v>
      </c>
      <c r="K625">
        <v>3</v>
      </c>
    </row>
    <row r="626" spans="1:11" x14ac:dyDescent="0.3">
      <c r="A626" t="s">
        <v>1670</v>
      </c>
      <c r="B626" t="s">
        <v>1068</v>
      </c>
      <c r="C626">
        <v>105</v>
      </c>
      <c r="D626" t="s">
        <v>1038</v>
      </c>
      <c r="E626" s="1">
        <v>45125</v>
      </c>
      <c r="F626">
        <v>176</v>
      </c>
      <c r="G626">
        <v>4.7</v>
      </c>
      <c r="H626">
        <v>2024</v>
      </c>
      <c r="I626" t="s">
        <v>1033</v>
      </c>
      <c r="J626" t="s">
        <v>1019</v>
      </c>
      <c r="K626">
        <v>5</v>
      </c>
    </row>
    <row r="627" spans="1:11" x14ac:dyDescent="0.3">
      <c r="A627" t="s">
        <v>1671</v>
      </c>
      <c r="B627" t="s">
        <v>1016</v>
      </c>
      <c r="C627">
        <v>76</v>
      </c>
      <c r="D627" t="s">
        <v>1042</v>
      </c>
      <c r="E627" s="1">
        <v>45126</v>
      </c>
      <c r="F627">
        <v>84</v>
      </c>
      <c r="G627">
        <v>3.9</v>
      </c>
      <c r="H627">
        <v>2024</v>
      </c>
      <c r="I627" t="s">
        <v>1048</v>
      </c>
      <c r="J627" t="s">
        <v>1019</v>
      </c>
      <c r="K627">
        <v>4</v>
      </c>
    </row>
    <row r="628" spans="1:11" x14ac:dyDescent="0.3">
      <c r="A628" t="s">
        <v>1672</v>
      </c>
      <c r="B628" t="s">
        <v>1021</v>
      </c>
      <c r="C628">
        <v>144</v>
      </c>
      <c r="D628" t="s">
        <v>1042</v>
      </c>
      <c r="E628" s="1">
        <v>45126</v>
      </c>
      <c r="F628">
        <v>164</v>
      </c>
      <c r="G628">
        <v>2.8</v>
      </c>
      <c r="H628">
        <v>2024</v>
      </c>
      <c r="I628" t="s">
        <v>1048</v>
      </c>
      <c r="J628" t="s">
        <v>1031</v>
      </c>
      <c r="K628">
        <v>3</v>
      </c>
    </row>
    <row r="629" spans="1:11" x14ac:dyDescent="0.3">
      <c r="A629" t="s">
        <v>1673</v>
      </c>
      <c r="B629" t="s">
        <v>1098</v>
      </c>
      <c r="C629">
        <v>109</v>
      </c>
      <c r="D629" t="s">
        <v>1017</v>
      </c>
      <c r="E629" s="1">
        <v>45126</v>
      </c>
      <c r="F629">
        <v>132</v>
      </c>
      <c r="G629">
        <v>3.1</v>
      </c>
      <c r="H629">
        <v>2024</v>
      </c>
      <c r="I629" t="s">
        <v>1048</v>
      </c>
      <c r="J629" t="s">
        <v>1019</v>
      </c>
      <c r="K629">
        <v>3</v>
      </c>
    </row>
    <row r="630" spans="1:11" x14ac:dyDescent="0.3">
      <c r="A630" t="s">
        <v>1674</v>
      </c>
      <c r="B630" t="s">
        <v>1055</v>
      </c>
      <c r="C630">
        <v>172</v>
      </c>
      <c r="D630" t="s">
        <v>1029</v>
      </c>
      <c r="E630" s="1">
        <v>45127</v>
      </c>
      <c r="F630">
        <v>27</v>
      </c>
      <c r="G630">
        <v>4.2</v>
      </c>
      <c r="H630">
        <v>2024</v>
      </c>
      <c r="I630" t="s">
        <v>1052</v>
      </c>
      <c r="J630" t="s">
        <v>1031</v>
      </c>
      <c r="K630">
        <v>4</v>
      </c>
    </row>
    <row r="631" spans="1:11" x14ac:dyDescent="0.3">
      <c r="A631" t="s">
        <v>1675</v>
      </c>
      <c r="B631" t="s">
        <v>1021</v>
      </c>
      <c r="C631">
        <v>56</v>
      </c>
      <c r="D631" t="s">
        <v>1038</v>
      </c>
      <c r="E631" s="1">
        <v>45127</v>
      </c>
      <c r="F631">
        <v>27</v>
      </c>
      <c r="G631">
        <v>4.3</v>
      </c>
      <c r="H631">
        <v>2024</v>
      </c>
      <c r="I631" t="s">
        <v>1052</v>
      </c>
      <c r="J631" t="s">
        <v>1034</v>
      </c>
      <c r="K631">
        <v>4</v>
      </c>
    </row>
    <row r="632" spans="1:11" x14ac:dyDescent="0.3">
      <c r="A632" t="s">
        <v>1676</v>
      </c>
      <c r="B632" t="s">
        <v>1021</v>
      </c>
      <c r="C632">
        <v>121</v>
      </c>
      <c r="D632" t="s">
        <v>1024</v>
      </c>
      <c r="E632" s="1">
        <v>45127</v>
      </c>
      <c r="F632">
        <v>20</v>
      </c>
      <c r="G632">
        <v>2.7</v>
      </c>
      <c r="H632">
        <v>2024</v>
      </c>
      <c r="I632" t="s">
        <v>1052</v>
      </c>
      <c r="J632" t="s">
        <v>1031</v>
      </c>
      <c r="K632">
        <v>3</v>
      </c>
    </row>
    <row r="633" spans="1:11" x14ac:dyDescent="0.3">
      <c r="A633" t="s">
        <v>1677</v>
      </c>
      <c r="B633" t="s">
        <v>1055</v>
      </c>
      <c r="C633">
        <v>41</v>
      </c>
      <c r="D633" t="s">
        <v>1038</v>
      </c>
      <c r="E633" s="1">
        <v>45128</v>
      </c>
      <c r="F633">
        <v>112</v>
      </c>
      <c r="G633">
        <v>2.2999999999999998</v>
      </c>
      <c r="H633">
        <v>2024</v>
      </c>
      <c r="I633" t="s">
        <v>411</v>
      </c>
      <c r="J633" t="s">
        <v>1034</v>
      </c>
      <c r="K633">
        <v>2</v>
      </c>
    </row>
    <row r="634" spans="1:11" x14ac:dyDescent="0.3">
      <c r="A634" t="s">
        <v>1678</v>
      </c>
      <c r="B634" t="s">
        <v>1026</v>
      </c>
      <c r="C634">
        <v>60</v>
      </c>
      <c r="D634" t="s">
        <v>1029</v>
      </c>
      <c r="E634" s="1">
        <v>45128</v>
      </c>
      <c r="F634">
        <v>60</v>
      </c>
      <c r="G634">
        <v>2.2999999999999998</v>
      </c>
      <c r="H634">
        <v>2024</v>
      </c>
      <c r="I634" t="s">
        <v>411</v>
      </c>
      <c r="J634" t="s">
        <v>1034</v>
      </c>
      <c r="K634">
        <v>2</v>
      </c>
    </row>
    <row r="635" spans="1:11" x14ac:dyDescent="0.3">
      <c r="A635" t="s">
        <v>1679</v>
      </c>
      <c r="B635" t="s">
        <v>1026</v>
      </c>
      <c r="C635">
        <v>144</v>
      </c>
      <c r="D635" t="s">
        <v>1029</v>
      </c>
      <c r="E635" s="1">
        <v>45129</v>
      </c>
      <c r="F635">
        <v>102</v>
      </c>
      <c r="G635">
        <v>2.9</v>
      </c>
      <c r="H635">
        <v>2024</v>
      </c>
      <c r="I635" t="s">
        <v>1062</v>
      </c>
      <c r="J635" t="s">
        <v>1031</v>
      </c>
      <c r="K635">
        <v>3</v>
      </c>
    </row>
    <row r="636" spans="1:11" x14ac:dyDescent="0.3">
      <c r="A636" t="s">
        <v>1680</v>
      </c>
      <c r="B636" t="s">
        <v>1028</v>
      </c>
      <c r="C636">
        <v>67</v>
      </c>
      <c r="D636" t="s">
        <v>1029</v>
      </c>
      <c r="E636" s="1">
        <v>45129</v>
      </c>
      <c r="F636">
        <v>38</v>
      </c>
      <c r="G636">
        <v>4.2</v>
      </c>
      <c r="H636">
        <v>2024</v>
      </c>
      <c r="I636" t="s">
        <v>1062</v>
      </c>
      <c r="J636" t="s">
        <v>1019</v>
      </c>
      <c r="K636">
        <v>4</v>
      </c>
    </row>
    <row r="637" spans="1:11" x14ac:dyDescent="0.3">
      <c r="A637" t="s">
        <v>1681</v>
      </c>
      <c r="B637" t="s">
        <v>1055</v>
      </c>
      <c r="C637">
        <v>162</v>
      </c>
      <c r="D637" t="s">
        <v>1017</v>
      </c>
      <c r="E637" s="1">
        <v>45129</v>
      </c>
      <c r="F637">
        <v>82</v>
      </c>
      <c r="G637">
        <v>4.5999999999999996</v>
      </c>
      <c r="H637">
        <v>2024</v>
      </c>
      <c r="I637" t="s">
        <v>1062</v>
      </c>
      <c r="J637" t="s">
        <v>1031</v>
      </c>
      <c r="K637">
        <v>5</v>
      </c>
    </row>
    <row r="638" spans="1:11" x14ac:dyDescent="0.3">
      <c r="A638" t="s">
        <v>1682</v>
      </c>
      <c r="B638" t="s">
        <v>1026</v>
      </c>
      <c r="C638">
        <v>87</v>
      </c>
      <c r="D638" t="s">
        <v>1024</v>
      </c>
      <c r="E638" s="1">
        <v>45132</v>
      </c>
      <c r="F638">
        <v>125</v>
      </c>
      <c r="G638">
        <v>4.5</v>
      </c>
      <c r="H638">
        <v>2024</v>
      </c>
      <c r="I638" t="s">
        <v>1033</v>
      </c>
      <c r="J638" t="s">
        <v>1019</v>
      </c>
      <c r="K638">
        <v>5</v>
      </c>
    </row>
    <row r="639" spans="1:11" x14ac:dyDescent="0.3">
      <c r="A639" t="s">
        <v>1683</v>
      </c>
      <c r="B639" t="s">
        <v>1065</v>
      </c>
      <c r="C639">
        <v>10</v>
      </c>
      <c r="D639" t="s">
        <v>1042</v>
      </c>
      <c r="E639" s="1">
        <v>45133</v>
      </c>
      <c r="F639">
        <v>72</v>
      </c>
      <c r="G639">
        <v>3.7</v>
      </c>
      <c r="H639">
        <v>2024</v>
      </c>
      <c r="I639" t="s">
        <v>1048</v>
      </c>
      <c r="J639" t="s">
        <v>1186</v>
      </c>
      <c r="K639">
        <v>4</v>
      </c>
    </row>
    <row r="640" spans="1:11" x14ac:dyDescent="0.3">
      <c r="A640" t="s">
        <v>1684</v>
      </c>
      <c r="B640" t="s">
        <v>1021</v>
      </c>
      <c r="C640">
        <v>138</v>
      </c>
      <c r="D640" t="s">
        <v>1042</v>
      </c>
      <c r="E640" s="1">
        <v>45133</v>
      </c>
      <c r="F640">
        <v>195</v>
      </c>
      <c r="G640">
        <v>4.0999999999999996</v>
      </c>
      <c r="H640">
        <v>2024</v>
      </c>
      <c r="I640" t="s">
        <v>1048</v>
      </c>
      <c r="J640" t="s">
        <v>1031</v>
      </c>
      <c r="K640">
        <v>4</v>
      </c>
    </row>
    <row r="641" spans="1:11" x14ac:dyDescent="0.3">
      <c r="A641" t="s">
        <v>1685</v>
      </c>
      <c r="B641" t="s">
        <v>1055</v>
      </c>
      <c r="C641">
        <v>31</v>
      </c>
      <c r="D641" t="s">
        <v>1042</v>
      </c>
      <c r="E641" s="1">
        <v>45134</v>
      </c>
      <c r="F641">
        <v>160</v>
      </c>
      <c r="G641">
        <v>3.4</v>
      </c>
      <c r="H641">
        <v>2024</v>
      </c>
      <c r="I641" t="s">
        <v>1052</v>
      </c>
      <c r="J641" t="s">
        <v>1034</v>
      </c>
      <c r="K641">
        <v>3</v>
      </c>
    </row>
    <row r="642" spans="1:11" x14ac:dyDescent="0.3">
      <c r="A642" t="s">
        <v>1686</v>
      </c>
      <c r="B642" t="s">
        <v>1068</v>
      </c>
      <c r="C642">
        <v>75</v>
      </c>
      <c r="D642" t="s">
        <v>1017</v>
      </c>
      <c r="E642" s="1">
        <v>45134</v>
      </c>
      <c r="F642">
        <v>78</v>
      </c>
      <c r="G642">
        <v>3.3</v>
      </c>
      <c r="H642">
        <v>2024</v>
      </c>
      <c r="I642" t="s">
        <v>1052</v>
      </c>
      <c r="J642" t="s">
        <v>1019</v>
      </c>
      <c r="K642">
        <v>3</v>
      </c>
    </row>
    <row r="643" spans="1:11" x14ac:dyDescent="0.3">
      <c r="A643" t="s">
        <v>1687</v>
      </c>
      <c r="B643" t="s">
        <v>1016</v>
      </c>
      <c r="C643">
        <v>65</v>
      </c>
      <c r="D643" t="s">
        <v>1017</v>
      </c>
      <c r="E643" s="1">
        <v>45135</v>
      </c>
      <c r="F643">
        <v>70</v>
      </c>
      <c r="G643">
        <v>4.4000000000000004</v>
      </c>
      <c r="H643">
        <v>2024</v>
      </c>
      <c r="I643" t="s">
        <v>411</v>
      </c>
      <c r="J643" t="s">
        <v>1019</v>
      </c>
      <c r="K643">
        <v>4</v>
      </c>
    </row>
    <row r="644" spans="1:11" x14ac:dyDescent="0.3">
      <c r="A644" t="s">
        <v>1688</v>
      </c>
      <c r="B644" t="s">
        <v>1023</v>
      </c>
      <c r="C644">
        <v>106</v>
      </c>
      <c r="D644" t="s">
        <v>1038</v>
      </c>
      <c r="E644" s="1">
        <v>45135</v>
      </c>
      <c r="F644">
        <v>105</v>
      </c>
      <c r="G644">
        <v>4.2</v>
      </c>
      <c r="H644">
        <v>2024</v>
      </c>
      <c r="I644" t="s">
        <v>411</v>
      </c>
      <c r="J644" t="s">
        <v>1019</v>
      </c>
      <c r="K644">
        <v>4</v>
      </c>
    </row>
    <row r="645" spans="1:11" x14ac:dyDescent="0.3">
      <c r="A645" t="s">
        <v>1689</v>
      </c>
      <c r="B645" t="s">
        <v>1016</v>
      </c>
      <c r="C645">
        <v>107</v>
      </c>
      <c r="D645" t="s">
        <v>1038</v>
      </c>
      <c r="E645" s="1">
        <v>45136</v>
      </c>
      <c r="F645">
        <v>78</v>
      </c>
      <c r="G645">
        <v>3.4</v>
      </c>
      <c r="H645">
        <v>2024</v>
      </c>
      <c r="I645" t="s">
        <v>1062</v>
      </c>
      <c r="J645" t="s">
        <v>1019</v>
      </c>
      <c r="K645">
        <v>3</v>
      </c>
    </row>
    <row r="646" spans="1:11" x14ac:dyDescent="0.3">
      <c r="A646" t="s">
        <v>1690</v>
      </c>
      <c r="B646" t="s">
        <v>1078</v>
      </c>
      <c r="C646">
        <v>78</v>
      </c>
      <c r="D646" t="s">
        <v>1038</v>
      </c>
      <c r="E646" s="1">
        <v>45138</v>
      </c>
      <c r="F646">
        <v>205</v>
      </c>
      <c r="G646">
        <v>4.4000000000000004</v>
      </c>
      <c r="H646">
        <v>2024</v>
      </c>
      <c r="I646" t="s">
        <v>1030</v>
      </c>
      <c r="J646" t="s">
        <v>1019</v>
      </c>
      <c r="K646">
        <v>4</v>
      </c>
    </row>
    <row r="647" spans="1:11" x14ac:dyDescent="0.3">
      <c r="A647" t="s">
        <v>1691</v>
      </c>
      <c r="B647" t="s">
        <v>1047</v>
      </c>
      <c r="C647">
        <v>122</v>
      </c>
      <c r="D647" t="s">
        <v>1038</v>
      </c>
      <c r="E647" s="1">
        <v>45138</v>
      </c>
      <c r="F647">
        <v>78</v>
      </c>
      <c r="G647">
        <v>2.7</v>
      </c>
      <c r="H647">
        <v>2024</v>
      </c>
      <c r="I647" t="s">
        <v>1030</v>
      </c>
      <c r="J647" t="s">
        <v>1031</v>
      </c>
      <c r="K647">
        <v>3</v>
      </c>
    </row>
    <row r="648" spans="1:11" x14ac:dyDescent="0.3">
      <c r="A648" t="s">
        <v>1692</v>
      </c>
      <c r="B648" t="s">
        <v>1021</v>
      </c>
      <c r="C648">
        <v>58</v>
      </c>
      <c r="D648" t="s">
        <v>1042</v>
      </c>
      <c r="E648" s="1">
        <v>45138</v>
      </c>
      <c r="F648">
        <v>38</v>
      </c>
      <c r="G648">
        <v>4.5</v>
      </c>
      <c r="H648">
        <v>2024</v>
      </c>
      <c r="I648" t="s">
        <v>1030</v>
      </c>
      <c r="J648" t="s">
        <v>1034</v>
      </c>
      <c r="K648">
        <v>5</v>
      </c>
    </row>
    <row r="649" spans="1:11" x14ac:dyDescent="0.3">
      <c r="A649" t="s">
        <v>1693</v>
      </c>
      <c r="B649" t="s">
        <v>1078</v>
      </c>
      <c r="C649">
        <v>33</v>
      </c>
      <c r="D649" t="s">
        <v>1029</v>
      </c>
      <c r="E649" s="1">
        <v>45138</v>
      </c>
      <c r="F649">
        <v>92</v>
      </c>
      <c r="G649">
        <v>1.7</v>
      </c>
      <c r="H649">
        <v>2024</v>
      </c>
      <c r="I649" t="s">
        <v>1030</v>
      </c>
      <c r="J649" t="s">
        <v>1034</v>
      </c>
      <c r="K649">
        <v>2</v>
      </c>
    </row>
    <row r="650" spans="1:11" x14ac:dyDescent="0.3">
      <c r="A650" t="s">
        <v>1694</v>
      </c>
      <c r="B650" t="s">
        <v>1098</v>
      </c>
      <c r="C650">
        <v>164</v>
      </c>
      <c r="D650" t="s">
        <v>1017</v>
      </c>
      <c r="E650" s="1">
        <v>45138</v>
      </c>
      <c r="F650">
        <v>36</v>
      </c>
      <c r="G650">
        <v>4.7</v>
      </c>
      <c r="H650">
        <v>2024</v>
      </c>
      <c r="I650" t="s">
        <v>1030</v>
      </c>
      <c r="J650" t="s">
        <v>1031</v>
      </c>
      <c r="K650">
        <v>5</v>
      </c>
    </row>
    <row r="651" spans="1:11" x14ac:dyDescent="0.3">
      <c r="A651" t="s">
        <v>1695</v>
      </c>
      <c r="B651" t="s">
        <v>1068</v>
      </c>
      <c r="C651">
        <v>163</v>
      </c>
      <c r="D651" t="s">
        <v>1024</v>
      </c>
      <c r="E651" s="1">
        <v>45138</v>
      </c>
      <c r="F651">
        <v>76</v>
      </c>
      <c r="G651">
        <v>4.4000000000000004</v>
      </c>
      <c r="H651">
        <v>2024</v>
      </c>
      <c r="I651" t="s">
        <v>1030</v>
      </c>
      <c r="J651" t="s">
        <v>1031</v>
      </c>
      <c r="K651">
        <v>4</v>
      </c>
    </row>
    <row r="652" spans="1:11" x14ac:dyDescent="0.3">
      <c r="A652" t="s">
        <v>1696</v>
      </c>
      <c r="B652" t="s">
        <v>1036</v>
      </c>
      <c r="C652">
        <v>71</v>
      </c>
      <c r="D652" t="s">
        <v>1017</v>
      </c>
      <c r="E652" s="1">
        <v>45140</v>
      </c>
      <c r="F652">
        <v>170</v>
      </c>
      <c r="G652">
        <v>3.5</v>
      </c>
      <c r="H652">
        <v>2024</v>
      </c>
      <c r="I652" t="s">
        <v>1048</v>
      </c>
      <c r="J652" t="s">
        <v>1019</v>
      </c>
      <c r="K652">
        <v>4</v>
      </c>
    </row>
    <row r="653" spans="1:11" x14ac:dyDescent="0.3">
      <c r="A653" t="s">
        <v>1697</v>
      </c>
      <c r="B653" t="s">
        <v>1078</v>
      </c>
      <c r="C653">
        <v>103</v>
      </c>
      <c r="D653" t="s">
        <v>1042</v>
      </c>
      <c r="E653" s="1">
        <v>45141</v>
      </c>
      <c r="F653">
        <v>117</v>
      </c>
      <c r="G653">
        <v>4.7</v>
      </c>
      <c r="H653">
        <v>2024</v>
      </c>
      <c r="I653" t="s">
        <v>1052</v>
      </c>
      <c r="J653" t="s">
        <v>1019</v>
      </c>
      <c r="K653">
        <v>5</v>
      </c>
    </row>
    <row r="654" spans="1:11" x14ac:dyDescent="0.3">
      <c r="A654" t="s">
        <v>1698</v>
      </c>
      <c r="B654" t="s">
        <v>1059</v>
      </c>
      <c r="C654">
        <v>69</v>
      </c>
      <c r="D654" t="s">
        <v>1024</v>
      </c>
      <c r="E654" s="1">
        <v>45141</v>
      </c>
      <c r="F654">
        <v>20</v>
      </c>
      <c r="G654">
        <v>4.3</v>
      </c>
      <c r="H654">
        <v>2024</v>
      </c>
      <c r="I654" t="s">
        <v>1052</v>
      </c>
      <c r="J654" t="s">
        <v>1019</v>
      </c>
      <c r="K654">
        <v>4</v>
      </c>
    </row>
    <row r="655" spans="1:11" x14ac:dyDescent="0.3">
      <c r="A655" t="s">
        <v>1699</v>
      </c>
      <c r="B655" t="s">
        <v>1068</v>
      </c>
      <c r="C655">
        <v>111</v>
      </c>
      <c r="D655" t="s">
        <v>1042</v>
      </c>
      <c r="E655" s="1">
        <v>45141</v>
      </c>
      <c r="F655">
        <v>99</v>
      </c>
      <c r="G655">
        <v>4.0999999999999996</v>
      </c>
      <c r="H655">
        <v>2024</v>
      </c>
      <c r="I655" t="s">
        <v>1052</v>
      </c>
      <c r="J655" t="s">
        <v>1019</v>
      </c>
      <c r="K655">
        <v>4</v>
      </c>
    </row>
    <row r="656" spans="1:11" x14ac:dyDescent="0.3">
      <c r="A656" t="s">
        <v>1700</v>
      </c>
      <c r="B656" t="s">
        <v>1041</v>
      </c>
      <c r="C656">
        <v>97</v>
      </c>
      <c r="D656" t="s">
        <v>1024</v>
      </c>
      <c r="E656" s="1">
        <v>45142</v>
      </c>
      <c r="F656">
        <v>105</v>
      </c>
      <c r="G656">
        <v>2.9</v>
      </c>
      <c r="H656">
        <v>2024</v>
      </c>
      <c r="I656" t="s">
        <v>411</v>
      </c>
      <c r="J656" t="s">
        <v>1019</v>
      </c>
      <c r="K656">
        <v>3</v>
      </c>
    </row>
    <row r="657" spans="1:11" x14ac:dyDescent="0.3">
      <c r="A657" t="s">
        <v>1701</v>
      </c>
      <c r="B657" t="s">
        <v>1045</v>
      </c>
      <c r="C657">
        <v>144</v>
      </c>
      <c r="D657" t="s">
        <v>1038</v>
      </c>
      <c r="E657" s="1">
        <v>45142</v>
      </c>
      <c r="F657">
        <v>195</v>
      </c>
      <c r="G657">
        <v>3.4</v>
      </c>
      <c r="H657">
        <v>2024</v>
      </c>
      <c r="I657" t="s">
        <v>411</v>
      </c>
      <c r="J657" t="s">
        <v>1031</v>
      </c>
      <c r="K657">
        <v>3</v>
      </c>
    </row>
    <row r="658" spans="1:11" x14ac:dyDescent="0.3">
      <c r="A658" t="s">
        <v>1702</v>
      </c>
      <c r="B658" t="s">
        <v>1023</v>
      </c>
      <c r="C658">
        <v>56</v>
      </c>
      <c r="D658" t="s">
        <v>1024</v>
      </c>
      <c r="E658" s="1">
        <v>45143</v>
      </c>
      <c r="F658">
        <v>152</v>
      </c>
      <c r="G658">
        <v>4.5999999999999996</v>
      </c>
      <c r="H658">
        <v>2024</v>
      </c>
      <c r="I658" t="s">
        <v>1062</v>
      </c>
      <c r="J658" t="s">
        <v>1034</v>
      </c>
      <c r="K658">
        <v>5</v>
      </c>
    </row>
    <row r="659" spans="1:11" x14ac:dyDescent="0.3">
      <c r="A659" t="s">
        <v>1703</v>
      </c>
      <c r="B659" t="s">
        <v>1045</v>
      </c>
      <c r="C659">
        <v>132</v>
      </c>
      <c r="D659" t="s">
        <v>1038</v>
      </c>
      <c r="E659" s="1">
        <v>45144</v>
      </c>
      <c r="F659">
        <v>195</v>
      </c>
      <c r="G659">
        <v>4.9000000000000004</v>
      </c>
      <c r="H659">
        <v>2024</v>
      </c>
      <c r="I659" t="s">
        <v>1018</v>
      </c>
      <c r="J659" t="s">
        <v>1031</v>
      </c>
      <c r="K659">
        <v>5</v>
      </c>
    </row>
    <row r="660" spans="1:11" x14ac:dyDescent="0.3">
      <c r="A660" t="s">
        <v>1704</v>
      </c>
      <c r="B660" t="s">
        <v>1036</v>
      </c>
      <c r="C660">
        <v>72</v>
      </c>
      <c r="D660" t="s">
        <v>1029</v>
      </c>
      <c r="E660" s="1">
        <v>45144</v>
      </c>
      <c r="F660">
        <v>70</v>
      </c>
      <c r="G660">
        <v>3.6</v>
      </c>
      <c r="H660">
        <v>2024</v>
      </c>
      <c r="I660" t="s">
        <v>1018</v>
      </c>
      <c r="J660" t="s">
        <v>1019</v>
      </c>
      <c r="K660">
        <v>4</v>
      </c>
    </row>
    <row r="661" spans="1:11" x14ac:dyDescent="0.3">
      <c r="A661" t="s">
        <v>1705</v>
      </c>
      <c r="B661" t="s">
        <v>1068</v>
      </c>
      <c r="C661">
        <v>18</v>
      </c>
      <c r="D661" t="s">
        <v>1029</v>
      </c>
      <c r="E661" s="1">
        <v>45144</v>
      </c>
      <c r="F661">
        <v>22</v>
      </c>
      <c r="G661">
        <v>3.5</v>
      </c>
      <c r="H661">
        <v>2024</v>
      </c>
      <c r="I661" t="s">
        <v>1018</v>
      </c>
      <c r="J661" t="s">
        <v>1056</v>
      </c>
      <c r="K661">
        <v>4</v>
      </c>
    </row>
    <row r="662" spans="1:11" x14ac:dyDescent="0.3">
      <c r="A662" t="s">
        <v>1706</v>
      </c>
      <c r="B662" t="s">
        <v>1028</v>
      </c>
      <c r="C662">
        <v>115</v>
      </c>
      <c r="D662" t="s">
        <v>1042</v>
      </c>
      <c r="E662" s="1">
        <v>45145</v>
      </c>
      <c r="F662">
        <v>40</v>
      </c>
      <c r="G662">
        <v>3.3</v>
      </c>
      <c r="H662">
        <v>2024</v>
      </c>
      <c r="I662" t="s">
        <v>1030</v>
      </c>
      <c r="J662" t="s">
        <v>1019</v>
      </c>
      <c r="K662">
        <v>3</v>
      </c>
    </row>
    <row r="663" spans="1:11" x14ac:dyDescent="0.3">
      <c r="A663" t="s">
        <v>1707</v>
      </c>
      <c r="B663" t="s">
        <v>1028</v>
      </c>
      <c r="C663">
        <v>124</v>
      </c>
      <c r="D663" t="s">
        <v>1024</v>
      </c>
      <c r="E663" s="1">
        <v>45146</v>
      </c>
      <c r="F663">
        <v>54</v>
      </c>
      <c r="G663">
        <v>3.8</v>
      </c>
      <c r="H663">
        <v>2024</v>
      </c>
      <c r="I663" t="s">
        <v>1033</v>
      </c>
      <c r="J663" t="s">
        <v>1031</v>
      </c>
      <c r="K663">
        <v>4</v>
      </c>
    </row>
    <row r="664" spans="1:11" x14ac:dyDescent="0.3">
      <c r="A664" t="s">
        <v>1708</v>
      </c>
      <c r="B664" t="s">
        <v>1021</v>
      </c>
      <c r="C664">
        <v>130</v>
      </c>
      <c r="D664" t="s">
        <v>1024</v>
      </c>
      <c r="E664" s="1">
        <v>45146</v>
      </c>
      <c r="F664">
        <v>60</v>
      </c>
      <c r="G664">
        <v>2.5</v>
      </c>
      <c r="H664">
        <v>2024</v>
      </c>
      <c r="I664" t="s">
        <v>1033</v>
      </c>
      <c r="J664" t="s">
        <v>1031</v>
      </c>
      <c r="K664">
        <v>3</v>
      </c>
    </row>
    <row r="665" spans="1:11" x14ac:dyDescent="0.3">
      <c r="A665" t="s">
        <v>1709</v>
      </c>
      <c r="B665" t="s">
        <v>1065</v>
      </c>
      <c r="C665">
        <v>120</v>
      </c>
      <c r="D665" t="s">
        <v>1017</v>
      </c>
      <c r="E665" s="1">
        <v>45148</v>
      </c>
      <c r="F665">
        <v>58</v>
      </c>
      <c r="G665">
        <v>4.5999999999999996</v>
      </c>
      <c r="H665">
        <v>2024</v>
      </c>
      <c r="I665" t="s">
        <v>1052</v>
      </c>
      <c r="J665" t="s">
        <v>1019</v>
      </c>
      <c r="K665">
        <v>5</v>
      </c>
    </row>
    <row r="666" spans="1:11" x14ac:dyDescent="0.3">
      <c r="A666" t="s">
        <v>1710</v>
      </c>
      <c r="B666" t="s">
        <v>1041</v>
      </c>
      <c r="C666">
        <v>75</v>
      </c>
      <c r="D666" t="s">
        <v>1042</v>
      </c>
      <c r="E666" s="1">
        <v>45148</v>
      </c>
      <c r="F666">
        <v>220</v>
      </c>
      <c r="G666">
        <v>4.7</v>
      </c>
      <c r="H666">
        <v>2024</v>
      </c>
      <c r="I666" t="s">
        <v>1052</v>
      </c>
      <c r="J666" t="s">
        <v>1019</v>
      </c>
      <c r="K666">
        <v>5</v>
      </c>
    </row>
    <row r="667" spans="1:11" x14ac:dyDescent="0.3">
      <c r="A667" t="s">
        <v>1711</v>
      </c>
      <c r="B667" t="s">
        <v>1016</v>
      </c>
      <c r="C667">
        <v>63</v>
      </c>
      <c r="D667" t="s">
        <v>1042</v>
      </c>
      <c r="E667" s="1">
        <v>45148</v>
      </c>
      <c r="F667">
        <v>27</v>
      </c>
      <c r="G667">
        <v>3.6</v>
      </c>
      <c r="H667">
        <v>2024</v>
      </c>
      <c r="I667" t="s">
        <v>1052</v>
      </c>
      <c r="J667" t="s">
        <v>1019</v>
      </c>
      <c r="K667">
        <v>4</v>
      </c>
    </row>
    <row r="668" spans="1:11" x14ac:dyDescent="0.3">
      <c r="A668" t="s">
        <v>1712</v>
      </c>
      <c r="B668" t="s">
        <v>1045</v>
      </c>
      <c r="C668">
        <v>74</v>
      </c>
      <c r="D668" t="s">
        <v>1042</v>
      </c>
      <c r="E668" s="1">
        <v>45150</v>
      </c>
      <c r="F668">
        <v>26</v>
      </c>
      <c r="G668">
        <v>4.3</v>
      </c>
      <c r="H668">
        <v>2024</v>
      </c>
      <c r="I668" t="s">
        <v>1062</v>
      </c>
      <c r="J668" t="s">
        <v>1019</v>
      </c>
      <c r="K668">
        <v>4</v>
      </c>
    </row>
    <row r="669" spans="1:11" x14ac:dyDescent="0.3">
      <c r="A669" t="s">
        <v>1713</v>
      </c>
      <c r="B669" t="s">
        <v>1059</v>
      </c>
      <c r="C669">
        <v>134</v>
      </c>
      <c r="D669" t="s">
        <v>1038</v>
      </c>
      <c r="E669" s="1">
        <v>45151</v>
      </c>
      <c r="F669">
        <v>160</v>
      </c>
      <c r="G669">
        <v>4.7</v>
      </c>
      <c r="H669">
        <v>2024</v>
      </c>
      <c r="I669" t="s">
        <v>1018</v>
      </c>
      <c r="J669" t="s">
        <v>1031</v>
      </c>
      <c r="K669">
        <v>5</v>
      </c>
    </row>
    <row r="670" spans="1:11" x14ac:dyDescent="0.3">
      <c r="A670" t="s">
        <v>1714</v>
      </c>
      <c r="B670" t="s">
        <v>1068</v>
      </c>
      <c r="C670">
        <v>103</v>
      </c>
      <c r="D670" t="s">
        <v>1024</v>
      </c>
      <c r="E670" s="1">
        <v>45151</v>
      </c>
      <c r="F670">
        <v>200</v>
      </c>
      <c r="G670">
        <v>4.9000000000000004</v>
      </c>
      <c r="H670">
        <v>2024</v>
      </c>
      <c r="I670" t="s">
        <v>1018</v>
      </c>
      <c r="J670" t="s">
        <v>1019</v>
      </c>
      <c r="K670">
        <v>5</v>
      </c>
    </row>
    <row r="671" spans="1:11" x14ac:dyDescent="0.3">
      <c r="A671" t="s">
        <v>1715</v>
      </c>
      <c r="B671" t="s">
        <v>1068</v>
      </c>
      <c r="C671">
        <v>155</v>
      </c>
      <c r="D671" t="s">
        <v>1017</v>
      </c>
      <c r="E671" s="1">
        <v>45154</v>
      </c>
      <c r="F671">
        <v>135</v>
      </c>
      <c r="G671">
        <v>4.9000000000000004</v>
      </c>
      <c r="H671">
        <v>2024</v>
      </c>
      <c r="I671" t="s">
        <v>1048</v>
      </c>
      <c r="J671" t="s">
        <v>1031</v>
      </c>
      <c r="K671">
        <v>5</v>
      </c>
    </row>
    <row r="672" spans="1:11" x14ac:dyDescent="0.3">
      <c r="A672" t="s">
        <v>1716</v>
      </c>
      <c r="B672" t="s">
        <v>1016</v>
      </c>
      <c r="C672">
        <v>128</v>
      </c>
      <c r="D672" t="s">
        <v>1024</v>
      </c>
      <c r="E672" s="1">
        <v>45155</v>
      </c>
      <c r="F672">
        <v>22</v>
      </c>
      <c r="G672">
        <v>1.9</v>
      </c>
      <c r="H672">
        <v>2024</v>
      </c>
      <c r="I672" t="s">
        <v>1052</v>
      </c>
      <c r="J672" t="s">
        <v>1031</v>
      </c>
      <c r="K672">
        <v>2</v>
      </c>
    </row>
    <row r="673" spans="1:11" x14ac:dyDescent="0.3">
      <c r="A673" t="s">
        <v>1717</v>
      </c>
      <c r="B673" t="s">
        <v>1041</v>
      </c>
      <c r="C673">
        <v>89</v>
      </c>
      <c r="D673" t="s">
        <v>1038</v>
      </c>
      <c r="E673" s="1">
        <v>45156</v>
      </c>
      <c r="F673">
        <v>164</v>
      </c>
      <c r="G673">
        <v>4.5</v>
      </c>
      <c r="H673">
        <v>2024</v>
      </c>
      <c r="I673" t="s">
        <v>411</v>
      </c>
      <c r="J673" t="s">
        <v>1019</v>
      </c>
      <c r="K673">
        <v>5</v>
      </c>
    </row>
    <row r="674" spans="1:11" x14ac:dyDescent="0.3">
      <c r="A674" t="s">
        <v>1718</v>
      </c>
      <c r="B674" t="s">
        <v>1028</v>
      </c>
      <c r="C674">
        <v>81</v>
      </c>
      <c r="D674" t="s">
        <v>1017</v>
      </c>
      <c r="E674" s="1">
        <v>45156</v>
      </c>
      <c r="F674">
        <v>21</v>
      </c>
      <c r="G674">
        <v>4.9000000000000004</v>
      </c>
      <c r="H674">
        <v>2024</v>
      </c>
      <c r="I674" t="s">
        <v>411</v>
      </c>
      <c r="J674" t="s">
        <v>1019</v>
      </c>
      <c r="K674">
        <v>5</v>
      </c>
    </row>
    <row r="675" spans="1:11" x14ac:dyDescent="0.3">
      <c r="A675" t="s">
        <v>1719</v>
      </c>
      <c r="B675" t="s">
        <v>1041</v>
      </c>
      <c r="C675">
        <v>66</v>
      </c>
      <c r="D675" t="s">
        <v>1038</v>
      </c>
      <c r="E675" s="1">
        <v>45157</v>
      </c>
      <c r="F675">
        <v>120</v>
      </c>
      <c r="G675">
        <v>4.5</v>
      </c>
      <c r="H675">
        <v>2024</v>
      </c>
      <c r="I675" t="s">
        <v>1062</v>
      </c>
      <c r="J675" t="s">
        <v>1019</v>
      </c>
      <c r="K675">
        <v>5</v>
      </c>
    </row>
    <row r="676" spans="1:11" x14ac:dyDescent="0.3">
      <c r="A676" t="s">
        <v>1720</v>
      </c>
      <c r="B676" t="s">
        <v>1036</v>
      </c>
      <c r="C676">
        <v>61</v>
      </c>
      <c r="D676" t="s">
        <v>1029</v>
      </c>
      <c r="E676" s="1">
        <v>45157</v>
      </c>
      <c r="F676">
        <v>93</v>
      </c>
      <c r="G676">
        <v>2.7</v>
      </c>
      <c r="H676">
        <v>2024</v>
      </c>
      <c r="I676" t="s">
        <v>1062</v>
      </c>
      <c r="J676" t="s">
        <v>1019</v>
      </c>
      <c r="K676">
        <v>3</v>
      </c>
    </row>
    <row r="677" spans="1:11" x14ac:dyDescent="0.3">
      <c r="A677" t="s">
        <v>1721</v>
      </c>
      <c r="B677" t="s">
        <v>1028</v>
      </c>
      <c r="C677">
        <v>128</v>
      </c>
      <c r="D677" t="s">
        <v>1029</v>
      </c>
      <c r="E677" s="1">
        <v>45157</v>
      </c>
      <c r="F677">
        <v>135</v>
      </c>
      <c r="G677">
        <v>2.1</v>
      </c>
      <c r="H677">
        <v>2024</v>
      </c>
      <c r="I677" t="s">
        <v>1062</v>
      </c>
      <c r="J677" t="s">
        <v>1031</v>
      </c>
      <c r="K677">
        <v>2</v>
      </c>
    </row>
    <row r="678" spans="1:11" x14ac:dyDescent="0.3">
      <c r="A678" t="s">
        <v>1722</v>
      </c>
      <c r="B678" t="s">
        <v>1068</v>
      </c>
      <c r="C678">
        <v>30</v>
      </c>
      <c r="D678" t="s">
        <v>1017</v>
      </c>
      <c r="E678" s="1">
        <v>45157</v>
      </c>
      <c r="F678">
        <v>210</v>
      </c>
      <c r="G678">
        <v>4.2</v>
      </c>
      <c r="H678">
        <v>2024</v>
      </c>
      <c r="I678" t="s">
        <v>1062</v>
      </c>
      <c r="J678" t="s">
        <v>1056</v>
      </c>
      <c r="K678">
        <v>4</v>
      </c>
    </row>
    <row r="679" spans="1:11" x14ac:dyDescent="0.3">
      <c r="A679" t="s">
        <v>1723</v>
      </c>
      <c r="B679" t="s">
        <v>1098</v>
      </c>
      <c r="C679">
        <v>63</v>
      </c>
      <c r="D679" t="s">
        <v>1029</v>
      </c>
      <c r="E679" s="1">
        <v>45158</v>
      </c>
      <c r="F679">
        <v>29</v>
      </c>
      <c r="G679">
        <v>4.7</v>
      </c>
      <c r="H679">
        <v>2024</v>
      </c>
      <c r="I679" t="s">
        <v>1018</v>
      </c>
      <c r="J679" t="s">
        <v>1019</v>
      </c>
      <c r="K679">
        <v>5</v>
      </c>
    </row>
    <row r="680" spans="1:11" x14ac:dyDescent="0.3">
      <c r="A680" t="s">
        <v>1724</v>
      </c>
      <c r="B680" t="s">
        <v>1047</v>
      </c>
      <c r="C680">
        <v>64</v>
      </c>
      <c r="D680" t="s">
        <v>1042</v>
      </c>
      <c r="E680" s="1">
        <v>45158</v>
      </c>
      <c r="F680">
        <v>111</v>
      </c>
      <c r="G680">
        <v>3.9</v>
      </c>
      <c r="H680">
        <v>2024</v>
      </c>
      <c r="I680" t="s">
        <v>1018</v>
      </c>
      <c r="J680" t="s">
        <v>1019</v>
      </c>
      <c r="K680">
        <v>4</v>
      </c>
    </row>
    <row r="681" spans="1:11" x14ac:dyDescent="0.3">
      <c r="A681" t="s">
        <v>1725</v>
      </c>
      <c r="B681" t="s">
        <v>1026</v>
      </c>
      <c r="C681">
        <v>151</v>
      </c>
      <c r="D681" t="s">
        <v>1024</v>
      </c>
      <c r="E681" s="1">
        <v>45159</v>
      </c>
      <c r="F681">
        <v>63</v>
      </c>
      <c r="G681">
        <v>4.0999999999999996</v>
      </c>
      <c r="H681">
        <v>2024</v>
      </c>
      <c r="I681" t="s">
        <v>1030</v>
      </c>
      <c r="J681" t="s">
        <v>1031</v>
      </c>
      <c r="K681">
        <v>4</v>
      </c>
    </row>
    <row r="682" spans="1:11" x14ac:dyDescent="0.3">
      <c r="A682" t="s">
        <v>1726</v>
      </c>
      <c r="B682" t="s">
        <v>1078</v>
      </c>
      <c r="C682">
        <v>116</v>
      </c>
      <c r="D682" t="s">
        <v>1038</v>
      </c>
      <c r="E682" s="1">
        <v>45159</v>
      </c>
      <c r="F682">
        <v>44</v>
      </c>
      <c r="G682">
        <v>3.8</v>
      </c>
      <c r="H682">
        <v>2024</v>
      </c>
      <c r="I682" t="s">
        <v>1030</v>
      </c>
      <c r="J682" t="s">
        <v>1019</v>
      </c>
      <c r="K682">
        <v>4</v>
      </c>
    </row>
    <row r="683" spans="1:11" x14ac:dyDescent="0.3">
      <c r="A683" t="s">
        <v>1727</v>
      </c>
      <c r="B683" t="s">
        <v>1026</v>
      </c>
      <c r="C683">
        <v>111</v>
      </c>
      <c r="D683" t="s">
        <v>1038</v>
      </c>
      <c r="E683" s="1">
        <v>45161</v>
      </c>
      <c r="F683">
        <v>120</v>
      </c>
      <c r="G683">
        <v>1.8</v>
      </c>
      <c r="H683">
        <v>2024</v>
      </c>
      <c r="I683" t="s">
        <v>1048</v>
      </c>
      <c r="J683" t="s">
        <v>1019</v>
      </c>
      <c r="K683">
        <v>2</v>
      </c>
    </row>
    <row r="684" spans="1:11" x14ac:dyDescent="0.3">
      <c r="A684" t="s">
        <v>1728</v>
      </c>
      <c r="B684" t="s">
        <v>1028</v>
      </c>
      <c r="C684">
        <v>15</v>
      </c>
      <c r="D684" t="s">
        <v>1038</v>
      </c>
      <c r="E684" s="1">
        <v>45161</v>
      </c>
      <c r="F684">
        <v>120</v>
      </c>
      <c r="G684">
        <v>4.0999999999999996</v>
      </c>
      <c r="H684">
        <v>2024</v>
      </c>
      <c r="I684" t="s">
        <v>1048</v>
      </c>
      <c r="J684" t="s">
        <v>1056</v>
      </c>
      <c r="K684">
        <v>4</v>
      </c>
    </row>
    <row r="685" spans="1:11" x14ac:dyDescent="0.3">
      <c r="A685" t="s">
        <v>1729</v>
      </c>
      <c r="B685" t="s">
        <v>1047</v>
      </c>
      <c r="C685">
        <v>18</v>
      </c>
      <c r="D685" t="s">
        <v>1024</v>
      </c>
      <c r="E685" s="1">
        <v>45162</v>
      </c>
      <c r="F685">
        <v>40</v>
      </c>
      <c r="G685">
        <v>4.4000000000000004</v>
      </c>
      <c r="H685">
        <v>2024</v>
      </c>
      <c r="I685" t="s">
        <v>1052</v>
      </c>
      <c r="J685" t="s">
        <v>1056</v>
      </c>
      <c r="K685">
        <v>4</v>
      </c>
    </row>
    <row r="686" spans="1:11" x14ac:dyDescent="0.3">
      <c r="A686" t="s">
        <v>1730</v>
      </c>
      <c r="B686" t="s">
        <v>1036</v>
      </c>
      <c r="C686">
        <v>146</v>
      </c>
      <c r="D686" t="s">
        <v>1029</v>
      </c>
      <c r="E686" s="1">
        <v>45162</v>
      </c>
      <c r="F686">
        <v>160</v>
      </c>
      <c r="G686">
        <v>4.0999999999999996</v>
      </c>
      <c r="H686">
        <v>2024</v>
      </c>
      <c r="I686" t="s">
        <v>1052</v>
      </c>
      <c r="J686" t="s">
        <v>1031</v>
      </c>
      <c r="K686">
        <v>4</v>
      </c>
    </row>
    <row r="687" spans="1:11" x14ac:dyDescent="0.3">
      <c r="A687" t="s">
        <v>1731</v>
      </c>
      <c r="B687" t="s">
        <v>1068</v>
      </c>
      <c r="C687">
        <v>73</v>
      </c>
      <c r="D687" t="s">
        <v>1038</v>
      </c>
      <c r="E687" s="1">
        <v>45163</v>
      </c>
      <c r="F687">
        <v>44</v>
      </c>
      <c r="G687">
        <v>3.8</v>
      </c>
      <c r="H687">
        <v>2024</v>
      </c>
      <c r="I687" t="s">
        <v>411</v>
      </c>
      <c r="J687" t="s">
        <v>1019</v>
      </c>
      <c r="K687">
        <v>4</v>
      </c>
    </row>
    <row r="688" spans="1:11" x14ac:dyDescent="0.3">
      <c r="A688" t="s">
        <v>1732</v>
      </c>
      <c r="B688" t="s">
        <v>1026</v>
      </c>
      <c r="C688">
        <v>108</v>
      </c>
      <c r="D688" t="s">
        <v>1024</v>
      </c>
      <c r="E688" s="1">
        <v>45163</v>
      </c>
      <c r="F688">
        <v>80</v>
      </c>
      <c r="G688">
        <v>4.3</v>
      </c>
      <c r="H688">
        <v>2024</v>
      </c>
      <c r="I688" t="s">
        <v>411</v>
      </c>
      <c r="J688" t="s">
        <v>1019</v>
      </c>
      <c r="K688">
        <v>4</v>
      </c>
    </row>
    <row r="689" spans="1:11" x14ac:dyDescent="0.3">
      <c r="A689" t="s">
        <v>1733</v>
      </c>
      <c r="B689" t="s">
        <v>1059</v>
      </c>
      <c r="C689">
        <v>52</v>
      </c>
      <c r="D689" t="s">
        <v>1024</v>
      </c>
      <c r="E689" s="1">
        <v>45164</v>
      </c>
      <c r="F689">
        <v>66</v>
      </c>
      <c r="G689">
        <v>4.5</v>
      </c>
      <c r="H689">
        <v>2024</v>
      </c>
      <c r="I689" t="s">
        <v>1062</v>
      </c>
      <c r="J689" t="s">
        <v>1034</v>
      </c>
      <c r="K689">
        <v>5</v>
      </c>
    </row>
    <row r="690" spans="1:11" x14ac:dyDescent="0.3">
      <c r="A690" t="s">
        <v>1734</v>
      </c>
      <c r="B690" t="s">
        <v>1078</v>
      </c>
      <c r="C690">
        <v>165</v>
      </c>
      <c r="D690" t="s">
        <v>1042</v>
      </c>
      <c r="E690" s="1">
        <v>45164</v>
      </c>
      <c r="F690">
        <v>82</v>
      </c>
      <c r="G690">
        <v>3.4</v>
      </c>
      <c r="H690">
        <v>2024</v>
      </c>
      <c r="I690" t="s">
        <v>1062</v>
      </c>
      <c r="J690" t="s">
        <v>1031</v>
      </c>
      <c r="K690">
        <v>3</v>
      </c>
    </row>
    <row r="691" spans="1:11" x14ac:dyDescent="0.3">
      <c r="A691" t="s">
        <v>1735</v>
      </c>
      <c r="B691" t="s">
        <v>1036</v>
      </c>
      <c r="C691">
        <v>104</v>
      </c>
      <c r="D691" t="s">
        <v>1038</v>
      </c>
      <c r="E691" s="1">
        <v>45164</v>
      </c>
      <c r="F691">
        <v>66</v>
      </c>
      <c r="G691">
        <v>4.8</v>
      </c>
      <c r="H691">
        <v>2024</v>
      </c>
      <c r="I691" t="s">
        <v>1062</v>
      </c>
      <c r="J691" t="s">
        <v>1019</v>
      </c>
      <c r="K691">
        <v>5</v>
      </c>
    </row>
    <row r="692" spans="1:11" x14ac:dyDescent="0.3">
      <c r="A692" t="s">
        <v>1736</v>
      </c>
      <c r="B692" t="s">
        <v>1068</v>
      </c>
      <c r="C692">
        <v>131</v>
      </c>
      <c r="D692" t="s">
        <v>1029</v>
      </c>
      <c r="E692" s="1">
        <v>45164</v>
      </c>
      <c r="F692">
        <v>92</v>
      </c>
      <c r="G692">
        <v>4.9000000000000004</v>
      </c>
      <c r="H692">
        <v>2024</v>
      </c>
      <c r="I692" t="s">
        <v>1062</v>
      </c>
      <c r="J692" t="s">
        <v>1031</v>
      </c>
      <c r="K692">
        <v>5</v>
      </c>
    </row>
    <row r="693" spans="1:11" x14ac:dyDescent="0.3">
      <c r="A693" t="s">
        <v>1737</v>
      </c>
      <c r="B693" t="s">
        <v>1065</v>
      </c>
      <c r="C693">
        <v>80</v>
      </c>
      <c r="D693" t="s">
        <v>1042</v>
      </c>
      <c r="E693" s="1">
        <v>45165</v>
      </c>
      <c r="F693">
        <v>104</v>
      </c>
      <c r="G693">
        <v>4.7</v>
      </c>
      <c r="H693">
        <v>2024</v>
      </c>
      <c r="I693" t="s">
        <v>1018</v>
      </c>
      <c r="J693" t="s">
        <v>1019</v>
      </c>
      <c r="K693">
        <v>5</v>
      </c>
    </row>
    <row r="694" spans="1:11" x14ac:dyDescent="0.3">
      <c r="A694" t="s">
        <v>1738</v>
      </c>
      <c r="B694" t="s">
        <v>1028</v>
      </c>
      <c r="C694">
        <v>49</v>
      </c>
      <c r="D694" t="s">
        <v>1038</v>
      </c>
      <c r="E694" s="1">
        <v>45165</v>
      </c>
      <c r="F694">
        <v>105</v>
      </c>
      <c r="G694">
        <v>3.3</v>
      </c>
      <c r="H694">
        <v>2024</v>
      </c>
      <c r="I694" t="s">
        <v>1018</v>
      </c>
      <c r="J694" t="s">
        <v>1034</v>
      </c>
      <c r="K694">
        <v>3</v>
      </c>
    </row>
    <row r="695" spans="1:11" x14ac:dyDescent="0.3">
      <c r="A695" t="s">
        <v>1739</v>
      </c>
      <c r="B695" t="s">
        <v>1078</v>
      </c>
      <c r="C695">
        <v>73</v>
      </c>
      <c r="D695" t="s">
        <v>1038</v>
      </c>
      <c r="E695" s="1">
        <v>45165</v>
      </c>
      <c r="F695">
        <v>100</v>
      </c>
      <c r="G695">
        <v>2.8</v>
      </c>
      <c r="H695">
        <v>2024</v>
      </c>
      <c r="I695" t="s">
        <v>1018</v>
      </c>
      <c r="J695" t="s">
        <v>1019</v>
      </c>
      <c r="K695">
        <v>3</v>
      </c>
    </row>
    <row r="696" spans="1:11" x14ac:dyDescent="0.3">
      <c r="A696" t="s">
        <v>1740</v>
      </c>
      <c r="B696" t="s">
        <v>1036</v>
      </c>
      <c r="C696">
        <v>117</v>
      </c>
      <c r="D696" t="s">
        <v>1042</v>
      </c>
      <c r="E696" s="1">
        <v>45165</v>
      </c>
      <c r="F696">
        <v>90</v>
      </c>
      <c r="G696">
        <v>4.0999999999999996</v>
      </c>
      <c r="H696">
        <v>2024</v>
      </c>
      <c r="I696" t="s">
        <v>1018</v>
      </c>
      <c r="J696" t="s">
        <v>1019</v>
      </c>
      <c r="K696">
        <v>4</v>
      </c>
    </row>
    <row r="697" spans="1:11" x14ac:dyDescent="0.3">
      <c r="A697" t="s">
        <v>1741</v>
      </c>
      <c r="B697" t="s">
        <v>1023</v>
      </c>
      <c r="C697">
        <v>38</v>
      </c>
      <c r="D697" t="s">
        <v>1017</v>
      </c>
      <c r="E697" s="1">
        <v>45165</v>
      </c>
      <c r="F697">
        <v>110</v>
      </c>
      <c r="G697">
        <v>3.5</v>
      </c>
      <c r="H697">
        <v>2024</v>
      </c>
      <c r="I697" t="s">
        <v>1018</v>
      </c>
      <c r="J697" t="s">
        <v>1034</v>
      </c>
      <c r="K697">
        <v>4</v>
      </c>
    </row>
    <row r="698" spans="1:11" x14ac:dyDescent="0.3">
      <c r="A698" t="s">
        <v>1742</v>
      </c>
      <c r="B698" t="s">
        <v>1059</v>
      </c>
      <c r="C698">
        <v>109</v>
      </c>
      <c r="D698" t="s">
        <v>1042</v>
      </c>
      <c r="E698" s="1">
        <v>45167</v>
      </c>
      <c r="F698">
        <v>68</v>
      </c>
      <c r="G698">
        <v>2.2999999999999998</v>
      </c>
      <c r="H698">
        <v>2024</v>
      </c>
      <c r="I698" t="s">
        <v>1033</v>
      </c>
      <c r="J698" t="s">
        <v>1019</v>
      </c>
      <c r="K698">
        <v>2</v>
      </c>
    </row>
    <row r="699" spans="1:11" x14ac:dyDescent="0.3">
      <c r="A699" t="s">
        <v>1743</v>
      </c>
      <c r="B699" t="s">
        <v>1028</v>
      </c>
      <c r="C699">
        <v>70</v>
      </c>
      <c r="D699" t="s">
        <v>1024</v>
      </c>
      <c r="E699" s="1">
        <v>45168</v>
      </c>
      <c r="F699">
        <v>210</v>
      </c>
      <c r="G699">
        <v>4.0999999999999996</v>
      </c>
      <c r="H699">
        <v>2024</v>
      </c>
      <c r="I699" t="s">
        <v>1048</v>
      </c>
      <c r="J699" t="s">
        <v>1019</v>
      </c>
      <c r="K699">
        <v>4</v>
      </c>
    </row>
    <row r="700" spans="1:11" x14ac:dyDescent="0.3">
      <c r="A700" t="s">
        <v>1744</v>
      </c>
      <c r="B700" t="s">
        <v>1021</v>
      </c>
      <c r="C700">
        <v>51</v>
      </c>
      <c r="D700" t="s">
        <v>1017</v>
      </c>
      <c r="E700" s="1">
        <v>45168</v>
      </c>
      <c r="F700">
        <v>111</v>
      </c>
      <c r="G700">
        <v>4.3</v>
      </c>
      <c r="H700">
        <v>2024</v>
      </c>
      <c r="I700" t="s">
        <v>1048</v>
      </c>
      <c r="J700" t="s">
        <v>1034</v>
      </c>
      <c r="K700">
        <v>4</v>
      </c>
    </row>
    <row r="701" spans="1:11" x14ac:dyDescent="0.3">
      <c r="A701" t="s">
        <v>1745</v>
      </c>
      <c r="B701" t="s">
        <v>1021</v>
      </c>
      <c r="C701">
        <v>100</v>
      </c>
      <c r="D701" t="s">
        <v>1024</v>
      </c>
      <c r="E701" s="1">
        <v>45169</v>
      </c>
      <c r="F701">
        <v>45</v>
      </c>
      <c r="G701">
        <v>4.9000000000000004</v>
      </c>
      <c r="H701">
        <v>2024</v>
      </c>
      <c r="I701" t="s">
        <v>1052</v>
      </c>
      <c r="J701" t="s">
        <v>1019</v>
      </c>
      <c r="K701">
        <v>5</v>
      </c>
    </row>
    <row r="702" spans="1:11" x14ac:dyDescent="0.3">
      <c r="A702" t="s">
        <v>1746</v>
      </c>
      <c r="B702" t="s">
        <v>1045</v>
      </c>
      <c r="C702">
        <v>124</v>
      </c>
      <c r="D702" t="s">
        <v>1017</v>
      </c>
      <c r="E702" s="1">
        <v>45170</v>
      </c>
      <c r="F702">
        <v>132</v>
      </c>
      <c r="G702">
        <v>4</v>
      </c>
      <c r="H702">
        <v>2024</v>
      </c>
      <c r="I702" t="s">
        <v>411</v>
      </c>
      <c r="J702" t="s">
        <v>1031</v>
      </c>
      <c r="K702">
        <v>4</v>
      </c>
    </row>
    <row r="703" spans="1:11" x14ac:dyDescent="0.3">
      <c r="A703" t="s">
        <v>1747</v>
      </c>
      <c r="B703" t="s">
        <v>1016</v>
      </c>
      <c r="C703">
        <v>143</v>
      </c>
      <c r="D703" t="s">
        <v>1042</v>
      </c>
      <c r="E703" s="1">
        <v>45170</v>
      </c>
      <c r="F703">
        <v>20</v>
      </c>
      <c r="G703">
        <v>4.7</v>
      </c>
      <c r="H703">
        <v>2024</v>
      </c>
      <c r="I703" t="s">
        <v>411</v>
      </c>
      <c r="J703" t="s">
        <v>1031</v>
      </c>
      <c r="K703">
        <v>5</v>
      </c>
    </row>
    <row r="704" spans="1:11" x14ac:dyDescent="0.3">
      <c r="A704" t="s">
        <v>1748</v>
      </c>
      <c r="B704" t="s">
        <v>1041</v>
      </c>
      <c r="C704">
        <v>96</v>
      </c>
      <c r="D704" t="s">
        <v>1038</v>
      </c>
      <c r="E704" s="1">
        <v>45170</v>
      </c>
      <c r="F704">
        <v>36</v>
      </c>
      <c r="G704">
        <v>3.4</v>
      </c>
      <c r="H704">
        <v>2024</v>
      </c>
      <c r="I704" t="s">
        <v>411</v>
      </c>
      <c r="J704" t="s">
        <v>1019</v>
      </c>
      <c r="K704">
        <v>3</v>
      </c>
    </row>
    <row r="705" spans="1:11" x14ac:dyDescent="0.3">
      <c r="A705" t="s">
        <v>1749</v>
      </c>
      <c r="B705" t="s">
        <v>1078</v>
      </c>
      <c r="C705">
        <v>84</v>
      </c>
      <c r="D705" t="s">
        <v>1024</v>
      </c>
      <c r="E705" s="1">
        <v>45172</v>
      </c>
      <c r="F705">
        <v>72</v>
      </c>
      <c r="G705">
        <v>4</v>
      </c>
      <c r="H705">
        <v>2024</v>
      </c>
      <c r="I705" t="s">
        <v>1018</v>
      </c>
      <c r="J705" t="s">
        <v>1019</v>
      </c>
      <c r="K705">
        <v>4</v>
      </c>
    </row>
    <row r="706" spans="1:11" x14ac:dyDescent="0.3">
      <c r="A706" t="s">
        <v>1750</v>
      </c>
      <c r="B706" t="s">
        <v>1055</v>
      </c>
      <c r="C706">
        <v>111</v>
      </c>
      <c r="D706" t="s">
        <v>1024</v>
      </c>
      <c r="E706" s="1">
        <v>45172</v>
      </c>
      <c r="F706">
        <v>63</v>
      </c>
      <c r="G706">
        <v>4.5</v>
      </c>
      <c r="H706">
        <v>2024</v>
      </c>
      <c r="I706" t="s">
        <v>1018</v>
      </c>
      <c r="J706" t="s">
        <v>1019</v>
      </c>
      <c r="K706">
        <v>5</v>
      </c>
    </row>
    <row r="707" spans="1:11" x14ac:dyDescent="0.3">
      <c r="A707" t="s">
        <v>1751</v>
      </c>
      <c r="B707" t="s">
        <v>1055</v>
      </c>
      <c r="C707">
        <v>103</v>
      </c>
      <c r="D707" t="s">
        <v>1017</v>
      </c>
      <c r="E707" s="1">
        <v>45173</v>
      </c>
      <c r="F707">
        <v>44</v>
      </c>
      <c r="G707">
        <v>4.5</v>
      </c>
      <c r="H707">
        <v>2024</v>
      </c>
      <c r="I707" t="s">
        <v>1030</v>
      </c>
      <c r="J707" t="s">
        <v>1019</v>
      </c>
      <c r="K707">
        <v>5</v>
      </c>
    </row>
    <row r="708" spans="1:11" x14ac:dyDescent="0.3">
      <c r="A708" t="s">
        <v>1752</v>
      </c>
      <c r="B708" t="s">
        <v>1016</v>
      </c>
      <c r="C708">
        <v>61</v>
      </c>
      <c r="D708" t="s">
        <v>1029</v>
      </c>
      <c r="E708" s="1">
        <v>45173</v>
      </c>
      <c r="F708">
        <v>132</v>
      </c>
      <c r="G708">
        <v>4.9000000000000004</v>
      </c>
      <c r="H708">
        <v>2024</v>
      </c>
      <c r="I708" t="s">
        <v>1030</v>
      </c>
      <c r="J708" t="s">
        <v>1019</v>
      </c>
      <c r="K708">
        <v>5</v>
      </c>
    </row>
    <row r="709" spans="1:11" x14ac:dyDescent="0.3">
      <c r="A709" t="s">
        <v>1753</v>
      </c>
      <c r="B709" t="s">
        <v>1068</v>
      </c>
      <c r="C709">
        <v>113</v>
      </c>
      <c r="D709" t="s">
        <v>1038</v>
      </c>
      <c r="E709" s="1">
        <v>45173</v>
      </c>
      <c r="F709">
        <v>46</v>
      </c>
      <c r="G709">
        <v>4.4000000000000004</v>
      </c>
      <c r="H709">
        <v>2024</v>
      </c>
      <c r="I709" t="s">
        <v>1030</v>
      </c>
      <c r="J709" t="s">
        <v>1019</v>
      </c>
      <c r="K709">
        <v>4</v>
      </c>
    </row>
    <row r="710" spans="1:11" x14ac:dyDescent="0.3">
      <c r="A710" t="s">
        <v>1754</v>
      </c>
      <c r="B710" t="s">
        <v>1068</v>
      </c>
      <c r="C710">
        <v>96</v>
      </c>
      <c r="D710" t="s">
        <v>1038</v>
      </c>
      <c r="E710" s="1">
        <v>45173</v>
      </c>
      <c r="F710">
        <v>96</v>
      </c>
      <c r="G710">
        <v>2.9</v>
      </c>
      <c r="H710">
        <v>2024</v>
      </c>
      <c r="I710" t="s">
        <v>1030</v>
      </c>
      <c r="J710" t="s">
        <v>1019</v>
      </c>
      <c r="K710">
        <v>3</v>
      </c>
    </row>
    <row r="711" spans="1:11" x14ac:dyDescent="0.3">
      <c r="A711" t="s">
        <v>1755</v>
      </c>
      <c r="B711" t="s">
        <v>1047</v>
      </c>
      <c r="C711">
        <v>131</v>
      </c>
      <c r="D711" t="s">
        <v>1017</v>
      </c>
      <c r="E711" s="1">
        <v>45174</v>
      </c>
      <c r="F711">
        <v>75</v>
      </c>
      <c r="G711">
        <v>4.4000000000000004</v>
      </c>
      <c r="H711">
        <v>2024</v>
      </c>
      <c r="I711" t="s">
        <v>1033</v>
      </c>
      <c r="J711" t="s">
        <v>1031</v>
      </c>
      <c r="K711">
        <v>4</v>
      </c>
    </row>
    <row r="712" spans="1:11" x14ac:dyDescent="0.3">
      <c r="A712" t="s">
        <v>1756</v>
      </c>
      <c r="B712" t="s">
        <v>1036</v>
      </c>
      <c r="C712">
        <v>52</v>
      </c>
      <c r="D712" t="s">
        <v>1038</v>
      </c>
      <c r="E712" s="1">
        <v>45175</v>
      </c>
      <c r="F712">
        <v>88</v>
      </c>
      <c r="G712">
        <v>4.3</v>
      </c>
      <c r="H712">
        <v>2024</v>
      </c>
      <c r="I712" t="s">
        <v>1048</v>
      </c>
      <c r="J712" t="s">
        <v>1034</v>
      </c>
      <c r="K712">
        <v>4</v>
      </c>
    </row>
    <row r="713" spans="1:11" x14ac:dyDescent="0.3">
      <c r="A713" t="s">
        <v>1757</v>
      </c>
      <c r="B713" t="s">
        <v>1021</v>
      </c>
      <c r="C713">
        <v>100</v>
      </c>
      <c r="D713" t="s">
        <v>1017</v>
      </c>
      <c r="E713" s="1">
        <v>45175</v>
      </c>
      <c r="F713">
        <v>24</v>
      </c>
      <c r="G713">
        <v>4.7</v>
      </c>
      <c r="H713">
        <v>2024</v>
      </c>
      <c r="I713" t="s">
        <v>1048</v>
      </c>
      <c r="J713" t="s">
        <v>1019</v>
      </c>
      <c r="K713">
        <v>5</v>
      </c>
    </row>
    <row r="714" spans="1:11" x14ac:dyDescent="0.3">
      <c r="A714" t="s">
        <v>1758</v>
      </c>
      <c r="B714" t="s">
        <v>1026</v>
      </c>
      <c r="C714">
        <v>58</v>
      </c>
      <c r="D714" t="s">
        <v>1042</v>
      </c>
      <c r="E714" s="1">
        <v>45175</v>
      </c>
      <c r="F714">
        <v>96</v>
      </c>
      <c r="G714">
        <v>3.2</v>
      </c>
      <c r="H714">
        <v>2024</v>
      </c>
      <c r="I714" t="s">
        <v>1048</v>
      </c>
      <c r="J714" t="s">
        <v>1034</v>
      </c>
      <c r="K714">
        <v>3</v>
      </c>
    </row>
    <row r="715" spans="1:11" x14ac:dyDescent="0.3">
      <c r="A715" t="s">
        <v>1759</v>
      </c>
      <c r="B715" t="s">
        <v>1028</v>
      </c>
      <c r="C715">
        <v>144</v>
      </c>
      <c r="D715" t="s">
        <v>1042</v>
      </c>
      <c r="E715" s="1">
        <v>45176</v>
      </c>
      <c r="F715">
        <v>124</v>
      </c>
      <c r="G715">
        <v>2.2999999999999998</v>
      </c>
      <c r="H715">
        <v>2024</v>
      </c>
      <c r="I715" t="s">
        <v>1052</v>
      </c>
      <c r="J715" t="s">
        <v>1031</v>
      </c>
      <c r="K715">
        <v>2</v>
      </c>
    </row>
    <row r="716" spans="1:11" x14ac:dyDescent="0.3">
      <c r="A716" t="s">
        <v>1760</v>
      </c>
      <c r="B716" t="s">
        <v>1026</v>
      </c>
      <c r="C716">
        <v>53</v>
      </c>
      <c r="D716" t="s">
        <v>1029</v>
      </c>
      <c r="E716" s="1">
        <v>45177</v>
      </c>
      <c r="F716">
        <v>130</v>
      </c>
      <c r="G716">
        <v>3.6</v>
      </c>
      <c r="H716">
        <v>2024</v>
      </c>
      <c r="I716" t="s">
        <v>411</v>
      </c>
      <c r="J716" t="s">
        <v>1034</v>
      </c>
      <c r="K716">
        <v>4</v>
      </c>
    </row>
    <row r="717" spans="1:11" x14ac:dyDescent="0.3">
      <c r="A717" t="s">
        <v>1761</v>
      </c>
      <c r="B717" t="s">
        <v>1068</v>
      </c>
      <c r="C717">
        <v>97</v>
      </c>
      <c r="D717" t="s">
        <v>1024</v>
      </c>
      <c r="E717" s="1">
        <v>45177</v>
      </c>
      <c r="F717">
        <v>45</v>
      </c>
      <c r="G717">
        <v>4.5999999999999996</v>
      </c>
      <c r="H717">
        <v>2024</v>
      </c>
      <c r="I717" t="s">
        <v>411</v>
      </c>
      <c r="J717" t="s">
        <v>1019</v>
      </c>
      <c r="K717">
        <v>5</v>
      </c>
    </row>
    <row r="718" spans="1:11" x14ac:dyDescent="0.3">
      <c r="A718" t="s">
        <v>1762</v>
      </c>
      <c r="B718" t="s">
        <v>1023</v>
      </c>
      <c r="C718">
        <v>64</v>
      </c>
      <c r="D718" t="s">
        <v>1042</v>
      </c>
      <c r="E718" s="1">
        <v>45177</v>
      </c>
      <c r="F718">
        <v>66</v>
      </c>
      <c r="G718">
        <v>4</v>
      </c>
      <c r="H718">
        <v>2024</v>
      </c>
      <c r="I718" t="s">
        <v>411</v>
      </c>
      <c r="J718" t="s">
        <v>1019</v>
      </c>
      <c r="K718">
        <v>4</v>
      </c>
    </row>
    <row r="719" spans="1:11" x14ac:dyDescent="0.3">
      <c r="A719" t="s">
        <v>1763</v>
      </c>
      <c r="B719" t="s">
        <v>1016</v>
      </c>
      <c r="C719">
        <v>106</v>
      </c>
      <c r="D719" t="s">
        <v>1017</v>
      </c>
      <c r="E719" s="1">
        <v>45177</v>
      </c>
      <c r="F719">
        <v>58</v>
      </c>
      <c r="G719">
        <v>4.7</v>
      </c>
      <c r="H719">
        <v>2024</v>
      </c>
      <c r="I719" t="s">
        <v>411</v>
      </c>
      <c r="J719" t="s">
        <v>1019</v>
      </c>
      <c r="K719">
        <v>5</v>
      </c>
    </row>
    <row r="720" spans="1:11" x14ac:dyDescent="0.3">
      <c r="A720" t="s">
        <v>1764</v>
      </c>
      <c r="B720" t="s">
        <v>1078</v>
      </c>
      <c r="C720">
        <v>36</v>
      </c>
      <c r="D720" t="s">
        <v>1042</v>
      </c>
      <c r="E720" s="1">
        <v>45178</v>
      </c>
      <c r="F720">
        <v>152</v>
      </c>
      <c r="G720">
        <v>4.3</v>
      </c>
      <c r="H720">
        <v>2024</v>
      </c>
      <c r="I720" t="s">
        <v>1062</v>
      </c>
      <c r="J720" t="s">
        <v>1034</v>
      </c>
      <c r="K720">
        <v>4</v>
      </c>
    </row>
    <row r="721" spans="1:11" x14ac:dyDescent="0.3">
      <c r="A721" t="s">
        <v>1765</v>
      </c>
      <c r="B721" t="s">
        <v>1028</v>
      </c>
      <c r="C721">
        <v>74</v>
      </c>
      <c r="D721" t="s">
        <v>1038</v>
      </c>
      <c r="E721" s="1">
        <v>45178</v>
      </c>
      <c r="F721">
        <v>75</v>
      </c>
      <c r="G721">
        <v>2.8</v>
      </c>
      <c r="H721">
        <v>2024</v>
      </c>
      <c r="I721" t="s">
        <v>1062</v>
      </c>
      <c r="J721" t="s">
        <v>1019</v>
      </c>
      <c r="K721">
        <v>3</v>
      </c>
    </row>
    <row r="722" spans="1:11" x14ac:dyDescent="0.3">
      <c r="A722" t="s">
        <v>1766</v>
      </c>
      <c r="B722" t="s">
        <v>1059</v>
      </c>
      <c r="C722">
        <v>143</v>
      </c>
      <c r="D722" t="s">
        <v>1024</v>
      </c>
      <c r="E722" s="1">
        <v>45178</v>
      </c>
      <c r="F722">
        <v>78</v>
      </c>
      <c r="G722">
        <v>4</v>
      </c>
      <c r="H722">
        <v>2024</v>
      </c>
      <c r="I722" t="s">
        <v>1062</v>
      </c>
      <c r="J722" t="s">
        <v>1031</v>
      </c>
      <c r="K722">
        <v>4</v>
      </c>
    </row>
    <row r="723" spans="1:11" x14ac:dyDescent="0.3">
      <c r="A723" t="s">
        <v>1767</v>
      </c>
      <c r="B723" t="s">
        <v>1016</v>
      </c>
      <c r="C723">
        <v>94</v>
      </c>
      <c r="D723" t="s">
        <v>1029</v>
      </c>
      <c r="E723" s="1">
        <v>45178</v>
      </c>
      <c r="F723">
        <v>69</v>
      </c>
      <c r="G723">
        <v>3.9</v>
      </c>
      <c r="H723">
        <v>2024</v>
      </c>
      <c r="I723" t="s">
        <v>1062</v>
      </c>
      <c r="J723" t="s">
        <v>1019</v>
      </c>
      <c r="K723">
        <v>4</v>
      </c>
    </row>
    <row r="724" spans="1:11" x14ac:dyDescent="0.3">
      <c r="A724" t="s">
        <v>1768</v>
      </c>
      <c r="B724" t="s">
        <v>1065</v>
      </c>
      <c r="C724">
        <v>124</v>
      </c>
      <c r="D724" t="s">
        <v>1017</v>
      </c>
      <c r="E724" s="1">
        <v>45179</v>
      </c>
      <c r="F724">
        <v>46</v>
      </c>
      <c r="G724">
        <v>3.1</v>
      </c>
      <c r="H724">
        <v>2024</v>
      </c>
      <c r="I724" t="s">
        <v>1018</v>
      </c>
      <c r="J724" t="s">
        <v>1031</v>
      </c>
      <c r="K724">
        <v>3</v>
      </c>
    </row>
    <row r="725" spans="1:11" x14ac:dyDescent="0.3">
      <c r="A725" t="s">
        <v>1769</v>
      </c>
      <c r="B725" t="s">
        <v>1078</v>
      </c>
      <c r="C725">
        <v>156</v>
      </c>
      <c r="D725" t="s">
        <v>1042</v>
      </c>
      <c r="E725" s="1">
        <v>45179</v>
      </c>
      <c r="F725">
        <v>64</v>
      </c>
      <c r="G725">
        <v>2.7</v>
      </c>
      <c r="H725">
        <v>2024</v>
      </c>
      <c r="I725" t="s">
        <v>1018</v>
      </c>
      <c r="J725" t="s">
        <v>1031</v>
      </c>
      <c r="K725">
        <v>3</v>
      </c>
    </row>
    <row r="726" spans="1:11" x14ac:dyDescent="0.3">
      <c r="A726" t="s">
        <v>1770</v>
      </c>
      <c r="B726" t="s">
        <v>1041</v>
      </c>
      <c r="C726">
        <v>107</v>
      </c>
      <c r="D726" t="s">
        <v>1024</v>
      </c>
      <c r="E726" s="1">
        <v>45179</v>
      </c>
      <c r="F726">
        <v>38</v>
      </c>
      <c r="G726">
        <v>4.7</v>
      </c>
      <c r="H726">
        <v>2024</v>
      </c>
      <c r="I726" t="s">
        <v>1018</v>
      </c>
      <c r="J726" t="s">
        <v>1019</v>
      </c>
      <c r="K726">
        <v>5</v>
      </c>
    </row>
    <row r="727" spans="1:11" x14ac:dyDescent="0.3">
      <c r="A727" t="s">
        <v>1771</v>
      </c>
      <c r="B727" t="s">
        <v>1016</v>
      </c>
      <c r="C727">
        <v>58</v>
      </c>
      <c r="D727" t="s">
        <v>1024</v>
      </c>
      <c r="E727" s="1">
        <v>45181</v>
      </c>
      <c r="F727">
        <v>90</v>
      </c>
      <c r="G727">
        <v>4.3</v>
      </c>
      <c r="H727">
        <v>2024</v>
      </c>
      <c r="I727" t="s">
        <v>1033</v>
      </c>
      <c r="J727" t="s">
        <v>1034</v>
      </c>
      <c r="K727">
        <v>4</v>
      </c>
    </row>
    <row r="728" spans="1:11" x14ac:dyDescent="0.3">
      <c r="A728" t="s">
        <v>1772</v>
      </c>
      <c r="B728" t="s">
        <v>1045</v>
      </c>
      <c r="C728">
        <v>66</v>
      </c>
      <c r="D728" t="s">
        <v>1024</v>
      </c>
      <c r="E728" s="1">
        <v>45181</v>
      </c>
      <c r="F728">
        <v>32</v>
      </c>
      <c r="G728">
        <v>3.8</v>
      </c>
      <c r="H728">
        <v>2024</v>
      </c>
      <c r="I728" t="s">
        <v>1033</v>
      </c>
      <c r="J728" t="s">
        <v>1019</v>
      </c>
      <c r="K728">
        <v>4</v>
      </c>
    </row>
    <row r="729" spans="1:11" x14ac:dyDescent="0.3">
      <c r="A729" t="s">
        <v>1773</v>
      </c>
      <c r="B729" t="s">
        <v>1047</v>
      </c>
      <c r="C729">
        <v>75</v>
      </c>
      <c r="D729" t="s">
        <v>1042</v>
      </c>
      <c r="E729" s="1">
        <v>45181</v>
      </c>
      <c r="F729">
        <v>120</v>
      </c>
      <c r="G729">
        <v>4.4000000000000004</v>
      </c>
      <c r="H729">
        <v>2024</v>
      </c>
      <c r="I729" t="s">
        <v>1033</v>
      </c>
      <c r="J729" t="s">
        <v>1019</v>
      </c>
      <c r="K729">
        <v>4</v>
      </c>
    </row>
    <row r="730" spans="1:11" x14ac:dyDescent="0.3">
      <c r="A730" t="s">
        <v>1774</v>
      </c>
      <c r="B730" t="s">
        <v>1041</v>
      </c>
      <c r="C730">
        <v>8</v>
      </c>
      <c r="D730" t="s">
        <v>1024</v>
      </c>
      <c r="E730" s="1">
        <v>45181</v>
      </c>
      <c r="F730">
        <v>31</v>
      </c>
      <c r="G730">
        <v>3.9</v>
      </c>
      <c r="H730">
        <v>2024</v>
      </c>
      <c r="I730" t="s">
        <v>1033</v>
      </c>
      <c r="J730" t="s">
        <v>1186</v>
      </c>
      <c r="K730">
        <v>4</v>
      </c>
    </row>
    <row r="731" spans="1:11" x14ac:dyDescent="0.3">
      <c r="A731" t="s">
        <v>1775</v>
      </c>
      <c r="B731" t="s">
        <v>1023</v>
      </c>
      <c r="C731">
        <v>76</v>
      </c>
      <c r="D731" t="s">
        <v>1042</v>
      </c>
      <c r="E731" s="1">
        <v>45182</v>
      </c>
      <c r="F731">
        <v>108</v>
      </c>
      <c r="G731">
        <v>4.9000000000000004</v>
      </c>
      <c r="H731">
        <v>2024</v>
      </c>
      <c r="I731" t="s">
        <v>1048</v>
      </c>
      <c r="J731" t="s">
        <v>1019</v>
      </c>
      <c r="K731">
        <v>5</v>
      </c>
    </row>
    <row r="732" spans="1:11" x14ac:dyDescent="0.3">
      <c r="A732" t="s">
        <v>1776</v>
      </c>
      <c r="B732" t="s">
        <v>1016</v>
      </c>
      <c r="C732">
        <v>110</v>
      </c>
      <c r="D732" t="s">
        <v>1042</v>
      </c>
      <c r="E732" s="1">
        <v>45182</v>
      </c>
      <c r="F732">
        <v>180</v>
      </c>
      <c r="G732">
        <v>4.2</v>
      </c>
      <c r="H732">
        <v>2024</v>
      </c>
      <c r="I732" t="s">
        <v>1048</v>
      </c>
      <c r="J732" t="s">
        <v>1019</v>
      </c>
      <c r="K732">
        <v>4</v>
      </c>
    </row>
    <row r="733" spans="1:11" x14ac:dyDescent="0.3">
      <c r="A733" t="s">
        <v>1777</v>
      </c>
      <c r="B733" t="s">
        <v>1045</v>
      </c>
      <c r="C733">
        <v>50</v>
      </c>
      <c r="D733" t="s">
        <v>1029</v>
      </c>
      <c r="E733" s="1">
        <v>45183</v>
      </c>
      <c r="F733">
        <v>124</v>
      </c>
      <c r="G733">
        <v>4</v>
      </c>
      <c r="H733">
        <v>2024</v>
      </c>
      <c r="I733" t="s">
        <v>1052</v>
      </c>
      <c r="J733" t="s">
        <v>1034</v>
      </c>
      <c r="K733">
        <v>4</v>
      </c>
    </row>
    <row r="734" spans="1:11" x14ac:dyDescent="0.3">
      <c r="A734" t="s">
        <v>1778</v>
      </c>
      <c r="B734" t="s">
        <v>1036</v>
      </c>
      <c r="C734">
        <v>78</v>
      </c>
      <c r="D734" t="s">
        <v>1029</v>
      </c>
      <c r="E734" s="1">
        <v>45183</v>
      </c>
      <c r="F734">
        <v>23</v>
      </c>
      <c r="G734">
        <v>4.2</v>
      </c>
      <c r="H734">
        <v>2024</v>
      </c>
      <c r="I734" t="s">
        <v>1052</v>
      </c>
      <c r="J734" t="s">
        <v>1019</v>
      </c>
      <c r="K734">
        <v>4</v>
      </c>
    </row>
    <row r="735" spans="1:11" x14ac:dyDescent="0.3">
      <c r="A735" t="s">
        <v>1779</v>
      </c>
      <c r="B735" t="s">
        <v>1068</v>
      </c>
      <c r="C735">
        <v>59</v>
      </c>
      <c r="D735" t="s">
        <v>1017</v>
      </c>
      <c r="E735" s="1">
        <v>45184</v>
      </c>
      <c r="F735">
        <v>24</v>
      </c>
      <c r="G735">
        <v>4.8</v>
      </c>
      <c r="H735">
        <v>2024</v>
      </c>
      <c r="I735" t="s">
        <v>411</v>
      </c>
      <c r="J735" t="s">
        <v>1034</v>
      </c>
      <c r="K735">
        <v>5</v>
      </c>
    </row>
    <row r="736" spans="1:11" x14ac:dyDescent="0.3">
      <c r="A736" t="s">
        <v>1780</v>
      </c>
      <c r="B736" t="s">
        <v>1036</v>
      </c>
      <c r="C736">
        <v>126</v>
      </c>
      <c r="D736" t="s">
        <v>1024</v>
      </c>
      <c r="E736" s="1">
        <v>45185</v>
      </c>
      <c r="F736">
        <v>52</v>
      </c>
      <c r="G736">
        <v>1.1000000000000001</v>
      </c>
      <c r="H736">
        <v>2024</v>
      </c>
      <c r="I736" t="s">
        <v>1062</v>
      </c>
      <c r="J736" t="s">
        <v>1031</v>
      </c>
      <c r="K736">
        <v>1</v>
      </c>
    </row>
    <row r="737" spans="1:11" x14ac:dyDescent="0.3">
      <c r="A737" t="s">
        <v>1781</v>
      </c>
      <c r="B737" t="s">
        <v>1023</v>
      </c>
      <c r="C737">
        <v>43</v>
      </c>
      <c r="D737" t="s">
        <v>1017</v>
      </c>
      <c r="E737" s="1">
        <v>45186</v>
      </c>
      <c r="F737">
        <v>168</v>
      </c>
      <c r="G737">
        <v>4</v>
      </c>
      <c r="H737">
        <v>2024</v>
      </c>
      <c r="I737" t="s">
        <v>1018</v>
      </c>
      <c r="J737" t="s">
        <v>1034</v>
      </c>
      <c r="K737">
        <v>4</v>
      </c>
    </row>
    <row r="738" spans="1:11" x14ac:dyDescent="0.3">
      <c r="A738" t="s">
        <v>1782</v>
      </c>
      <c r="B738" t="s">
        <v>1078</v>
      </c>
      <c r="C738">
        <v>79</v>
      </c>
      <c r="D738" t="s">
        <v>1042</v>
      </c>
      <c r="E738" s="1">
        <v>45188</v>
      </c>
      <c r="F738">
        <v>125</v>
      </c>
      <c r="G738">
        <v>4.8</v>
      </c>
      <c r="H738">
        <v>2024</v>
      </c>
      <c r="I738" t="s">
        <v>1033</v>
      </c>
      <c r="J738" t="s">
        <v>1019</v>
      </c>
      <c r="K738">
        <v>5</v>
      </c>
    </row>
    <row r="739" spans="1:11" x14ac:dyDescent="0.3">
      <c r="A739" t="s">
        <v>1783</v>
      </c>
      <c r="B739" t="s">
        <v>1016</v>
      </c>
      <c r="C739">
        <v>71</v>
      </c>
      <c r="D739" t="s">
        <v>1017</v>
      </c>
      <c r="E739" s="1">
        <v>45189</v>
      </c>
      <c r="F739">
        <v>50</v>
      </c>
      <c r="G739">
        <v>4.2</v>
      </c>
      <c r="H739">
        <v>2024</v>
      </c>
      <c r="I739" t="s">
        <v>1048</v>
      </c>
      <c r="J739" t="s">
        <v>1019</v>
      </c>
      <c r="K739">
        <v>4</v>
      </c>
    </row>
    <row r="740" spans="1:11" x14ac:dyDescent="0.3">
      <c r="A740" t="s">
        <v>1784</v>
      </c>
      <c r="B740" t="s">
        <v>1055</v>
      </c>
      <c r="C740">
        <v>94</v>
      </c>
      <c r="D740" t="s">
        <v>1024</v>
      </c>
      <c r="E740" s="1">
        <v>45190</v>
      </c>
      <c r="F740">
        <v>220</v>
      </c>
      <c r="G740">
        <v>4.5999999999999996</v>
      </c>
      <c r="H740">
        <v>2024</v>
      </c>
      <c r="I740" t="s">
        <v>1052</v>
      </c>
      <c r="J740" t="s">
        <v>1019</v>
      </c>
      <c r="K740">
        <v>5</v>
      </c>
    </row>
    <row r="741" spans="1:11" x14ac:dyDescent="0.3">
      <c r="A741" t="s">
        <v>1785</v>
      </c>
      <c r="B741" t="s">
        <v>1041</v>
      </c>
      <c r="C741">
        <v>108</v>
      </c>
      <c r="D741" t="s">
        <v>1017</v>
      </c>
      <c r="E741" s="1">
        <v>45190</v>
      </c>
      <c r="F741">
        <v>180</v>
      </c>
      <c r="G741">
        <v>4</v>
      </c>
      <c r="H741">
        <v>2024</v>
      </c>
      <c r="I741" t="s">
        <v>1052</v>
      </c>
      <c r="J741" t="s">
        <v>1019</v>
      </c>
      <c r="K741">
        <v>4</v>
      </c>
    </row>
    <row r="742" spans="1:11" x14ac:dyDescent="0.3">
      <c r="A742" t="s">
        <v>1786</v>
      </c>
      <c r="B742" t="s">
        <v>1023</v>
      </c>
      <c r="C742">
        <v>76</v>
      </c>
      <c r="D742" t="s">
        <v>1024</v>
      </c>
      <c r="E742" s="1">
        <v>45190</v>
      </c>
      <c r="F742">
        <v>110</v>
      </c>
      <c r="G742">
        <v>3.9</v>
      </c>
      <c r="H742">
        <v>2024</v>
      </c>
      <c r="I742" t="s">
        <v>1052</v>
      </c>
      <c r="J742" t="s">
        <v>1019</v>
      </c>
      <c r="K742">
        <v>4</v>
      </c>
    </row>
    <row r="743" spans="1:11" x14ac:dyDescent="0.3">
      <c r="A743" t="s">
        <v>1787</v>
      </c>
      <c r="B743" t="s">
        <v>1068</v>
      </c>
      <c r="C743">
        <v>136</v>
      </c>
      <c r="D743" t="s">
        <v>1017</v>
      </c>
      <c r="E743" s="1">
        <v>45190</v>
      </c>
      <c r="F743">
        <v>36</v>
      </c>
      <c r="G743">
        <v>2.8</v>
      </c>
      <c r="H743">
        <v>2024</v>
      </c>
      <c r="I743" t="s">
        <v>1052</v>
      </c>
      <c r="J743" t="s">
        <v>1031</v>
      </c>
      <c r="K743">
        <v>3</v>
      </c>
    </row>
    <row r="744" spans="1:11" x14ac:dyDescent="0.3">
      <c r="A744" t="s">
        <v>1788</v>
      </c>
      <c r="B744" t="s">
        <v>1021</v>
      </c>
      <c r="C744">
        <v>129</v>
      </c>
      <c r="D744" t="s">
        <v>1029</v>
      </c>
      <c r="E744" s="1">
        <v>45191</v>
      </c>
      <c r="F744">
        <v>93</v>
      </c>
      <c r="G744">
        <v>4.7</v>
      </c>
      <c r="H744">
        <v>2024</v>
      </c>
      <c r="I744" t="s">
        <v>411</v>
      </c>
      <c r="J744" t="s">
        <v>1031</v>
      </c>
      <c r="K744">
        <v>5</v>
      </c>
    </row>
    <row r="745" spans="1:11" x14ac:dyDescent="0.3">
      <c r="A745" t="s">
        <v>1789</v>
      </c>
      <c r="B745" t="s">
        <v>1041</v>
      </c>
      <c r="C745">
        <v>120</v>
      </c>
      <c r="D745" t="s">
        <v>1017</v>
      </c>
      <c r="E745" s="1">
        <v>45191</v>
      </c>
      <c r="F745">
        <v>38</v>
      </c>
      <c r="G745">
        <v>4.2</v>
      </c>
      <c r="H745">
        <v>2024</v>
      </c>
      <c r="I745" t="s">
        <v>411</v>
      </c>
      <c r="J745" t="s">
        <v>1019</v>
      </c>
      <c r="K745">
        <v>4</v>
      </c>
    </row>
    <row r="746" spans="1:11" x14ac:dyDescent="0.3">
      <c r="A746" t="s">
        <v>1790</v>
      </c>
      <c r="B746" t="s">
        <v>1023</v>
      </c>
      <c r="C746">
        <v>108</v>
      </c>
      <c r="D746" t="s">
        <v>1029</v>
      </c>
      <c r="E746" s="1">
        <v>45192</v>
      </c>
      <c r="F746">
        <v>66</v>
      </c>
      <c r="G746">
        <v>3.9</v>
      </c>
      <c r="H746">
        <v>2024</v>
      </c>
      <c r="I746" t="s">
        <v>1062</v>
      </c>
      <c r="J746" t="s">
        <v>1019</v>
      </c>
      <c r="K746">
        <v>4</v>
      </c>
    </row>
    <row r="747" spans="1:11" x14ac:dyDescent="0.3">
      <c r="A747" t="s">
        <v>1791</v>
      </c>
      <c r="B747" t="s">
        <v>1036</v>
      </c>
      <c r="C747">
        <v>79</v>
      </c>
      <c r="D747" t="s">
        <v>1017</v>
      </c>
      <c r="E747" s="1">
        <v>45192</v>
      </c>
      <c r="F747">
        <v>215</v>
      </c>
      <c r="G747">
        <v>4.5999999999999996</v>
      </c>
      <c r="H747">
        <v>2024</v>
      </c>
      <c r="I747" t="s">
        <v>1062</v>
      </c>
      <c r="J747" t="s">
        <v>1019</v>
      </c>
      <c r="K747">
        <v>5</v>
      </c>
    </row>
    <row r="748" spans="1:11" x14ac:dyDescent="0.3">
      <c r="A748" t="s">
        <v>1792</v>
      </c>
      <c r="B748" t="s">
        <v>1036</v>
      </c>
      <c r="C748">
        <v>45</v>
      </c>
      <c r="D748" t="s">
        <v>1029</v>
      </c>
      <c r="E748" s="1">
        <v>45192</v>
      </c>
      <c r="F748">
        <v>92</v>
      </c>
      <c r="G748">
        <v>4.3</v>
      </c>
      <c r="H748">
        <v>2024</v>
      </c>
      <c r="I748" t="s">
        <v>1062</v>
      </c>
      <c r="J748" t="s">
        <v>1034</v>
      </c>
      <c r="K748">
        <v>4</v>
      </c>
    </row>
    <row r="749" spans="1:11" x14ac:dyDescent="0.3">
      <c r="A749" t="s">
        <v>1793</v>
      </c>
      <c r="B749" t="s">
        <v>1028</v>
      </c>
      <c r="C749">
        <v>96</v>
      </c>
      <c r="D749" t="s">
        <v>1017</v>
      </c>
      <c r="E749" s="1">
        <v>45192</v>
      </c>
      <c r="F749">
        <v>80</v>
      </c>
      <c r="G749">
        <v>3.6</v>
      </c>
      <c r="H749">
        <v>2024</v>
      </c>
      <c r="I749" t="s">
        <v>1062</v>
      </c>
      <c r="J749" t="s">
        <v>1019</v>
      </c>
      <c r="K749">
        <v>4</v>
      </c>
    </row>
    <row r="750" spans="1:11" x14ac:dyDescent="0.3">
      <c r="A750" t="s">
        <v>1794</v>
      </c>
      <c r="B750" t="s">
        <v>1028</v>
      </c>
      <c r="C750">
        <v>81</v>
      </c>
      <c r="D750" t="s">
        <v>1017</v>
      </c>
      <c r="E750" s="1">
        <v>45193</v>
      </c>
      <c r="F750">
        <v>123</v>
      </c>
      <c r="G750">
        <v>4.9000000000000004</v>
      </c>
      <c r="H750">
        <v>2024</v>
      </c>
      <c r="I750" t="s">
        <v>1018</v>
      </c>
      <c r="J750" t="s">
        <v>1019</v>
      </c>
      <c r="K750">
        <v>5</v>
      </c>
    </row>
    <row r="751" spans="1:11" x14ac:dyDescent="0.3">
      <c r="A751" t="s">
        <v>1795</v>
      </c>
      <c r="B751" t="s">
        <v>1068</v>
      </c>
      <c r="C751">
        <v>95</v>
      </c>
      <c r="D751" t="s">
        <v>1038</v>
      </c>
      <c r="E751" s="1">
        <v>45193</v>
      </c>
      <c r="F751">
        <v>23</v>
      </c>
      <c r="G751">
        <v>2.4</v>
      </c>
      <c r="H751">
        <v>2024</v>
      </c>
      <c r="I751" t="s">
        <v>1018</v>
      </c>
      <c r="J751" t="s">
        <v>1019</v>
      </c>
      <c r="K751">
        <v>2</v>
      </c>
    </row>
    <row r="752" spans="1:11" x14ac:dyDescent="0.3">
      <c r="A752" t="s">
        <v>1796</v>
      </c>
      <c r="B752" t="s">
        <v>1065</v>
      </c>
      <c r="C752">
        <v>159</v>
      </c>
      <c r="D752" t="s">
        <v>1024</v>
      </c>
      <c r="E752" s="1">
        <v>45193</v>
      </c>
      <c r="F752">
        <v>63</v>
      </c>
      <c r="G752">
        <v>4.2</v>
      </c>
      <c r="H752">
        <v>2024</v>
      </c>
      <c r="I752" t="s">
        <v>1018</v>
      </c>
      <c r="J752" t="s">
        <v>1031</v>
      </c>
      <c r="K752">
        <v>4</v>
      </c>
    </row>
    <row r="753" spans="1:11" x14ac:dyDescent="0.3">
      <c r="A753" t="s">
        <v>1797</v>
      </c>
      <c r="B753" t="s">
        <v>1098</v>
      </c>
      <c r="C753">
        <v>109</v>
      </c>
      <c r="D753" t="s">
        <v>1042</v>
      </c>
      <c r="E753" s="1">
        <v>45193</v>
      </c>
      <c r="F753">
        <v>52</v>
      </c>
      <c r="G753">
        <v>3.9</v>
      </c>
      <c r="H753">
        <v>2024</v>
      </c>
      <c r="I753" t="s">
        <v>1018</v>
      </c>
      <c r="J753" t="s">
        <v>1019</v>
      </c>
      <c r="K753">
        <v>4</v>
      </c>
    </row>
    <row r="754" spans="1:11" x14ac:dyDescent="0.3">
      <c r="A754" t="s">
        <v>1798</v>
      </c>
      <c r="B754" t="s">
        <v>1036</v>
      </c>
      <c r="C754">
        <v>107</v>
      </c>
      <c r="D754" t="s">
        <v>1042</v>
      </c>
      <c r="E754" s="1">
        <v>45193</v>
      </c>
      <c r="F754">
        <v>60</v>
      </c>
      <c r="G754">
        <v>4.2</v>
      </c>
      <c r="H754">
        <v>2024</v>
      </c>
      <c r="I754" t="s">
        <v>1018</v>
      </c>
      <c r="J754" t="s">
        <v>1019</v>
      </c>
      <c r="K754">
        <v>4</v>
      </c>
    </row>
    <row r="755" spans="1:11" x14ac:dyDescent="0.3">
      <c r="A755" t="s">
        <v>1799</v>
      </c>
      <c r="B755" t="s">
        <v>1028</v>
      </c>
      <c r="C755">
        <v>67</v>
      </c>
      <c r="D755" t="s">
        <v>1029</v>
      </c>
      <c r="E755" s="1">
        <v>45194</v>
      </c>
      <c r="F755">
        <v>87</v>
      </c>
      <c r="G755">
        <v>3.9</v>
      </c>
      <c r="H755">
        <v>2024</v>
      </c>
      <c r="I755" t="s">
        <v>1030</v>
      </c>
      <c r="J755" t="s">
        <v>1019</v>
      </c>
      <c r="K755">
        <v>4</v>
      </c>
    </row>
    <row r="756" spans="1:11" x14ac:dyDescent="0.3">
      <c r="A756" t="s">
        <v>1800</v>
      </c>
      <c r="B756" t="s">
        <v>1047</v>
      </c>
      <c r="C756">
        <v>96</v>
      </c>
      <c r="D756" t="s">
        <v>1017</v>
      </c>
      <c r="E756" s="1">
        <v>45195</v>
      </c>
      <c r="F756">
        <v>42</v>
      </c>
      <c r="G756">
        <v>4.5</v>
      </c>
      <c r="H756">
        <v>2024</v>
      </c>
      <c r="I756" t="s">
        <v>1033</v>
      </c>
      <c r="J756" t="s">
        <v>1019</v>
      </c>
      <c r="K756">
        <v>5</v>
      </c>
    </row>
    <row r="757" spans="1:11" x14ac:dyDescent="0.3">
      <c r="A757" t="s">
        <v>1801</v>
      </c>
      <c r="B757" t="s">
        <v>1059</v>
      </c>
      <c r="C757">
        <v>142</v>
      </c>
      <c r="D757" t="s">
        <v>1024</v>
      </c>
      <c r="E757" s="1">
        <v>45196</v>
      </c>
      <c r="F757">
        <v>37</v>
      </c>
      <c r="G757">
        <v>3.8</v>
      </c>
      <c r="H757">
        <v>2024</v>
      </c>
      <c r="I757" t="s">
        <v>1048</v>
      </c>
      <c r="J757" t="s">
        <v>1031</v>
      </c>
      <c r="K757">
        <v>4</v>
      </c>
    </row>
    <row r="758" spans="1:11" x14ac:dyDescent="0.3">
      <c r="A758" t="s">
        <v>1802</v>
      </c>
      <c r="B758" t="s">
        <v>1059</v>
      </c>
      <c r="C758">
        <v>71</v>
      </c>
      <c r="D758" t="s">
        <v>1038</v>
      </c>
      <c r="E758" s="1">
        <v>45196</v>
      </c>
      <c r="F758">
        <v>135</v>
      </c>
      <c r="G758">
        <v>3.9</v>
      </c>
      <c r="H758">
        <v>2024</v>
      </c>
      <c r="I758" t="s">
        <v>1048</v>
      </c>
      <c r="J758" t="s">
        <v>1019</v>
      </c>
      <c r="K758">
        <v>4</v>
      </c>
    </row>
    <row r="759" spans="1:11" x14ac:dyDescent="0.3">
      <c r="A759" t="s">
        <v>1803</v>
      </c>
      <c r="B759" t="s">
        <v>1047</v>
      </c>
      <c r="C759">
        <v>152</v>
      </c>
      <c r="D759" t="s">
        <v>1038</v>
      </c>
      <c r="E759" s="1">
        <v>45196</v>
      </c>
      <c r="F759">
        <v>88</v>
      </c>
      <c r="G759">
        <v>4.7</v>
      </c>
      <c r="H759">
        <v>2024</v>
      </c>
      <c r="I759" t="s">
        <v>1048</v>
      </c>
      <c r="J759" t="s">
        <v>1031</v>
      </c>
      <c r="K759">
        <v>5</v>
      </c>
    </row>
    <row r="760" spans="1:11" x14ac:dyDescent="0.3">
      <c r="A760" t="s">
        <v>1804</v>
      </c>
      <c r="B760" t="s">
        <v>1078</v>
      </c>
      <c r="C760">
        <v>108</v>
      </c>
      <c r="D760" t="s">
        <v>1024</v>
      </c>
      <c r="E760" s="1">
        <v>45196</v>
      </c>
      <c r="F760">
        <v>190</v>
      </c>
      <c r="G760">
        <v>3.2</v>
      </c>
      <c r="H760">
        <v>2024</v>
      </c>
      <c r="I760" t="s">
        <v>1048</v>
      </c>
      <c r="J760" t="s">
        <v>1019</v>
      </c>
      <c r="K760">
        <v>3</v>
      </c>
    </row>
    <row r="761" spans="1:11" x14ac:dyDescent="0.3">
      <c r="A761" t="s">
        <v>1805</v>
      </c>
      <c r="B761" t="s">
        <v>1078</v>
      </c>
      <c r="C761">
        <v>156</v>
      </c>
      <c r="D761" t="s">
        <v>1038</v>
      </c>
      <c r="E761" s="1">
        <v>45196</v>
      </c>
      <c r="F761">
        <v>81</v>
      </c>
      <c r="G761">
        <v>5</v>
      </c>
      <c r="H761">
        <v>2024</v>
      </c>
      <c r="I761" t="s">
        <v>1048</v>
      </c>
      <c r="J761" t="s">
        <v>1031</v>
      </c>
      <c r="K761">
        <v>5</v>
      </c>
    </row>
    <row r="762" spans="1:11" x14ac:dyDescent="0.3">
      <c r="A762" t="s">
        <v>1806</v>
      </c>
      <c r="B762" t="s">
        <v>1059</v>
      </c>
      <c r="C762">
        <v>126</v>
      </c>
      <c r="D762" t="s">
        <v>1024</v>
      </c>
      <c r="E762" s="1">
        <v>45196</v>
      </c>
      <c r="F762">
        <v>44</v>
      </c>
      <c r="G762">
        <v>3.7</v>
      </c>
      <c r="H762">
        <v>2024</v>
      </c>
      <c r="I762" t="s">
        <v>1048</v>
      </c>
      <c r="J762" t="s">
        <v>1031</v>
      </c>
      <c r="K762">
        <v>4</v>
      </c>
    </row>
    <row r="763" spans="1:11" x14ac:dyDescent="0.3">
      <c r="A763" t="s">
        <v>1807</v>
      </c>
      <c r="B763" t="s">
        <v>1023</v>
      </c>
      <c r="C763">
        <v>135</v>
      </c>
      <c r="D763" t="s">
        <v>1038</v>
      </c>
      <c r="E763" s="1">
        <v>45197</v>
      </c>
      <c r="F763">
        <v>92</v>
      </c>
      <c r="G763">
        <v>3.9</v>
      </c>
      <c r="H763">
        <v>2024</v>
      </c>
      <c r="I763" t="s">
        <v>1052</v>
      </c>
      <c r="J763" t="s">
        <v>1031</v>
      </c>
      <c r="K763">
        <v>4</v>
      </c>
    </row>
    <row r="764" spans="1:11" x14ac:dyDescent="0.3">
      <c r="A764" t="s">
        <v>1808</v>
      </c>
      <c r="B764" t="s">
        <v>1059</v>
      </c>
      <c r="C764">
        <v>110</v>
      </c>
      <c r="D764" t="s">
        <v>1017</v>
      </c>
      <c r="E764" s="1">
        <v>45198</v>
      </c>
      <c r="F764">
        <v>90</v>
      </c>
      <c r="G764">
        <v>3.1</v>
      </c>
      <c r="H764">
        <v>2024</v>
      </c>
      <c r="I764" t="s">
        <v>411</v>
      </c>
      <c r="J764" t="s">
        <v>1019</v>
      </c>
      <c r="K764">
        <v>3</v>
      </c>
    </row>
    <row r="765" spans="1:11" x14ac:dyDescent="0.3">
      <c r="A765" t="s">
        <v>1809</v>
      </c>
      <c r="B765" t="s">
        <v>1065</v>
      </c>
      <c r="C765">
        <v>64</v>
      </c>
      <c r="D765" t="s">
        <v>1038</v>
      </c>
      <c r="E765" s="1">
        <v>45198</v>
      </c>
      <c r="F765">
        <v>112</v>
      </c>
      <c r="G765">
        <v>2</v>
      </c>
      <c r="H765">
        <v>2024</v>
      </c>
      <c r="I765" t="s">
        <v>411</v>
      </c>
      <c r="J765" t="s">
        <v>1019</v>
      </c>
      <c r="K765">
        <v>2</v>
      </c>
    </row>
    <row r="766" spans="1:11" x14ac:dyDescent="0.3">
      <c r="A766" t="s">
        <v>1810</v>
      </c>
      <c r="B766" t="s">
        <v>1055</v>
      </c>
      <c r="C766">
        <v>127</v>
      </c>
      <c r="D766" t="s">
        <v>1024</v>
      </c>
      <c r="E766" s="1">
        <v>45198</v>
      </c>
      <c r="F766">
        <v>112</v>
      </c>
      <c r="G766">
        <v>4.5999999999999996</v>
      </c>
      <c r="H766">
        <v>2024</v>
      </c>
      <c r="I766" t="s">
        <v>411</v>
      </c>
      <c r="J766" t="s">
        <v>1031</v>
      </c>
      <c r="K766">
        <v>5</v>
      </c>
    </row>
    <row r="767" spans="1:11" x14ac:dyDescent="0.3">
      <c r="A767" t="s">
        <v>1811</v>
      </c>
      <c r="B767" t="s">
        <v>1098</v>
      </c>
      <c r="C767">
        <v>124</v>
      </c>
      <c r="D767" t="s">
        <v>1029</v>
      </c>
      <c r="E767" s="1">
        <v>45198</v>
      </c>
      <c r="F767">
        <v>48</v>
      </c>
      <c r="G767">
        <v>3.7</v>
      </c>
      <c r="H767">
        <v>2024</v>
      </c>
      <c r="I767" t="s">
        <v>411</v>
      </c>
      <c r="J767" t="s">
        <v>1031</v>
      </c>
      <c r="K767">
        <v>4</v>
      </c>
    </row>
    <row r="768" spans="1:11" x14ac:dyDescent="0.3">
      <c r="A768" t="s">
        <v>1812</v>
      </c>
      <c r="B768" t="s">
        <v>1065</v>
      </c>
      <c r="C768">
        <v>125</v>
      </c>
      <c r="D768" t="s">
        <v>1024</v>
      </c>
      <c r="E768" s="1">
        <v>45198</v>
      </c>
      <c r="F768">
        <v>116</v>
      </c>
      <c r="G768">
        <v>4.4000000000000004</v>
      </c>
      <c r="H768">
        <v>2024</v>
      </c>
      <c r="I768" t="s">
        <v>411</v>
      </c>
      <c r="J768" t="s">
        <v>1031</v>
      </c>
      <c r="K768">
        <v>4</v>
      </c>
    </row>
    <row r="769" spans="1:11" x14ac:dyDescent="0.3">
      <c r="A769" t="s">
        <v>1813</v>
      </c>
      <c r="B769" t="s">
        <v>1021</v>
      </c>
      <c r="C769">
        <v>70</v>
      </c>
      <c r="D769" t="s">
        <v>1024</v>
      </c>
      <c r="E769" s="1">
        <v>45198</v>
      </c>
      <c r="F769">
        <v>29</v>
      </c>
      <c r="G769">
        <v>2.1</v>
      </c>
      <c r="H769">
        <v>2024</v>
      </c>
      <c r="I769" t="s">
        <v>411</v>
      </c>
      <c r="J769" t="s">
        <v>1019</v>
      </c>
      <c r="K769">
        <v>2</v>
      </c>
    </row>
    <row r="770" spans="1:11" x14ac:dyDescent="0.3">
      <c r="A770" t="s">
        <v>1814</v>
      </c>
      <c r="B770" t="s">
        <v>1055</v>
      </c>
      <c r="C770">
        <v>93</v>
      </c>
      <c r="D770" t="s">
        <v>1038</v>
      </c>
      <c r="E770" s="1">
        <v>45199</v>
      </c>
      <c r="F770">
        <v>170</v>
      </c>
      <c r="G770">
        <v>2.2000000000000002</v>
      </c>
      <c r="H770">
        <v>2024</v>
      </c>
      <c r="I770" t="s">
        <v>1062</v>
      </c>
      <c r="J770" t="s">
        <v>1019</v>
      </c>
      <c r="K770">
        <v>2</v>
      </c>
    </row>
    <row r="771" spans="1:11" x14ac:dyDescent="0.3">
      <c r="A771" t="s">
        <v>1815</v>
      </c>
      <c r="B771" t="s">
        <v>1021</v>
      </c>
      <c r="C771">
        <v>120</v>
      </c>
      <c r="D771" t="s">
        <v>1042</v>
      </c>
      <c r="E771" s="1">
        <v>45199</v>
      </c>
      <c r="F771">
        <v>68</v>
      </c>
      <c r="G771">
        <v>3.4</v>
      </c>
      <c r="H771">
        <v>2024</v>
      </c>
      <c r="I771" t="s">
        <v>1062</v>
      </c>
      <c r="J771" t="s">
        <v>1019</v>
      </c>
      <c r="K771">
        <v>3</v>
      </c>
    </row>
    <row r="772" spans="1:11" x14ac:dyDescent="0.3">
      <c r="A772" t="s">
        <v>1816</v>
      </c>
      <c r="B772" t="s">
        <v>1028</v>
      </c>
      <c r="C772">
        <v>96</v>
      </c>
      <c r="D772" t="s">
        <v>1017</v>
      </c>
      <c r="E772" s="1">
        <v>45199</v>
      </c>
      <c r="F772">
        <v>195</v>
      </c>
      <c r="G772">
        <v>2.7</v>
      </c>
      <c r="H772">
        <v>2024</v>
      </c>
      <c r="I772" t="s">
        <v>1062</v>
      </c>
      <c r="J772" t="s">
        <v>1019</v>
      </c>
      <c r="K772">
        <v>3</v>
      </c>
    </row>
    <row r="773" spans="1:11" x14ac:dyDescent="0.3">
      <c r="A773" t="s">
        <v>1817</v>
      </c>
      <c r="B773" t="s">
        <v>1026</v>
      </c>
      <c r="C773">
        <v>67</v>
      </c>
      <c r="D773" t="s">
        <v>1017</v>
      </c>
      <c r="E773" s="1">
        <v>45199</v>
      </c>
      <c r="F773">
        <v>96</v>
      </c>
      <c r="G773">
        <v>3.7</v>
      </c>
      <c r="H773">
        <v>2024</v>
      </c>
      <c r="I773" t="s">
        <v>1062</v>
      </c>
      <c r="J773" t="s">
        <v>1019</v>
      </c>
      <c r="K773">
        <v>4</v>
      </c>
    </row>
    <row r="774" spans="1:11" x14ac:dyDescent="0.3">
      <c r="A774" t="s">
        <v>1818</v>
      </c>
      <c r="B774" t="s">
        <v>1065</v>
      </c>
      <c r="C774">
        <v>119</v>
      </c>
      <c r="D774" t="s">
        <v>1017</v>
      </c>
      <c r="E774" s="1">
        <v>45199</v>
      </c>
      <c r="F774">
        <v>96</v>
      </c>
      <c r="G774">
        <v>3.1</v>
      </c>
      <c r="H774">
        <v>2024</v>
      </c>
      <c r="I774" t="s">
        <v>1062</v>
      </c>
      <c r="J774" t="s">
        <v>1019</v>
      </c>
      <c r="K774">
        <v>3</v>
      </c>
    </row>
    <row r="775" spans="1:11" x14ac:dyDescent="0.3">
      <c r="A775" t="s">
        <v>1819</v>
      </c>
      <c r="B775" t="s">
        <v>1098</v>
      </c>
      <c r="C775">
        <v>61</v>
      </c>
      <c r="D775" t="s">
        <v>1029</v>
      </c>
      <c r="E775" s="1">
        <v>45199</v>
      </c>
      <c r="F775">
        <v>117</v>
      </c>
      <c r="G775">
        <v>4.0999999999999996</v>
      </c>
      <c r="H775">
        <v>2024</v>
      </c>
      <c r="I775" t="s">
        <v>1062</v>
      </c>
      <c r="J775" t="s">
        <v>1019</v>
      </c>
      <c r="K775">
        <v>4</v>
      </c>
    </row>
    <row r="776" spans="1:11" x14ac:dyDescent="0.3">
      <c r="A776" t="s">
        <v>1820</v>
      </c>
      <c r="B776" t="s">
        <v>1028</v>
      </c>
      <c r="C776">
        <v>29</v>
      </c>
      <c r="D776" t="s">
        <v>1038</v>
      </c>
      <c r="E776" s="1">
        <v>45199</v>
      </c>
      <c r="F776">
        <v>80</v>
      </c>
      <c r="G776">
        <v>4.8</v>
      </c>
      <c r="H776">
        <v>2024</v>
      </c>
      <c r="I776" t="s">
        <v>1062</v>
      </c>
      <c r="J776" t="s">
        <v>1056</v>
      </c>
      <c r="K776">
        <v>5</v>
      </c>
    </row>
    <row r="777" spans="1:11" x14ac:dyDescent="0.3">
      <c r="A777" t="s">
        <v>1821</v>
      </c>
      <c r="B777" t="s">
        <v>1047</v>
      </c>
      <c r="C777">
        <v>134</v>
      </c>
      <c r="D777" t="s">
        <v>1042</v>
      </c>
      <c r="E777" s="1">
        <v>45199</v>
      </c>
      <c r="F777">
        <v>117</v>
      </c>
      <c r="G777">
        <v>4</v>
      </c>
      <c r="H777">
        <v>2024</v>
      </c>
      <c r="I777" t="s">
        <v>1062</v>
      </c>
      <c r="J777" t="s">
        <v>1031</v>
      </c>
      <c r="K777">
        <v>4</v>
      </c>
    </row>
    <row r="778" spans="1:11" x14ac:dyDescent="0.3">
      <c r="A778" t="s">
        <v>1822</v>
      </c>
      <c r="B778" t="s">
        <v>1059</v>
      </c>
      <c r="C778">
        <v>113</v>
      </c>
      <c r="D778" t="s">
        <v>1017</v>
      </c>
      <c r="E778" s="1">
        <v>45200</v>
      </c>
      <c r="F778">
        <v>40</v>
      </c>
      <c r="G778">
        <v>3</v>
      </c>
      <c r="H778">
        <v>2024</v>
      </c>
      <c r="I778" t="s">
        <v>1018</v>
      </c>
      <c r="J778" t="s">
        <v>1019</v>
      </c>
      <c r="K778">
        <v>3</v>
      </c>
    </row>
    <row r="779" spans="1:11" x14ac:dyDescent="0.3">
      <c r="A779" t="s">
        <v>1823</v>
      </c>
      <c r="B779" t="s">
        <v>1078</v>
      </c>
      <c r="C779">
        <v>12</v>
      </c>
      <c r="D779" t="s">
        <v>1042</v>
      </c>
      <c r="E779" s="1">
        <v>45200</v>
      </c>
      <c r="F779">
        <v>117</v>
      </c>
      <c r="G779">
        <v>4.8</v>
      </c>
      <c r="H779">
        <v>2024</v>
      </c>
      <c r="I779" t="s">
        <v>1018</v>
      </c>
      <c r="J779" t="s">
        <v>1056</v>
      </c>
      <c r="K779">
        <v>5</v>
      </c>
    </row>
    <row r="780" spans="1:11" x14ac:dyDescent="0.3">
      <c r="A780" t="s">
        <v>1824</v>
      </c>
      <c r="B780" t="s">
        <v>1045</v>
      </c>
      <c r="C780">
        <v>78</v>
      </c>
      <c r="D780" t="s">
        <v>1038</v>
      </c>
      <c r="E780" s="1">
        <v>45200</v>
      </c>
      <c r="F780">
        <v>135</v>
      </c>
      <c r="G780">
        <v>4.0999999999999996</v>
      </c>
      <c r="H780">
        <v>2024</v>
      </c>
      <c r="I780" t="s">
        <v>1018</v>
      </c>
      <c r="J780" t="s">
        <v>1019</v>
      </c>
      <c r="K780">
        <v>4</v>
      </c>
    </row>
    <row r="781" spans="1:11" x14ac:dyDescent="0.3">
      <c r="A781" t="s">
        <v>1825</v>
      </c>
      <c r="B781" t="s">
        <v>1065</v>
      </c>
      <c r="C781">
        <v>82</v>
      </c>
      <c r="D781" t="s">
        <v>1024</v>
      </c>
      <c r="E781" s="1">
        <v>45200</v>
      </c>
      <c r="F781">
        <v>99</v>
      </c>
      <c r="G781">
        <v>4.2</v>
      </c>
      <c r="H781">
        <v>2024</v>
      </c>
      <c r="I781" t="s">
        <v>1018</v>
      </c>
      <c r="J781" t="s">
        <v>1019</v>
      </c>
      <c r="K781">
        <v>4</v>
      </c>
    </row>
    <row r="782" spans="1:11" x14ac:dyDescent="0.3">
      <c r="A782" t="s">
        <v>1826</v>
      </c>
      <c r="B782" t="s">
        <v>1041</v>
      </c>
      <c r="C782">
        <v>149</v>
      </c>
      <c r="D782" t="s">
        <v>1029</v>
      </c>
      <c r="E782" s="1">
        <v>45200</v>
      </c>
      <c r="F782">
        <v>130</v>
      </c>
      <c r="G782">
        <v>3.3</v>
      </c>
      <c r="H782">
        <v>2024</v>
      </c>
      <c r="I782" t="s">
        <v>1018</v>
      </c>
      <c r="J782" t="s">
        <v>1031</v>
      </c>
      <c r="K782">
        <v>3</v>
      </c>
    </row>
    <row r="783" spans="1:11" x14ac:dyDescent="0.3">
      <c r="A783" t="s">
        <v>1827</v>
      </c>
      <c r="B783" t="s">
        <v>1036</v>
      </c>
      <c r="C783">
        <v>56</v>
      </c>
      <c r="D783" t="s">
        <v>1042</v>
      </c>
      <c r="E783" s="1">
        <v>45200</v>
      </c>
      <c r="F783">
        <v>96</v>
      </c>
      <c r="G783">
        <v>4.7</v>
      </c>
      <c r="H783">
        <v>2024</v>
      </c>
      <c r="I783" t="s">
        <v>1018</v>
      </c>
      <c r="J783" t="s">
        <v>1034</v>
      </c>
      <c r="K783">
        <v>5</v>
      </c>
    </row>
    <row r="784" spans="1:11" x14ac:dyDescent="0.3">
      <c r="A784" t="s">
        <v>1828</v>
      </c>
      <c r="B784" t="s">
        <v>1028</v>
      </c>
      <c r="C784">
        <v>80</v>
      </c>
      <c r="D784" t="s">
        <v>1029</v>
      </c>
      <c r="E784" s="1">
        <v>45200</v>
      </c>
      <c r="F784">
        <v>128</v>
      </c>
      <c r="G784">
        <v>3.7</v>
      </c>
      <c r="H784">
        <v>2024</v>
      </c>
      <c r="I784" t="s">
        <v>1018</v>
      </c>
      <c r="J784" t="s">
        <v>1019</v>
      </c>
      <c r="K784">
        <v>4</v>
      </c>
    </row>
    <row r="785" spans="1:11" x14ac:dyDescent="0.3">
      <c r="A785" t="s">
        <v>1829</v>
      </c>
      <c r="B785" t="s">
        <v>1098</v>
      </c>
      <c r="C785">
        <v>131</v>
      </c>
      <c r="D785" t="s">
        <v>1017</v>
      </c>
      <c r="E785" s="1">
        <v>45200</v>
      </c>
      <c r="F785">
        <v>69</v>
      </c>
      <c r="G785">
        <v>4.7</v>
      </c>
      <c r="H785">
        <v>2024</v>
      </c>
      <c r="I785" t="s">
        <v>1018</v>
      </c>
      <c r="J785" t="s">
        <v>1031</v>
      </c>
      <c r="K785">
        <v>5</v>
      </c>
    </row>
    <row r="786" spans="1:11" x14ac:dyDescent="0.3">
      <c r="A786" t="s">
        <v>1830</v>
      </c>
      <c r="B786" t="s">
        <v>1098</v>
      </c>
      <c r="C786">
        <v>109</v>
      </c>
      <c r="D786" t="s">
        <v>1017</v>
      </c>
      <c r="E786" s="1">
        <v>45200</v>
      </c>
      <c r="F786">
        <v>44</v>
      </c>
      <c r="G786">
        <v>4.5999999999999996</v>
      </c>
      <c r="H786">
        <v>2024</v>
      </c>
      <c r="I786" t="s">
        <v>1018</v>
      </c>
      <c r="J786" t="s">
        <v>1019</v>
      </c>
      <c r="K786">
        <v>5</v>
      </c>
    </row>
    <row r="787" spans="1:11" x14ac:dyDescent="0.3">
      <c r="A787" t="s">
        <v>1831</v>
      </c>
      <c r="B787" t="s">
        <v>1036</v>
      </c>
      <c r="C787">
        <v>142</v>
      </c>
      <c r="D787" t="s">
        <v>1017</v>
      </c>
      <c r="E787" s="1">
        <v>45200</v>
      </c>
      <c r="F787">
        <v>44</v>
      </c>
      <c r="G787">
        <v>4.8</v>
      </c>
      <c r="H787">
        <v>2024</v>
      </c>
      <c r="I787" t="s">
        <v>1018</v>
      </c>
      <c r="J787" t="s">
        <v>1031</v>
      </c>
      <c r="K787">
        <v>5</v>
      </c>
    </row>
    <row r="788" spans="1:11" x14ac:dyDescent="0.3">
      <c r="A788" t="s">
        <v>1832</v>
      </c>
      <c r="B788" t="s">
        <v>1055</v>
      </c>
      <c r="C788">
        <v>114</v>
      </c>
      <c r="D788" t="s">
        <v>1042</v>
      </c>
      <c r="E788" s="1">
        <v>45201</v>
      </c>
      <c r="F788">
        <v>135</v>
      </c>
      <c r="G788">
        <v>2</v>
      </c>
      <c r="H788">
        <v>2024</v>
      </c>
      <c r="I788" t="s">
        <v>1030</v>
      </c>
      <c r="J788" t="s">
        <v>1019</v>
      </c>
      <c r="K788">
        <v>2</v>
      </c>
    </row>
    <row r="789" spans="1:11" x14ac:dyDescent="0.3">
      <c r="A789" t="s">
        <v>1833</v>
      </c>
      <c r="B789" t="s">
        <v>1026</v>
      </c>
      <c r="C789">
        <v>93</v>
      </c>
      <c r="D789" t="s">
        <v>1029</v>
      </c>
      <c r="E789" s="1">
        <v>45201</v>
      </c>
      <c r="F789">
        <v>45</v>
      </c>
      <c r="G789">
        <v>3.9</v>
      </c>
      <c r="H789">
        <v>2024</v>
      </c>
      <c r="I789" t="s">
        <v>1030</v>
      </c>
      <c r="J789" t="s">
        <v>1019</v>
      </c>
      <c r="K789">
        <v>4</v>
      </c>
    </row>
    <row r="790" spans="1:11" x14ac:dyDescent="0.3">
      <c r="A790" t="s">
        <v>1834</v>
      </c>
      <c r="B790" t="s">
        <v>1078</v>
      </c>
      <c r="C790">
        <v>43</v>
      </c>
      <c r="D790" t="s">
        <v>1029</v>
      </c>
      <c r="E790" s="1">
        <v>45201</v>
      </c>
      <c r="F790">
        <v>87</v>
      </c>
      <c r="G790">
        <v>3</v>
      </c>
      <c r="H790">
        <v>2024</v>
      </c>
      <c r="I790" t="s">
        <v>1030</v>
      </c>
      <c r="J790" t="s">
        <v>1034</v>
      </c>
      <c r="K790">
        <v>3</v>
      </c>
    </row>
    <row r="791" spans="1:11" x14ac:dyDescent="0.3">
      <c r="A791" t="s">
        <v>1835</v>
      </c>
      <c r="B791" t="s">
        <v>1047</v>
      </c>
      <c r="C791">
        <v>78</v>
      </c>
      <c r="D791" t="s">
        <v>1038</v>
      </c>
      <c r="E791" s="1">
        <v>45202</v>
      </c>
      <c r="F791">
        <v>84</v>
      </c>
      <c r="G791">
        <v>4.5999999999999996</v>
      </c>
      <c r="H791">
        <v>2024</v>
      </c>
      <c r="I791" t="s">
        <v>1033</v>
      </c>
      <c r="J791" t="s">
        <v>1019</v>
      </c>
      <c r="K791">
        <v>5</v>
      </c>
    </row>
    <row r="792" spans="1:11" x14ac:dyDescent="0.3">
      <c r="A792" t="s">
        <v>1836</v>
      </c>
      <c r="B792" t="s">
        <v>1055</v>
      </c>
      <c r="C792">
        <v>89</v>
      </c>
      <c r="D792" t="s">
        <v>1017</v>
      </c>
      <c r="E792" s="1">
        <v>45202</v>
      </c>
      <c r="F792">
        <v>81</v>
      </c>
      <c r="G792">
        <v>3.8</v>
      </c>
      <c r="H792">
        <v>2024</v>
      </c>
      <c r="I792" t="s">
        <v>1033</v>
      </c>
      <c r="J792" t="s">
        <v>1019</v>
      </c>
      <c r="K792">
        <v>4</v>
      </c>
    </row>
    <row r="793" spans="1:11" x14ac:dyDescent="0.3">
      <c r="A793" t="s">
        <v>1837</v>
      </c>
      <c r="B793" t="s">
        <v>1036</v>
      </c>
      <c r="C793">
        <v>82</v>
      </c>
      <c r="D793" t="s">
        <v>1024</v>
      </c>
      <c r="E793" s="1">
        <v>45202</v>
      </c>
      <c r="F793">
        <v>130</v>
      </c>
      <c r="G793">
        <v>4.4000000000000004</v>
      </c>
      <c r="H793">
        <v>2024</v>
      </c>
      <c r="I793" t="s">
        <v>1033</v>
      </c>
      <c r="J793" t="s">
        <v>1019</v>
      </c>
      <c r="K793">
        <v>4</v>
      </c>
    </row>
    <row r="794" spans="1:11" x14ac:dyDescent="0.3">
      <c r="A794" t="s">
        <v>1838</v>
      </c>
      <c r="B794" t="s">
        <v>1028</v>
      </c>
      <c r="C794">
        <v>86</v>
      </c>
      <c r="D794" t="s">
        <v>1017</v>
      </c>
      <c r="E794" s="1">
        <v>45203</v>
      </c>
      <c r="F794">
        <v>92</v>
      </c>
      <c r="G794">
        <v>2.4</v>
      </c>
      <c r="H794">
        <v>2024</v>
      </c>
      <c r="I794" t="s">
        <v>1048</v>
      </c>
      <c r="J794" t="s">
        <v>1019</v>
      </c>
      <c r="K794">
        <v>2</v>
      </c>
    </row>
    <row r="795" spans="1:11" x14ac:dyDescent="0.3">
      <c r="A795" t="s">
        <v>1839</v>
      </c>
      <c r="B795" t="s">
        <v>1068</v>
      </c>
      <c r="C795">
        <v>57</v>
      </c>
      <c r="D795" t="s">
        <v>1038</v>
      </c>
      <c r="E795" s="1">
        <v>45203</v>
      </c>
      <c r="F795">
        <v>48</v>
      </c>
      <c r="G795">
        <v>4.5</v>
      </c>
      <c r="H795">
        <v>2024</v>
      </c>
      <c r="I795" t="s">
        <v>1048</v>
      </c>
      <c r="J795" t="s">
        <v>1034</v>
      </c>
      <c r="K795">
        <v>5</v>
      </c>
    </row>
    <row r="796" spans="1:11" x14ac:dyDescent="0.3">
      <c r="A796" t="s">
        <v>1840</v>
      </c>
      <c r="B796" t="s">
        <v>1026</v>
      </c>
      <c r="C796">
        <v>103</v>
      </c>
      <c r="D796" t="s">
        <v>1042</v>
      </c>
      <c r="E796" s="1">
        <v>45203</v>
      </c>
      <c r="F796">
        <v>160</v>
      </c>
      <c r="G796">
        <v>4.5</v>
      </c>
      <c r="H796">
        <v>2024</v>
      </c>
      <c r="I796" t="s">
        <v>1048</v>
      </c>
      <c r="J796" t="s">
        <v>1019</v>
      </c>
      <c r="K796">
        <v>5</v>
      </c>
    </row>
    <row r="797" spans="1:11" x14ac:dyDescent="0.3">
      <c r="A797" t="s">
        <v>1841</v>
      </c>
      <c r="B797" t="s">
        <v>1045</v>
      </c>
      <c r="C797">
        <v>138</v>
      </c>
      <c r="D797" t="s">
        <v>1038</v>
      </c>
      <c r="E797" s="1">
        <v>45204</v>
      </c>
      <c r="F797">
        <v>155</v>
      </c>
      <c r="G797">
        <v>2.7</v>
      </c>
      <c r="H797">
        <v>2024</v>
      </c>
      <c r="I797" t="s">
        <v>1052</v>
      </c>
      <c r="J797" t="s">
        <v>1031</v>
      </c>
      <c r="K797">
        <v>3</v>
      </c>
    </row>
    <row r="798" spans="1:11" x14ac:dyDescent="0.3">
      <c r="A798" t="s">
        <v>1842</v>
      </c>
      <c r="B798" t="s">
        <v>1041</v>
      </c>
      <c r="C798">
        <v>88</v>
      </c>
      <c r="D798" t="s">
        <v>1024</v>
      </c>
      <c r="E798" s="1">
        <v>45204</v>
      </c>
      <c r="F798">
        <v>100</v>
      </c>
      <c r="G798">
        <v>4.9000000000000004</v>
      </c>
      <c r="H798">
        <v>2024</v>
      </c>
      <c r="I798" t="s">
        <v>1052</v>
      </c>
      <c r="J798" t="s">
        <v>1019</v>
      </c>
      <c r="K798">
        <v>5</v>
      </c>
    </row>
    <row r="799" spans="1:11" x14ac:dyDescent="0.3">
      <c r="A799" t="s">
        <v>1843</v>
      </c>
      <c r="B799" t="s">
        <v>1055</v>
      </c>
      <c r="C799">
        <v>118</v>
      </c>
      <c r="D799" t="s">
        <v>1029</v>
      </c>
      <c r="E799" s="1">
        <v>45204</v>
      </c>
      <c r="F799">
        <v>56</v>
      </c>
      <c r="G799">
        <v>3.7</v>
      </c>
      <c r="H799">
        <v>2024</v>
      </c>
      <c r="I799" t="s">
        <v>1052</v>
      </c>
      <c r="J799" t="s">
        <v>1019</v>
      </c>
      <c r="K799">
        <v>4</v>
      </c>
    </row>
    <row r="800" spans="1:11" x14ac:dyDescent="0.3">
      <c r="A800" t="s">
        <v>1844</v>
      </c>
      <c r="B800" t="s">
        <v>1028</v>
      </c>
      <c r="C800">
        <v>4</v>
      </c>
      <c r="D800" t="s">
        <v>1017</v>
      </c>
      <c r="E800" s="1">
        <v>45204</v>
      </c>
      <c r="F800">
        <v>170</v>
      </c>
      <c r="G800">
        <v>3.9</v>
      </c>
      <c r="H800">
        <v>2024</v>
      </c>
      <c r="I800" t="s">
        <v>1052</v>
      </c>
      <c r="J800" t="s">
        <v>1186</v>
      </c>
      <c r="K800">
        <v>4</v>
      </c>
    </row>
    <row r="801" spans="1:11" x14ac:dyDescent="0.3">
      <c r="A801" t="s">
        <v>1845</v>
      </c>
      <c r="B801" t="s">
        <v>1078</v>
      </c>
      <c r="C801">
        <v>78</v>
      </c>
      <c r="D801" t="s">
        <v>1042</v>
      </c>
      <c r="E801" s="1">
        <v>45205</v>
      </c>
      <c r="F801">
        <v>74</v>
      </c>
      <c r="G801">
        <v>3.5</v>
      </c>
      <c r="H801">
        <v>2024</v>
      </c>
      <c r="I801" t="s">
        <v>411</v>
      </c>
      <c r="J801" t="s">
        <v>1019</v>
      </c>
      <c r="K801">
        <v>4</v>
      </c>
    </row>
    <row r="802" spans="1:11" x14ac:dyDescent="0.3">
      <c r="A802" t="s">
        <v>1846</v>
      </c>
      <c r="B802" t="s">
        <v>1059</v>
      </c>
      <c r="C802">
        <v>69</v>
      </c>
      <c r="D802" t="s">
        <v>1017</v>
      </c>
      <c r="E802" s="1">
        <v>45205</v>
      </c>
      <c r="F802">
        <v>99</v>
      </c>
      <c r="G802">
        <v>2.7</v>
      </c>
      <c r="H802">
        <v>2024</v>
      </c>
      <c r="I802" t="s">
        <v>411</v>
      </c>
      <c r="J802" t="s">
        <v>1019</v>
      </c>
      <c r="K802">
        <v>3</v>
      </c>
    </row>
    <row r="803" spans="1:11" x14ac:dyDescent="0.3">
      <c r="A803" t="s">
        <v>1847</v>
      </c>
      <c r="B803" t="s">
        <v>1036</v>
      </c>
      <c r="C803">
        <v>90</v>
      </c>
      <c r="D803" t="s">
        <v>1038</v>
      </c>
      <c r="E803" s="1">
        <v>45205</v>
      </c>
      <c r="F803">
        <v>84</v>
      </c>
      <c r="G803">
        <v>3.9</v>
      </c>
      <c r="H803">
        <v>2024</v>
      </c>
      <c r="I803" t="s">
        <v>411</v>
      </c>
      <c r="J803" t="s">
        <v>1019</v>
      </c>
      <c r="K803">
        <v>4</v>
      </c>
    </row>
    <row r="804" spans="1:11" x14ac:dyDescent="0.3">
      <c r="A804" t="s">
        <v>1848</v>
      </c>
      <c r="B804" t="s">
        <v>1059</v>
      </c>
      <c r="C804">
        <v>134</v>
      </c>
      <c r="D804" t="s">
        <v>1017</v>
      </c>
      <c r="E804" s="1">
        <v>45205</v>
      </c>
      <c r="F804">
        <v>35</v>
      </c>
      <c r="G804">
        <v>3.4</v>
      </c>
      <c r="H804">
        <v>2024</v>
      </c>
      <c r="I804" t="s">
        <v>411</v>
      </c>
      <c r="J804" t="s">
        <v>1031</v>
      </c>
      <c r="K804">
        <v>3</v>
      </c>
    </row>
    <row r="805" spans="1:11" x14ac:dyDescent="0.3">
      <c r="A805" t="s">
        <v>1849</v>
      </c>
      <c r="B805" t="s">
        <v>1021</v>
      </c>
      <c r="C805">
        <v>65</v>
      </c>
      <c r="D805" t="s">
        <v>1029</v>
      </c>
      <c r="E805" s="1">
        <v>45205</v>
      </c>
      <c r="F805">
        <v>150</v>
      </c>
      <c r="G805">
        <v>5</v>
      </c>
      <c r="H805">
        <v>2024</v>
      </c>
      <c r="I805" t="s">
        <v>411</v>
      </c>
      <c r="J805" t="s">
        <v>1019</v>
      </c>
      <c r="K805">
        <v>5</v>
      </c>
    </row>
    <row r="806" spans="1:11" x14ac:dyDescent="0.3">
      <c r="A806" t="s">
        <v>1850</v>
      </c>
      <c r="B806" t="s">
        <v>1023</v>
      </c>
      <c r="C806">
        <v>54</v>
      </c>
      <c r="D806" t="s">
        <v>1042</v>
      </c>
      <c r="E806" s="1">
        <v>45206</v>
      </c>
      <c r="F806">
        <v>176</v>
      </c>
      <c r="G806">
        <v>4.4000000000000004</v>
      </c>
      <c r="H806">
        <v>2024</v>
      </c>
      <c r="I806" t="s">
        <v>1062</v>
      </c>
      <c r="J806" t="s">
        <v>1034</v>
      </c>
      <c r="K806">
        <v>4</v>
      </c>
    </row>
    <row r="807" spans="1:11" x14ac:dyDescent="0.3">
      <c r="A807" t="s">
        <v>1851</v>
      </c>
      <c r="B807" t="s">
        <v>1023</v>
      </c>
      <c r="C807">
        <v>90</v>
      </c>
      <c r="D807" t="s">
        <v>1042</v>
      </c>
      <c r="E807" s="1">
        <v>45206</v>
      </c>
      <c r="F807">
        <v>84</v>
      </c>
      <c r="G807">
        <v>4.3</v>
      </c>
      <c r="H807">
        <v>2024</v>
      </c>
      <c r="I807" t="s">
        <v>1062</v>
      </c>
      <c r="J807" t="s">
        <v>1019</v>
      </c>
      <c r="K807">
        <v>4</v>
      </c>
    </row>
    <row r="808" spans="1:11" x14ac:dyDescent="0.3">
      <c r="A808" t="s">
        <v>1852</v>
      </c>
      <c r="B808" t="s">
        <v>1036</v>
      </c>
      <c r="C808">
        <v>66</v>
      </c>
      <c r="D808" t="s">
        <v>1042</v>
      </c>
      <c r="E808" s="1">
        <v>45206</v>
      </c>
      <c r="F808">
        <v>136</v>
      </c>
      <c r="G808">
        <v>4.7</v>
      </c>
      <c r="H808">
        <v>2024</v>
      </c>
      <c r="I808" t="s">
        <v>1062</v>
      </c>
      <c r="J808" t="s">
        <v>1019</v>
      </c>
      <c r="K808">
        <v>5</v>
      </c>
    </row>
    <row r="809" spans="1:11" x14ac:dyDescent="0.3">
      <c r="A809" t="s">
        <v>1853</v>
      </c>
      <c r="B809" t="s">
        <v>1028</v>
      </c>
      <c r="C809">
        <v>150</v>
      </c>
      <c r="D809" t="s">
        <v>1042</v>
      </c>
      <c r="E809" s="1">
        <v>45207</v>
      </c>
      <c r="F809">
        <v>70</v>
      </c>
      <c r="G809">
        <v>4.0999999999999996</v>
      </c>
      <c r="H809">
        <v>2024</v>
      </c>
      <c r="I809" t="s">
        <v>1018</v>
      </c>
      <c r="J809" t="s">
        <v>1031</v>
      </c>
      <c r="K809">
        <v>4</v>
      </c>
    </row>
    <row r="810" spans="1:11" x14ac:dyDescent="0.3">
      <c r="A810" t="s">
        <v>1854</v>
      </c>
      <c r="B810" t="s">
        <v>1047</v>
      </c>
      <c r="C810">
        <v>18</v>
      </c>
      <c r="D810" t="s">
        <v>1029</v>
      </c>
      <c r="E810" s="1">
        <v>45207</v>
      </c>
      <c r="F810">
        <v>96</v>
      </c>
      <c r="G810">
        <v>4.8</v>
      </c>
      <c r="H810">
        <v>2024</v>
      </c>
      <c r="I810" t="s">
        <v>1018</v>
      </c>
      <c r="J810" t="s">
        <v>1056</v>
      </c>
      <c r="K810">
        <v>5</v>
      </c>
    </row>
    <row r="811" spans="1:11" x14ac:dyDescent="0.3">
      <c r="A811" t="s">
        <v>1855</v>
      </c>
      <c r="B811" t="s">
        <v>1023</v>
      </c>
      <c r="C811">
        <v>87</v>
      </c>
      <c r="D811" t="s">
        <v>1029</v>
      </c>
      <c r="E811" s="1">
        <v>45207</v>
      </c>
      <c r="F811">
        <v>23</v>
      </c>
      <c r="G811">
        <v>4.2</v>
      </c>
      <c r="H811">
        <v>2024</v>
      </c>
      <c r="I811" t="s">
        <v>1018</v>
      </c>
      <c r="J811" t="s">
        <v>1019</v>
      </c>
      <c r="K811">
        <v>4</v>
      </c>
    </row>
    <row r="812" spans="1:11" x14ac:dyDescent="0.3">
      <c r="A812" t="s">
        <v>1856</v>
      </c>
      <c r="B812" t="s">
        <v>1045</v>
      </c>
      <c r="C812">
        <v>94</v>
      </c>
      <c r="D812" t="s">
        <v>1042</v>
      </c>
      <c r="E812" s="1">
        <v>45208</v>
      </c>
      <c r="F812">
        <v>120</v>
      </c>
      <c r="G812">
        <v>3.4</v>
      </c>
      <c r="H812">
        <v>2024</v>
      </c>
      <c r="I812" t="s">
        <v>1030</v>
      </c>
      <c r="J812" t="s">
        <v>1019</v>
      </c>
      <c r="K812">
        <v>3</v>
      </c>
    </row>
    <row r="813" spans="1:11" x14ac:dyDescent="0.3">
      <c r="A813" t="s">
        <v>1857</v>
      </c>
      <c r="B813" t="s">
        <v>1068</v>
      </c>
      <c r="C813">
        <v>56</v>
      </c>
      <c r="D813" t="s">
        <v>1042</v>
      </c>
      <c r="E813" s="1">
        <v>45208</v>
      </c>
      <c r="F813">
        <v>205</v>
      </c>
      <c r="G813">
        <v>3.3</v>
      </c>
      <c r="H813">
        <v>2024</v>
      </c>
      <c r="I813" t="s">
        <v>1030</v>
      </c>
      <c r="J813" t="s">
        <v>1034</v>
      </c>
      <c r="K813">
        <v>3</v>
      </c>
    </row>
    <row r="814" spans="1:11" x14ac:dyDescent="0.3">
      <c r="A814" t="s">
        <v>1858</v>
      </c>
      <c r="B814" t="s">
        <v>1055</v>
      </c>
      <c r="C814">
        <v>41</v>
      </c>
      <c r="D814" t="s">
        <v>1024</v>
      </c>
      <c r="E814" s="1">
        <v>45209</v>
      </c>
      <c r="F814">
        <v>42</v>
      </c>
      <c r="G814">
        <v>3.8</v>
      </c>
      <c r="H814">
        <v>2024</v>
      </c>
      <c r="I814" t="s">
        <v>1033</v>
      </c>
      <c r="J814" t="s">
        <v>1034</v>
      </c>
      <c r="K814">
        <v>4</v>
      </c>
    </row>
    <row r="815" spans="1:11" x14ac:dyDescent="0.3">
      <c r="A815" t="s">
        <v>1859</v>
      </c>
      <c r="B815" t="s">
        <v>1028</v>
      </c>
      <c r="C815">
        <v>119</v>
      </c>
      <c r="D815" t="s">
        <v>1038</v>
      </c>
      <c r="E815" s="1">
        <v>45209</v>
      </c>
      <c r="F815">
        <v>111</v>
      </c>
      <c r="G815">
        <v>3.9</v>
      </c>
      <c r="H815">
        <v>2024</v>
      </c>
      <c r="I815" t="s">
        <v>1033</v>
      </c>
      <c r="J815" t="s">
        <v>1019</v>
      </c>
      <c r="K815">
        <v>4</v>
      </c>
    </row>
    <row r="816" spans="1:11" x14ac:dyDescent="0.3">
      <c r="A816" t="s">
        <v>1860</v>
      </c>
      <c r="B816" t="s">
        <v>1026</v>
      </c>
      <c r="C816">
        <v>108</v>
      </c>
      <c r="D816" t="s">
        <v>1042</v>
      </c>
      <c r="E816" s="1">
        <v>45209</v>
      </c>
      <c r="F816">
        <v>68</v>
      </c>
      <c r="G816">
        <v>2.5</v>
      </c>
      <c r="H816">
        <v>2024</v>
      </c>
      <c r="I816" t="s">
        <v>1033</v>
      </c>
      <c r="J816" t="s">
        <v>1019</v>
      </c>
      <c r="K816">
        <v>3</v>
      </c>
    </row>
    <row r="817" spans="1:11" x14ac:dyDescent="0.3">
      <c r="A817" t="s">
        <v>1861</v>
      </c>
      <c r="B817" t="s">
        <v>1078</v>
      </c>
      <c r="C817">
        <v>63</v>
      </c>
      <c r="D817" t="s">
        <v>1017</v>
      </c>
      <c r="E817" s="1">
        <v>45209</v>
      </c>
      <c r="F817">
        <v>172</v>
      </c>
      <c r="G817">
        <v>4.9000000000000004</v>
      </c>
      <c r="H817">
        <v>2024</v>
      </c>
      <c r="I817" t="s">
        <v>1033</v>
      </c>
      <c r="J817" t="s">
        <v>1019</v>
      </c>
      <c r="K817">
        <v>5</v>
      </c>
    </row>
    <row r="818" spans="1:11" x14ac:dyDescent="0.3">
      <c r="A818" t="s">
        <v>1862</v>
      </c>
      <c r="B818" t="s">
        <v>1065</v>
      </c>
      <c r="C818">
        <v>59</v>
      </c>
      <c r="D818" t="s">
        <v>1042</v>
      </c>
      <c r="E818" s="1">
        <v>45209</v>
      </c>
      <c r="F818">
        <v>152</v>
      </c>
      <c r="G818">
        <v>4.8</v>
      </c>
      <c r="H818">
        <v>2024</v>
      </c>
      <c r="I818" t="s">
        <v>1033</v>
      </c>
      <c r="J818" t="s">
        <v>1034</v>
      </c>
      <c r="K818">
        <v>5</v>
      </c>
    </row>
    <row r="819" spans="1:11" x14ac:dyDescent="0.3">
      <c r="A819" t="s">
        <v>1863</v>
      </c>
      <c r="B819" t="s">
        <v>1065</v>
      </c>
      <c r="C819">
        <v>90</v>
      </c>
      <c r="D819" t="s">
        <v>1024</v>
      </c>
      <c r="E819" s="1">
        <v>45209</v>
      </c>
      <c r="F819">
        <v>48</v>
      </c>
      <c r="G819">
        <v>4.7</v>
      </c>
      <c r="H819">
        <v>2024</v>
      </c>
      <c r="I819" t="s">
        <v>1033</v>
      </c>
      <c r="J819" t="s">
        <v>1019</v>
      </c>
      <c r="K819">
        <v>5</v>
      </c>
    </row>
    <row r="820" spans="1:11" x14ac:dyDescent="0.3">
      <c r="A820" t="s">
        <v>1864</v>
      </c>
      <c r="B820" t="s">
        <v>1041</v>
      </c>
      <c r="C820">
        <v>55</v>
      </c>
      <c r="D820" t="s">
        <v>1024</v>
      </c>
      <c r="E820" s="1">
        <v>45209</v>
      </c>
      <c r="F820">
        <v>25</v>
      </c>
      <c r="G820">
        <v>4.7</v>
      </c>
      <c r="H820">
        <v>2024</v>
      </c>
      <c r="I820" t="s">
        <v>1033</v>
      </c>
      <c r="J820" t="s">
        <v>1034</v>
      </c>
      <c r="K820">
        <v>5</v>
      </c>
    </row>
    <row r="821" spans="1:11" x14ac:dyDescent="0.3">
      <c r="A821" t="s">
        <v>1865</v>
      </c>
      <c r="B821" t="s">
        <v>1026</v>
      </c>
      <c r="C821">
        <v>84</v>
      </c>
      <c r="D821" t="s">
        <v>1038</v>
      </c>
      <c r="E821" s="1">
        <v>45210</v>
      </c>
      <c r="F821">
        <v>54</v>
      </c>
      <c r="G821">
        <v>3.3</v>
      </c>
      <c r="H821">
        <v>2024</v>
      </c>
      <c r="I821" t="s">
        <v>1048</v>
      </c>
      <c r="J821" t="s">
        <v>1019</v>
      </c>
      <c r="K821">
        <v>3</v>
      </c>
    </row>
    <row r="822" spans="1:11" x14ac:dyDescent="0.3">
      <c r="A822" t="s">
        <v>1866</v>
      </c>
      <c r="B822" t="s">
        <v>1026</v>
      </c>
      <c r="C822">
        <v>150</v>
      </c>
      <c r="D822" t="s">
        <v>1029</v>
      </c>
      <c r="E822" s="1">
        <v>45210</v>
      </c>
      <c r="F822">
        <v>108</v>
      </c>
      <c r="G822">
        <v>4.7</v>
      </c>
      <c r="H822">
        <v>2024</v>
      </c>
      <c r="I822" t="s">
        <v>1048</v>
      </c>
      <c r="J822" t="s">
        <v>1031</v>
      </c>
      <c r="K822">
        <v>5</v>
      </c>
    </row>
    <row r="823" spans="1:11" x14ac:dyDescent="0.3">
      <c r="A823" t="s">
        <v>1867</v>
      </c>
      <c r="B823" t="s">
        <v>1098</v>
      </c>
      <c r="C823">
        <v>69</v>
      </c>
      <c r="D823" t="s">
        <v>1042</v>
      </c>
      <c r="E823" s="1">
        <v>45210</v>
      </c>
      <c r="F823">
        <v>36</v>
      </c>
      <c r="G823">
        <v>4.5</v>
      </c>
      <c r="H823">
        <v>2024</v>
      </c>
      <c r="I823" t="s">
        <v>1048</v>
      </c>
      <c r="J823" t="s">
        <v>1019</v>
      </c>
      <c r="K823">
        <v>5</v>
      </c>
    </row>
    <row r="824" spans="1:11" x14ac:dyDescent="0.3">
      <c r="A824" t="s">
        <v>1868</v>
      </c>
      <c r="B824" t="s">
        <v>1016</v>
      </c>
      <c r="C824">
        <v>120</v>
      </c>
      <c r="D824" t="s">
        <v>1024</v>
      </c>
      <c r="E824" s="1">
        <v>45211</v>
      </c>
      <c r="F824">
        <v>140</v>
      </c>
      <c r="G824">
        <v>4.5999999999999996</v>
      </c>
      <c r="H824">
        <v>2024</v>
      </c>
      <c r="I824" t="s">
        <v>1052</v>
      </c>
      <c r="J824" t="s">
        <v>1019</v>
      </c>
      <c r="K824">
        <v>5</v>
      </c>
    </row>
    <row r="825" spans="1:11" x14ac:dyDescent="0.3">
      <c r="A825" t="s">
        <v>1869</v>
      </c>
      <c r="B825" t="s">
        <v>1023</v>
      </c>
      <c r="C825">
        <v>126</v>
      </c>
      <c r="D825" t="s">
        <v>1038</v>
      </c>
      <c r="E825" s="1">
        <v>45211</v>
      </c>
      <c r="F825">
        <v>50</v>
      </c>
      <c r="G825">
        <v>4.8</v>
      </c>
      <c r="H825">
        <v>2024</v>
      </c>
      <c r="I825" t="s">
        <v>1052</v>
      </c>
      <c r="J825" t="s">
        <v>1031</v>
      </c>
      <c r="K825">
        <v>5</v>
      </c>
    </row>
    <row r="826" spans="1:11" x14ac:dyDescent="0.3">
      <c r="A826" t="s">
        <v>1870</v>
      </c>
      <c r="B826" t="s">
        <v>1098</v>
      </c>
      <c r="C826">
        <v>120</v>
      </c>
      <c r="D826" t="s">
        <v>1017</v>
      </c>
      <c r="E826" s="1">
        <v>45211</v>
      </c>
      <c r="F826">
        <v>195</v>
      </c>
      <c r="G826">
        <v>4.3</v>
      </c>
      <c r="H826">
        <v>2024</v>
      </c>
      <c r="I826" t="s">
        <v>1052</v>
      </c>
      <c r="J826" t="s">
        <v>1019</v>
      </c>
      <c r="K826">
        <v>4</v>
      </c>
    </row>
    <row r="827" spans="1:11" x14ac:dyDescent="0.3">
      <c r="A827" t="s">
        <v>1871</v>
      </c>
      <c r="B827" t="s">
        <v>1023</v>
      </c>
      <c r="C827">
        <v>139</v>
      </c>
      <c r="D827" t="s">
        <v>1024</v>
      </c>
      <c r="E827" s="1">
        <v>45212</v>
      </c>
      <c r="F827">
        <v>48</v>
      </c>
      <c r="G827">
        <v>4.7</v>
      </c>
      <c r="H827">
        <v>2024</v>
      </c>
      <c r="I827" t="s">
        <v>411</v>
      </c>
      <c r="J827" t="s">
        <v>1031</v>
      </c>
      <c r="K827">
        <v>5</v>
      </c>
    </row>
    <row r="828" spans="1:11" x14ac:dyDescent="0.3">
      <c r="A828" t="s">
        <v>1872</v>
      </c>
      <c r="B828" t="s">
        <v>1041</v>
      </c>
      <c r="C828">
        <v>124</v>
      </c>
      <c r="D828" t="s">
        <v>1042</v>
      </c>
      <c r="E828" s="1">
        <v>45213</v>
      </c>
      <c r="F828">
        <v>29</v>
      </c>
      <c r="G828">
        <v>4.8</v>
      </c>
      <c r="H828">
        <v>2024</v>
      </c>
      <c r="I828" t="s">
        <v>1062</v>
      </c>
      <c r="J828" t="s">
        <v>1031</v>
      </c>
      <c r="K828">
        <v>5</v>
      </c>
    </row>
    <row r="829" spans="1:11" x14ac:dyDescent="0.3">
      <c r="A829" t="s">
        <v>1873</v>
      </c>
      <c r="B829" t="s">
        <v>1016</v>
      </c>
      <c r="C829">
        <v>108</v>
      </c>
      <c r="D829" t="s">
        <v>1017</v>
      </c>
      <c r="E829" s="1">
        <v>45213</v>
      </c>
      <c r="F829">
        <v>44</v>
      </c>
      <c r="G829">
        <v>4.7</v>
      </c>
      <c r="H829">
        <v>2024</v>
      </c>
      <c r="I829" t="s">
        <v>1062</v>
      </c>
      <c r="J829" t="s">
        <v>1019</v>
      </c>
      <c r="K829">
        <v>5</v>
      </c>
    </row>
    <row r="830" spans="1:11" x14ac:dyDescent="0.3">
      <c r="A830" t="s">
        <v>1874</v>
      </c>
      <c r="B830" t="s">
        <v>1021</v>
      </c>
      <c r="C830">
        <v>132</v>
      </c>
      <c r="D830" t="s">
        <v>1029</v>
      </c>
      <c r="E830" s="1">
        <v>45213</v>
      </c>
      <c r="F830">
        <v>140</v>
      </c>
      <c r="G830">
        <v>4.3</v>
      </c>
      <c r="H830">
        <v>2024</v>
      </c>
      <c r="I830" t="s">
        <v>1062</v>
      </c>
      <c r="J830" t="s">
        <v>1031</v>
      </c>
      <c r="K830">
        <v>4</v>
      </c>
    </row>
    <row r="831" spans="1:11" x14ac:dyDescent="0.3">
      <c r="A831" t="s">
        <v>1875</v>
      </c>
      <c r="B831" t="s">
        <v>1078</v>
      </c>
      <c r="C831">
        <v>67</v>
      </c>
      <c r="D831" t="s">
        <v>1029</v>
      </c>
      <c r="E831" s="1">
        <v>45213</v>
      </c>
      <c r="F831">
        <v>105</v>
      </c>
      <c r="G831">
        <v>3.8</v>
      </c>
      <c r="H831">
        <v>2024</v>
      </c>
      <c r="I831" t="s">
        <v>1062</v>
      </c>
      <c r="J831" t="s">
        <v>1019</v>
      </c>
      <c r="K831">
        <v>4</v>
      </c>
    </row>
    <row r="832" spans="1:11" x14ac:dyDescent="0.3">
      <c r="A832" t="s">
        <v>1876</v>
      </c>
      <c r="B832" t="s">
        <v>1036</v>
      </c>
      <c r="C832">
        <v>125</v>
      </c>
      <c r="D832" t="s">
        <v>1029</v>
      </c>
      <c r="E832" s="1">
        <v>45213</v>
      </c>
      <c r="F832">
        <v>82</v>
      </c>
      <c r="G832">
        <v>4.5999999999999996</v>
      </c>
      <c r="H832">
        <v>2024</v>
      </c>
      <c r="I832" t="s">
        <v>1062</v>
      </c>
      <c r="J832" t="s">
        <v>1031</v>
      </c>
      <c r="K832">
        <v>5</v>
      </c>
    </row>
    <row r="833" spans="1:11" x14ac:dyDescent="0.3">
      <c r="A833" t="s">
        <v>1877</v>
      </c>
      <c r="B833" t="s">
        <v>1016</v>
      </c>
      <c r="C833">
        <v>23</v>
      </c>
      <c r="D833" t="s">
        <v>1017</v>
      </c>
      <c r="E833" s="1">
        <v>45213</v>
      </c>
      <c r="F833">
        <v>24</v>
      </c>
      <c r="G833">
        <v>2.9</v>
      </c>
      <c r="H833">
        <v>2024</v>
      </c>
      <c r="I833" t="s">
        <v>1062</v>
      </c>
      <c r="J833" t="s">
        <v>1056</v>
      </c>
      <c r="K833">
        <v>3</v>
      </c>
    </row>
    <row r="834" spans="1:11" x14ac:dyDescent="0.3">
      <c r="A834" t="s">
        <v>1878</v>
      </c>
      <c r="B834" t="s">
        <v>1028</v>
      </c>
      <c r="C834">
        <v>131</v>
      </c>
      <c r="D834" t="s">
        <v>1042</v>
      </c>
      <c r="E834" s="1">
        <v>45214</v>
      </c>
      <c r="F834">
        <v>205</v>
      </c>
      <c r="G834">
        <v>4.8</v>
      </c>
      <c r="H834">
        <v>2024</v>
      </c>
      <c r="I834" t="s">
        <v>1018</v>
      </c>
      <c r="J834" t="s">
        <v>1031</v>
      </c>
      <c r="K834">
        <v>5</v>
      </c>
    </row>
    <row r="835" spans="1:11" x14ac:dyDescent="0.3">
      <c r="A835" t="s">
        <v>1879</v>
      </c>
      <c r="B835" t="s">
        <v>1021</v>
      </c>
      <c r="C835">
        <v>56</v>
      </c>
      <c r="D835" t="s">
        <v>1024</v>
      </c>
      <c r="E835" s="1">
        <v>45214</v>
      </c>
      <c r="F835">
        <v>225</v>
      </c>
      <c r="G835">
        <v>4.9000000000000004</v>
      </c>
      <c r="H835">
        <v>2024</v>
      </c>
      <c r="I835" t="s">
        <v>1018</v>
      </c>
      <c r="J835" t="s">
        <v>1034</v>
      </c>
      <c r="K835">
        <v>5</v>
      </c>
    </row>
    <row r="836" spans="1:11" x14ac:dyDescent="0.3">
      <c r="A836" t="s">
        <v>1880</v>
      </c>
      <c r="B836" t="s">
        <v>1028</v>
      </c>
      <c r="C836">
        <v>70</v>
      </c>
      <c r="D836" t="s">
        <v>1042</v>
      </c>
      <c r="E836" s="1">
        <v>45214</v>
      </c>
      <c r="F836">
        <v>50</v>
      </c>
      <c r="G836">
        <v>3.4</v>
      </c>
      <c r="H836">
        <v>2024</v>
      </c>
      <c r="I836" t="s">
        <v>1018</v>
      </c>
      <c r="J836" t="s">
        <v>1019</v>
      </c>
      <c r="K836">
        <v>3</v>
      </c>
    </row>
    <row r="837" spans="1:11" x14ac:dyDescent="0.3">
      <c r="A837" t="s">
        <v>1881</v>
      </c>
      <c r="B837" t="s">
        <v>1028</v>
      </c>
      <c r="C837">
        <v>55</v>
      </c>
      <c r="D837" t="s">
        <v>1029</v>
      </c>
      <c r="E837" s="1">
        <v>45214</v>
      </c>
      <c r="F837">
        <v>80</v>
      </c>
      <c r="G837">
        <v>4.3</v>
      </c>
      <c r="H837">
        <v>2024</v>
      </c>
      <c r="I837" t="s">
        <v>1018</v>
      </c>
      <c r="J837" t="s">
        <v>1034</v>
      </c>
      <c r="K837">
        <v>4</v>
      </c>
    </row>
    <row r="838" spans="1:11" x14ac:dyDescent="0.3">
      <c r="A838" t="s">
        <v>1882</v>
      </c>
      <c r="B838" t="s">
        <v>1036</v>
      </c>
      <c r="C838">
        <v>77</v>
      </c>
      <c r="D838" t="s">
        <v>1024</v>
      </c>
      <c r="E838" s="1">
        <v>45214</v>
      </c>
      <c r="F838">
        <v>78</v>
      </c>
      <c r="G838">
        <v>3.9</v>
      </c>
      <c r="H838">
        <v>2024</v>
      </c>
      <c r="I838" t="s">
        <v>1018</v>
      </c>
      <c r="J838" t="s">
        <v>1019</v>
      </c>
      <c r="K838">
        <v>4</v>
      </c>
    </row>
    <row r="839" spans="1:11" x14ac:dyDescent="0.3">
      <c r="A839" t="s">
        <v>1883</v>
      </c>
      <c r="B839" t="s">
        <v>1026</v>
      </c>
      <c r="C839">
        <v>133</v>
      </c>
      <c r="D839" t="s">
        <v>1042</v>
      </c>
      <c r="E839" s="1">
        <v>45215</v>
      </c>
      <c r="F839">
        <v>40</v>
      </c>
      <c r="G839">
        <v>3.9</v>
      </c>
      <c r="H839">
        <v>2024</v>
      </c>
      <c r="I839" t="s">
        <v>1030</v>
      </c>
      <c r="J839" t="s">
        <v>1031</v>
      </c>
      <c r="K839">
        <v>4</v>
      </c>
    </row>
    <row r="840" spans="1:11" x14ac:dyDescent="0.3">
      <c r="A840" t="s">
        <v>1884</v>
      </c>
      <c r="B840" t="s">
        <v>1036</v>
      </c>
      <c r="C840">
        <v>77</v>
      </c>
      <c r="D840" t="s">
        <v>1024</v>
      </c>
      <c r="E840" s="1">
        <v>45215</v>
      </c>
      <c r="F840">
        <v>176</v>
      </c>
      <c r="G840">
        <v>1.5</v>
      </c>
      <c r="H840">
        <v>2024</v>
      </c>
      <c r="I840" t="s">
        <v>1030</v>
      </c>
      <c r="J840" t="s">
        <v>1019</v>
      </c>
      <c r="K840">
        <v>2</v>
      </c>
    </row>
    <row r="841" spans="1:11" x14ac:dyDescent="0.3">
      <c r="A841" t="s">
        <v>1885</v>
      </c>
      <c r="B841" t="s">
        <v>1065</v>
      </c>
      <c r="C841">
        <v>103</v>
      </c>
      <c r="D841" t="s">
        <v>1042</v>
      </c>
      <c r="E841" s="1">
        <v>45215</v>
      </c>
      <c r="F841">
        <v>78</v>
      </c>
      <c r="G841">
        <v>3</v>
      </c>
      <c r="H841">
        <v>2024</v>
      </c>
      <c r="I841" t="s">
        <v>1030</v>
      </c>
      <c r="J841" t="s">
        <v>1019</v>
      </c>
      <c r="K841">
        <v>3</v>
      </c>
    </row>
    <row r="842" spans="1:11" x14ac:dyDescent="0.3">
      <c r="A842" t="s">
        <v>1886</v>
      </c>
      <c r="B842" t="s">
        <v>1098</v>
      </c>
      <c r="C842">
        <v>32</v>
      </c>
      <c r="D842" t="s">
        <v>1024</v>
      </c>
      <c r="E842" s="1">
        <v>45215</v>
      </c>
      <c r="F842">
        <v>42</v>
      </c>
      <c r="G842">
        <v>4.2</v>
      </c>
      <c r="H842">
        <v>2024</v>
      </c>
      <c r="I842" t="s">
        <v>1030</v>
      </c>
      <c r="J842" t="s">
        <v>1034</v>
      </c>
      <c r="K842">
        <v>4</v>
      </c>
    </row>
    <row r="843" spans="1:11" x14ac:dyDescent="0.3">
      <c r="A843" t="s">
        <v>1887</v>
      </c>
      <c r="B843" t="s">
        <v>1026</v>
      </c>
      <c r="C843">
        <v>30</v>
      </c>
      <c r="D843" t="s">
        <v>1042</v>
      </c>
      <c r="E843" s="1">
        <v>45215</v>
      </c>
      <c r="F843">
        <v>38</v>
      </c>
      <c r="G843">
        <v>3.7</v>
      </c>
      <c r="H843">
        <v>2024</v>
      </c>
      <c r="I843" t="s">
        <v>1030</v>
      </c>
      <c r="J843" t="s">
        <v>1056</v>
      </c>
      <c r="K843">
        <v>4</v>
      </c>
    </row>
    <row r="844" spans="1:11" x14ac:dyDescent="0.3">
      <c r="A844" t="s">
        <v>1888</v>
      </c>
      <c r="B844" t="s">
        <v>1023</v>
      </c>
      <c r="C844">
        <v>87</v>
      </c>
      <c r="D844" t="s">
        <v>1038</v>
      </c>
      <c r="E844" s="1">
        <v>45215</v>
      </c>
      <c r="F844">
        <v>27</v>
      </c>
      <c r="G844">
        <v>4.2</v>
      </c>
      <c r="H844">
        <v>2024</v>
      </c>
      <c r="I844" t="s">
        <v>1030</v>
      </c>
      <c r="J844" t="s">
        <v>1019</v>
      </c>
      <c r="K844">
        <v>4</v>
      </c>
    </row>
    <row r="845" spans="1:11" x14ac:dyDescent="0.3">
      <c r="A845" t="s">
        <v>1889</v>
      </c>
      <c r="B845" t="s">
        <v>1036</v>
      </c>
      <c r="C845">
        <v>137</v>
      </c>
      <c r="D845" t="s">
        <v>1017</v>
      </c>
      <c r="E845" s="1">
        <v>45216</v>
      </c>
      <c r="F845">
        <v>45</v>
      </c>
      <c r="G845">
        <v>4.4000000000000004</v>
      </c>
      <c r="H845">
        <v>2024</v>
      </c>
      <c r="I845" t="s">
        <v>1033</v>
      </c>
      <c r="J845" t="s">
        <v>1031</v>
      </c>
      <c r="K845">
        <v>4</v>
      </c>
    </row>
    <row r="846" spans="1:11" x14ac:dyDescent="0.3">
      <c r="A846" t="s">
        <v>1890</v>
      </c>
      <c r="B846" t="s">
        <v>1045</v>
      </c>
      <c r="C846">
        <v>96</v>
      </c>
      <c r="D846" t="s">
        <v>1042</v>
      </c>
      <c r="E846" s="1">
        <v>45216</v>
      </c>
      <c r="F846">
        <v>215</v>
      </c>
      <c r="G846">
        <v>4</v>
      </c>
      <c r="H846">
        <v>2024</v>
      </c>
      <c r="I846" t="s">
        <v>1033</v>
      </c>
      <c r="J846" t="s">
        <v>1019</v>
      </c>
      <c r="K846">
        <v>4</v>
      </c>
    </row>
    <row r="847" spans="1:11" x14ac:dyDescent="0.3">
      <c r="A847" t="s">
        <v>1891</v>
      </c>
      <c r="B847" t="s">
        <v>1041</v>
      </c>
      <c r="C847">
        <v>155</v>
      </c>
      <c r="D847" t="s">
        <v>1042</v>
      </c>
      <c r="E847" s="1">
        <v>45217</v>
      </c>
      <c r="F847">
        <v>72</v>
      </c>
      <c r="G847">
        <v>4.7</v>
      </c>
      <c r="H847">
        <v>2024</v>
      </c>
      <c r="I847" t="s">
        <v>1048</v>
      </c>
      <c r="J847" t="s">
        <v>1031</v>
      </c>
      <c r="K847">
        <v>5</v>
      </c>
    </row>
    <row r="848" spans="1:11" x14ac:dyDescent="0.3">
      <c r="A848" t="s">
        <v>1892</v>
      </c>
      <c r="B848" t="s">
        <v>1026</v>
      </c>
      <c r="C848">
        <v>173</v>
      </c>
      <c r="D848" t="s">
        <v>1029</v>
      </c>
      <c r="E848" s="1">
        <v>45217</v>
      </c>
      <c r="F848">
        <v>160</v>
      </c>
      <c r="G848">
        <v>2.8</v>
      </c>
      <c r="H848">
        <v>2024</v>
      </c>
      <c r="I848" t="s">
        <v>1048</v>
      </c>
      <c r="J848" t="s">
        <v>1031</v>
      </c>
      <c r="K848">
        <v>3</v>
      </c>
    </row>
    <row r="849" spans="1:11" x14ac:dyDescent="0.3">
      <c r="A849" t="s">
        <v>1893</v>
      </c>
      <c r="B849" t="s">
        <v>1041</v>
      </c>
      <c r="C849">
        <v>127</v>
      </c>
      <c r="D849" t="s">
        <v>1042</v>
      </c>
      <c r="E849" s="1">
        <v>45217</v>
      </c>
      <c r="F849">
        <v>165</v>
      </c>
      <c r="G849">
        <v>2.5</v>
      </c>
      <c r="H849">
        <v>2024</v>
      </c>
      <c r="I849" t="s">
        <v>1048</v>
      </c>
      <c r="J849" t="s">
        <v>1031</v>
      </c>
      <c r="K849">
        <v>3</v>
      </c>
    </row>
    <row r="850" spans="1:11" x14ac:dyDescent="0.3">
      <c r="A850" t="s">
        <v>1894</v>
      </c>
      <c r="B850" t="s">
        <v>1021</v>
      </c>
      <c r="C850">
        <v>117</v>
      </c>
      <c r="D850" t="s">
        <v>1029</v>
      </c>
      <c r="E850" s="1">
        <v>45217</v>
      </c>
      <c r="F850">
        <v>120</v>
      </c>
      <c r="G850">
        <v>3.4</v>
      </c>
      <c r="H850">
        <v>2024</v>
      </c>
      <c r="I850" t="s">
        <v>1048</v>
      </c>
      <c r="J850" t="s">
        <v>1019</v>
      </c>
      <c r="K850">
        <v>3</v>
      </c>
    </row>
    <row r="851" spans="1:11" x14ac:dyDescent="0.3">
      <c r="A851" t="s">
        <v>1895</v>
      </c>
      <c r="B851" t="s">
        <v>1016</v>
      </c>
      <c r="C851">
        <v>133</v>
      </c>
      <c r="D851" t="s">
        <v>1024</v>
      </c>
      <c r="E851" s="1">
        <v>45217</v>
      </c>
      <c r="F851">
        <v>117</v>
      </c>
      <c r="G851">
        <v>4.8</v>
      </c>
      <c r="H851">
        <v>2024</v>
      </c>
      <c r="I851" t="s">
        <v>1048</v>
      </c>
      <c r="J851" t="s">
        <v>1031</v>
      </c>
      <c r="K851">
        <v>5</v>
      </c>
    </row>
    <row r="852" spans="1:11" x14ac:dyDescent="0.3">
      <c r="A852" t="s">
        <v>1896</v>
      </c>
      <c r="B852" t="s">
        <v>1047</v>
      </c>
      <c r="C852">
        <v>166</v>
      </c>
      <c r="D852" t="s">
        <v>1038</v>
      </c>
      <c r="E852" s="1">
        <v>45218</v>
      </c>
      <c r="F852">
        <v>29</v>
      </c>
      <c r="G852">
        <v>4.3</v>
      </c>
      <c r="H852">
        <v>2024</v>
      </c>
      <c r="I852" t="s">
        <v>1052</v>
      </c>
      <c r="J852" t="s">
        <v>1031</v>
      </c>
      <c r="K852">
        <v>4</v>
      </c>
    </row>
    <row r="853" spans="1:11" x14ac:dyDescent="0.3">
      <c r="A853" t="s">
        <v>1897</v>
      </c>
      <c r="B853" t="s">
        <v>1016</v>
      </c>
      <c r="C853">
        <v>50</v>
      </c>
      <c r="D853" t="s">
        <v>1029</v>
      </c>
      <c r="E853" s="1">
        <v>45218</v>
      </c>
      <c r="F853">
        <v>64</v>
      </c>
      <c r="G853">
        <v>4.5</v>
      </c>
      <c r="H853">
        <v>2024</v>
      </c>
      <c r="I853" t="s">
        <v>1052</v>
      </c>
      <c r="J853" t="s">
        <v>1034</v>
      </c>
      <c r="K853">
        <v>5</v>
      </c>
    </row>
    <row r="854" spans="1:11" x14ac:dyDescent="0.3">
      <c r="A854" t="s">
        <v>1898</v>
      </c>
      <c r="B854" t="s">
        <v>1065</v>
      </c>
      <c r="C854">
        <v>43</v>
      </c>
      <c r="D854" t="s">
        <v>1024</v>
      </c>
      <c r="E854" s="1">
        <v>45218</v>
      </c>
      <c r="F854">
        <v>84</v>
      </c>
      <c r="G854">
        <v>3.6</v>
      </c>
      <c r="H854">
        <v>2024</v>
      </c>
      <c r="I854" t="s">
        <v>1052</v>
      </c>
      <c r="J854" t="s">
        <v>1034</v>
      </c>
      <c r="K854">
        <v>4</v>
      </c>
    </row>
    <row r="855" spans="1:11" x14ac:dyDescent="0.3">
      <c r="A855" t="s">
        <v>1899</v>
      </c>
      <c r="B855" t="s">
        <v>1045</v>
      </c>
      <c r="C855">
        <v>124</v>
      </c>
      <c r="D855" t="s">
        <v>1042</v>
      </c>
      <c r="E855" s="1">
        <v>45218</v>
      </c>
      <c r="F855">
        <v>42</v>
      </c>
      <c r="G855">
        <v>3.7</v>
      </c>
      <c r="H855">
        <v>2024</v>
      </c>
      <c r="I855" t="s">
        <v>1052</v>
      </c>
      <c r="J855" t="s">
        <v>1031</v>
      </c>
      <c r="K855">
        <v>4</v>
      </c>
    </row>
    <row r="856" spans="1:11" x14ac:dyDescent="0.3">
      <c r="A856" t="s">
        <v>1900</v>
      </c>
      <c r="B856" t="s">
        <v>1026</v>
      </c>
      <c r="C856">
        <v>94</v>
      </c>
      <c r="D856" t="s">
        <v>1042</v>
      </c>
      <c r="E856" s="1">
        <v>45218</v>
      </c>
      <c r="F856">
        <v>120</v>
      </c>
      <c r="G856">
        <v>3.5</v>
      </c>
      <c r="H856">
        <v>2024</v>
      </c>
      <c r="I856" t="s">
        <v>1052</v>
      </c>
      <c r="J856" t="s">
        <v>1019</v>
      </c>
      <c r="K856">
        <v>4</v>
      </c>
    </row>
    <row r="857" spans="1:11" x14ac:dyDescent="0.3">
      <c r="A857" t="s">
        <v>1901</v>
      </c>
      <c r="B857" t="s">
        <v>1065</v>
      </c>
      <c r="C857">
        <v>126</v>
      </c>
      <c r="D857" t="s">
        <v>1038</v>
      </c>
      <c r="E857" s="1">
        <v>45219</v>
      </c>
      <c r="F857">
        <v>80</v>
      </c>
      <c r="G857">
        <v>4.7</v>
      </c>
      <c r="H857">
        <v>2024</v>
      </c>
      <c r="I857" t="s">
        <v>411</v>
      </c>
      <c r="J857" t="s">
        <v>1031</v>
      </c>
      <c r="K857">
        <v>5</v>
      </c>
    </row>
    <row r="858" spans="1:11" x14ac:dyDescent="0.3">
      <c r="A858" t="s">
        <v>1902</v>
      </c>
      <c r="B858" t="s">
        <v>1047</v>
      </c>
      <c r="C858">
        <v>105</v>
      </c>
      <c r="D858" t="s">
        <v>1029</v>
      </c>
      <c r="E858" s="1">
        <v>45219</v>
      </c>
      <c r="F858">
        <v>185</v>
      </c>
      <c r="G858">
        <v>3.5</v>
      </c>
      <c r="H858">
        <v>2024</v>
      </c>
      <c r="I858" t="s">
        <v>411</v>
      </c>
      <c r="J858" t="s">
        <v>1019</v>
      </c>
      <c r="K858">
        <v>4</v>
      </c>
    </row>
    <row r="859" spans="1:11" x14ac:dyDescent="0.3">
      <c r="A859" t="s">
        <v>1903</v>
      </c>
      <c r="B859" t="s">
        <v>1028</v>
      </c>
      <c r="C859">
        <v>60</v>
      </c>
      <c r="D859" t="s">
        <v>1017</v>
      </c>
      <c r="E859" s="1">
        <v>45220</v>
      </c>
      <c r="F859">
        <v>135</v>
      </c>
      <c r="G859">
        <v>3.9</v>
      </c>
      <c r="H859">
        <v>2024</v>
      </c>
      <c r="I859" t="s">
        <v>1062</v>
      </c>
      <c r="J859" t="s">
        <v>1034</v>
      </c>
      <c r="K859">
        <v>4</v>
      </c>
    </row>
    <row r="860" spans="1:11" x14ac:dyDescent="0.3">
      <c r="A860" t="s">
        <v>1904</v>
      </c>
      <c r="B860" t="s">
        <v>1028</v>
      </c>
      <c r="C860">
        <v>72</v>
      </c>
      <c r="D860" t="s">
        <v>1029</v>
      </c>
      <c r="E860" s="1">
        <v>45220</v>
      </c>
      <c r="F860">
        <v>20</v>
      </c>
      <c r="G860">
        <v>4.8</v>
      </c>
      <c r="H860">
        <v>2024</v>
      </c>
      <c r="I860" t="s">
        <v>1062</v>
      </c>
      <c r="J860" t="s">
        <v>1019</v>
      </c>
      <c r="K860">
        <v>5</v>
      </c>
    </row>
    <row r="861" spans="1:11" x14ac:dyDescent="0.3">
      <c r="A861" t="s">
        <v>1905</v>
      </c>
      <c r="B861" t="s">
        <v>1068</v>
      </c>
      <c r="C861">
        <v>40</v>
      </c>
      <c r="D861" t="s">
        <v>1029</v>
      </c>
      <c r="E861" s="1">
        <v>45220</v>
      </c>
      <c r="F861">
        <v>31</v>
      </c>
      <c r="G861">
        <v>4</v>
      </c>
      <c r="H861">
        <v>2024</v>
      </c>
      <c r="I861" t="s">
        <v>1062</v>
      </c>
      <c r="J861" t="s">
        <v>1034</v>
      </c>
      <c r="K861">
        <v>4</v>
      </c>
    </row>
    <row r="862" spans="1:11" x14ac:dyDescent="0.3">
      <c r="A862" t="s">
        <v>1906</v>
      </c>
      <c r="B862" t="s">
        <v>1098</v>
      </c>
      <c r="C862">
        <v>54</v>
      </c>
      <c r="D862" t="s">
        <v>1038</v>
      </c>
      <c r="E862" s="1">
        <v>45221</v>
      </c>
      <c r="F862">
        <v>120</v>
      </c>
      <c r="G862">
        <v>4.7</v>
      </c>
      <c r="H862">
        <v>2024</v>
      </c>
      <c r="I862" t="s">
        <v>1018</v>
      </c>
      <c r="J862" t="s">
        <v>1034</v>
      </c>
      <c r="K862">
        <v>5</v>
      </c>
    </row>
    <row r="863" spans="1:11" x14ac:dyDescent="0.3">
      <c r="A863" t="s">
        <v>1907</v>
      </c>
      <c r="B863" t="s">
        <v>1021</v>
      </c>
      <c r="C863">
        <v>81</v>
      </c>
      <c r="D863" t="s">
        <v>1024</v>
      </c>
      <c r="E863" s="1">
        <v>45221</v>
      </c>
      <c r="F863">
        <v>117</v>
      </c>
      <c r="G863">
        <v>3.6</v>
      </c>
      <c r="H863">
        <v>2024</v>
      </c>
      <c r="I863" t="s">
        <v>1018</v>
      </c>
      <c r="J863" t="s">
        <v>1019</v>
      </c>
      <c r="K863">
        <v>4</v>
      </c>
    </row>
    <row r="864" spans="1:11" x14ac:dyDescent="0.3">
      <c r="A864" t="s">
        <v>1908</v>
      </c>
      <c r="B864" t="s">
        <v>1098</v>
      </c>
      <c r="C864">
        <v>76</v>
      </c>
      <c r="D864" t="s">
        <v>1042</v>
      </c>
      <c r="E864" s="1">
        <v>45221</v>
      </c>
      <c r="F864">
        <v>80</v>
      </c>
      <c r="G864">
        <v>4.5</v>
      </c>
      <c r="H864">
        <v>2024</v>
      </c>
      <c r="I864" t="s">
        <v>1018</v>
      </c>
      <c r="J864" t="s">
        <v>1019</v>
      </c>
      <c r="K864">
        <v>5</v>
      </c>
    </row>
    <row r="865" spans="1:11" x14ac:dyDescent="0.3">
      <c r="A865" t="s">
        <v>1909</v>
      </c>
      <c r="B865" t="s">
        <v>1098</v>
      </c>
      <c r="C865">
        <v>37</v>
      </c>
      <c r="D865" t="s">
        <v>1017</v>
      </c>
      <c r="E865" s="1">
        <v>45222</v>
      </c>
      <c r="F865">
        <v>117</v>
      </c>
      <c r="G865">
        <v>4</v>
      </c>
      <c r="H865">
        <v>2024</v>
      </c>
      <c r="I865" t="s">
        <v>1030</v>
      </c>
      <c r="J865" t="s">
        <v>1034</v>
      </c>
      <c r="K865">
        <v>4</v>
      </c>
    </row>
    <row r="866" spans="1:11" x14ac:dyDescent="0.3">
      <c r="A866" t="s">
        <v>1910</v>
      </c>
      <c r="B866" t="s">
        <v>1047</v>
      </c>
      <c r="C866">
        <v>96</v>
      </c>
      <c r="D866" t="s">
        <v>1038</v>
      </c>
      <c r="E866" s="1">
        <v>45222</v>
      </c>
      <c r="F866">
        <v>60</v>
      </c>
      <c r="G866">
        <v>4.5</v>
      </c>
      <c r="H866">
        <v>2024</v>
      </c>
      <c r="I866" t="s">
        <v>1030</v>
      </c>
      <c r="J866" t="s">
        <v>1019</v>
      </c>
      <c r="K866">
        <v>5</v>
      </c>
    </row>
    <row r="867" spans="1:11" x14ac:dyDescent="0.3">
      <c r="A867" t="s">
        <v>1911</v>
      </c>
      <c r="B867" t="s">
        <v>1028</v>
      </c>
      <c r="C867">
        <v>19</v>
      </c>
      <c r="D867" t="s">
        <v>1042</v>
      </c>
      <c r="E867" s="1">
        <v>45223</v>
      </c>
      <c r="F867">
        <v>58</v>
      </c>
      <c r="G867">
        <v>3.9</v>
      </c>
      <c r="H867">
        <v>2024</v>
      </c>
      <c r="I867" t="s">
        <v>1033</v>
      </c>
      <c r="J867" t="s">
        <v>1056</v>
      </c>
      <c r="K867">
        <v>4</v>
      </c>
    </row>
    <row r="868" spans="1:11" x14ac:dyDescent="0.3">
      <c r="A868" t="s">
        <v>1912</v>
      </c>
      <c r="B868" t="s">
        <v>1068</v>
      </c>
      <c r="C868">
        <v>72</v>
      </c>
      <c r="D868" t="s">
        <v>1017</v>
      </c>
      <c r="E868" s="1">
        <v>45223</v>
      </c>
      <c r="F868">
        <v>41</v>
      </c>
      <c r="G868">
        <v>4.3</v>
      </c>
      <c r="H868">
        <v>2024</v>
      </c>
      <c r="I868" t="s">
        <v>1033</v>
      </c>
      <c r="J868" t="s">
        <v>1019</v>
      </c>
      <c r="K868">
        <v>4</v>
      </c>
    </row>
    <row r="869" spans="1:11" x14ac:dyDescent="0.3">
      <c r="A869" t="s">
        <v>1913</v>
      </c>
      <c r="B869" t="s">
        <v>1026</v>
      </c>
      <c r="C869">
        <v>73</v>
      </c>
      <c r="D869" t="s">
        <v>1024</v>
      </c>
      <c r="E869" s="1">
        <v>45223</v>
      </c>
      <c r="F869">
        <v>180</v>
      </c>
      <c r="G869">
        <v>3.6</v>
      </c>
      <c r="H869">
        <v>2024</v>
      </c>
      <c r="I869" t="s">
        <v>1033</v>
      </c>
      <c r="J869" t="s">
        <v>1019</v>
      </c>
      <c r="K869">
        <v>4</v>
      </c>
    </row>
    <row r="870" spans="1:11" x14ac:dyDescent="0.3">
      <c r="A870" t="s">
        <v>1914</v>
      </c>
      <c r="B870" t="s">
        <v>1078</v>
      </c>
      <c r="C870">
        <v>87</v>
      </c>
      <c r="D870" t="s">
        <v>1024</v>
      </c>
      <c r="E870" s="1">
        <v>45223</v>
      </c>
      <c r="F870">
        <v>42</v>
      </c>
      <c r="G870">
        <v>3.6</v>
      </c>
      <c r="H870">
        <v>2024</v>
      </c>
      <c r="I870" t="s">
        <v>1033</v>
      </c>
      <c r="J870" t="s">
        <v>1019</v>
      </c>
      <c r="K870">
        <v>4</v>
      </c>
    </row>
    <row r="871" spans="1:11" x14ac:dyDescent="0.3">
      <c r="A871" t="s">
        <v>1915</v>
      </c>
      <c r="B871" t="s">
        <v>1078</v>
      </c>
      <c r="C871">
        <v>68</v>
      </c>
      <c r="D871" t="s">
        <v>1024</v>
      </c>
      <c r="E871" s="1">
        <v>45224</v>
      </c>
      <c r="F871">
        <v>24</v>
      </c>
      <c r="G871">
        <v>4</v>
      </c>
      <c r="H871">
        <v>2024</v>
      </c>
      <c r="I871" t="s">
        <v>1048</v>
      </c>
      <c r="J871" t="s">
        <v>1019</v>
      </c>
      <c r="K871">
        <v>4</v>
      </c>
    </row>
    <row r="872" spans="1:11" x14ac:dyDescent="0.3">
      <c r="A872" t="s">
        <v>1916</v>
      </c>
      <c r="B872" t="s">
        <v>1068</v>
      </c>
      <c r="C872">
        <v>101</v>
      </c>
      <c r="D872" t="s">
        <v>1024</v>
      </c>
      <c r="E872" s="1">
        <v>45224</v>
      </c>
      <c r="F872">
        <v>125</v>
      </c>
      <c r="G872">
        <v>4.2</v>
      </c>
      <c r="H872">
        <v>2024</v>
      </c>
      <c r="I872" t="s">
        <v>1048</v>
      </c>
      <c r="J872" t="s">
        <v>1019</v>
      </c>
      <c r="K872">
        <v>4</v>
      </c>
    </row>
    <row r="873" spans="1:11" x14ac:dyDescent="0.3">
      <c r="A873" t="s">
        <v>1917</v>
      </c>
      <c r="B873" t="s">
        <v>1068</v>
      </c>
      <c r="C873">
        <v>107</v>
      </c>
      <c r="D873" t="s">
        <v>1017</v>
      </c>
      <c r="E873" s="1">
        <v>45225</v>
      </c>
      <c r="F873">
        <v>78</v>
      </c>
      <c r="G873">
        <v>4.3</v>
      </c>
      <c r="H873">
        <v>2024</v>
      </c>
      <c r="I873" t="s">
        <v>1052</v>
      </c>
      <c r="J873" t="s">
        <v>1019</v>
      </c>
      <c r="K873">
        <v>4</v>
      </c>
    </row>
    <row r="874" spans="1:11" x14ac:dyDescent="0.3">
      <c r="A874" t="s">
        <v>1918</v>
      </c>
      <c r="B874" t="s">
        <v>1055</v>
      </c>
      <c r="C874">
        <v>109</v>
      </c>
      <c r="D874" t="s">
        <v>1029</v>
      </c>
      <c r="E874" s="1">
        <v>45225</v>
      </c>
      <c r="F874">
        <v>180</v>
      </c>
      <c r="G874">
        <v>3.8</v>
      </c>
      <c r="H874">
        <v>2024</v>
      </c>
      <c r="I874" t="s">
        <v>1052</v>
      </c>
      <c r="J874" t="s">
        <v>1019</v>
      </c>
      <c r="K874">
        <v>4</v>
      </c>
    </row>
    <row r="875" spans="1:11" x14ac:dyDescent="0.3">
      <c r="A875" t="s">
        <v>1919</v>
      </c>
      <c r="B875" t="s">
        <v>1045</v>
      </c>
      <c r="C875">
        <v>171</v>
      </c>
      <c r="D875" t="s">
        <v>1017</v>
      </c>
      <c r="E875" s="1">
        <v>45225</v>
      </c>
      <c r="F875">
        <v>84</v>
      </c>
      <c r="G875">
        <v>4.4000000000000004</v>
      </c>
      <c r="H875">
        <v>2024</v>
      </c>
      <c r="I875" t="s">
        <v>1052</v>
      </c>
      <c r="J875" t="s">
        <v>1031</v>
      </c>
      <c r="K875">
        <v>4</v>
      </c>
    </row>
    <row r="876" spans="1:11" x14ac:dyDescent="0.3">
      <c r="A876" t="s">
        <v>1920</v>
      </c>
      <c r="B876" t="s">
        <v>1028</v>
      </c>
      <c r="C876">
        <v>21</v>
      </c>
      <c r="D876" t="s">
        <v>1017</v>
      </c>
      <c r="E876" s="1">
        <v>45225</v>
      </c>
      <c r="F876">
        <v>26</v>
      </c>
      <c r="G876">
        <v>4.7</v>
      </c>
      <c r="H876">
        <v>2024</v>
      </c>
      <c r="I876" t="s">
        <v>1052</v>
      </c>
      <c r="J876" t="s">
        <v>1056</v>
      </c>
      <c r="K876">
        <v>5</v>
      </c>
    </row>
    <row r="877" spans="1:11" x14ac:dyDescent="0.3">
      <c r="A877" t="s">
        <v>1921</v>
      </c>
      <c r="B877" t="s">
        <v>1021</v>
      </c>
      <c r="C877">
        <v>94</v>
      </c>
      <c r="D877" t="s">
        <v>1017</v>
      </c>
      <c r="E877" s="1">
        <v>45226</v>
      </c>
      <c r="F877">
        <v>140</v>
      </c>
      <c r="G877">
        <v>3.6</v>
      </c>
      <c r="H877">
        <v>2024</v>
      </c>
      <c r="I877" t="s">
        <v>411</v>
      </c>
      <c r="J877" t="s">
        <v>1019</v>
      </c>
      <c r="K877">
        <v>4</v>
      </c>
    </row>
    <row r="878" spans="1:11" x14ac:dyDescent="0.3">
      <c r="A878" t="s">
        <v>1922</v>
      </c>
      <c r="B878" t="s">
        <v>1026</v>
      </c>
      <c r="C878">
        <v>97</v>
      </c>
      <c r="D878" t="s">
        <v>1029</v>
      </c>
      <c r="E878" s="1">
        <v>45226</v>
      </c>
      <c r="F878">
        <v>31</v>
      </c>
      <c r="G878">
        <v>2.2000000000000002</v>
      </c>
      <c r="H878">
        <v>2024</v>
      </c>
      <c r="I878" t="s">
        <v>411</v>
      </c>
      <c r="J878" t="s">
        <v>1019</v>
      </c>
      <c r="K878">
        <v>2</v>
      </c>
    </row>
    <row r="879" spans="1:11" x14ac:dyDescent="0.3">
      <c r="A879" t="s">
        <v>1923</v>
      </c>
      <c r="B879" t="s">
        <v>1047</v>
      </c>
      <c r="C879">
        <v>72</v>
      </c>
      <c r="D879" t="s">
        <v>1029</v>
      </c>
      <c r="E879" s="1">
        <v>45226</v>
      </c>
      <c r="F879">
        <v>108</v>
      </c>
      <c r="G879">
        <v>4.8</v>
      </c>
      <c r="H879">
        <v>2024</v>
      </c>
      <c r="I879" t="s">
        <v>411</v>
      </c>
      <c r="J879" t="s">
        <v>1019</v>
      </c>
      <c r="K879">
        <v>5</v>
      </c>
    </row>
    <row r="880" spans="1:11" x14ac:dyDescent="0.3">
      <c r="A880" t="s">
        <v>1924</v>
      </c>
      <c r="B880" t="s">
        <v>1045</v>
      </c>
      <c r="C880">
        <v>143</v>
      </c>
      <c r="D880" t="s">
        <v>1038</v>
      </c>
      <c r="E880" s="1">
        <v>45227</v>
      </c>
      <c r="F880">
        <v>58</v>
      </c>
      <c r="G880">
        <v>4.3</v>
      </c>
      <c r="H880">
        <v>2024</v>
      </c>
      <c r="I880" t="s">
        <v>1062</v>
      </c>
      <c r="J880" t="s">
        <v>1031</v>
      </c>
      <c r="K880">
        <v>4</v>
      </c>
    </row>
    <row r="881" spans="1:11" x14ac:dyDescent="0.3">
      <c r="A881" t="s">
        <v>1925</v>
      </c>
      <c r="B881" t="s">
        <v>1045</v>
      </c>
      <c r="C881">
        <v>64</v>
      </c>
      <c r="D881" t="s">
        <v>1029</v>
      </c>
      <c r="E881" s="1">
        <v>45227</v>
      </c>
      <c r="F881">
        <v>185</v>
      </c>
      <c r="G881">
        <v>2.2000000000000002</v>
      </c>
      <c r="H881">
        <v>2024</v>
      </c>
      <c r="I881" t="s">
        <v>1062</v>
      </c>
      <c r="J881" t="s">
        <v>1019</v>
      </c>
      <c r="K881">
        <v>2</v>
      </c>
    </row>
    <row r="882" spans="1:11" x14ac:dyDescent="0.3">
      <c r="A882" t="s">
        <v>1926</v>
      </c>
      <c r="B882" t="s">
        <v>1045</v>
      </c>
      <c r="C882">
        <v>69</v>
      </c>
      <c r="D882" t="s">
        <v>1029</v>
      </c>
      <c r="E882" s="1">
        <v>45227</v>
      </c>
      <c r="F882">
        <v>40</v>
      </c>
      <c r="G882">
        <v>4.8</v>
      </c>
      <c r="H882">
        <v>2024</v>
      </c>
      <c r="I882" t="s">
        <v>1062</v>
      </c>
      <c r="J882" t="s">
        <v>1019</v>
      </c>
      <c r="K882">
        <v>5</v>
      </c>
    </row>
    <row r="883" spans="1:11" x14ac:dyDescent="0.3">
      <c r="A883" t="s">
        <v>1927</v>
      </c>
      <c r="B883" t="s">
        <v>1045</v>
      </c>
      <c r="C883">
        <v>18</v>
      </c>
      <c r="D883" t="s">
        <v>1042</v>
      </c>
      <c r="E883" s="1">
        <v>45227</v>
      </c>
      <c r="F883">
        <v>225</v>
      </c>
      <c r="G883">
        <v>2.6</v>
      </c>
      <c r="H883">
        <v>2024</v>
      </c>
      <c r="I883" t="s">
        <v>1062</v>
      </c>
      <c r="J883" t="s">
        <v>1056</v>
      </c>
      <c r="K883">
        <v>3</v>
      </c>
    </row>
    <row r="884" spans="1:11" x14ac:dyDescent="0.3">
      <c r="A884" t="s">
        <v>1928</v>
      </c>
      <c r="B884" t="s">
        <v>1026</v>
      </c>
      <c r="C884">
        <v>100</v>
      </c>
      <c r="D884" t="s">
        <v>1038</v>
      </c>
      <c r="E884" s="1">
        <v>45227</v>
      </c>
      <c r="F884">
        <v>150</v>
      </c>
      <c r="G884">
        <v>2.6</v>
      </c>
      <c r="H884">
        <v>2024</v>
      </c>
      <c r="I884" t="s">
        <v>1062</v>
      </c>
      <c r="J884" t="s">
        <v>1019</v>
      </c>
      <c r="K884">
        <v>3</v>
      </c>
    </row>
    <row r="885" spans="1:11" x14ac:dyDescent="0.3">
      <c r="A885" t="s">
        <v>1929</v>
      </c>
      <c r="B885" t="s">
        <v>1041</v>
      </c>
      <c r="C885">
        <v>110</v>
      </c>
      <c r="D885" t="s">
        <v>1024</v>
      </c>
      <c r="E885" s="1">
        <v>45228</v>
      </c>
      <c r="F885">
        <v>88</v>
      </c>
      <c r="G885">
        <v>3.4</v>
      </c>
      <c r="H885">
        <v>2024</v>
      </c>
      <c r="I885" t="s">
        <v>1018</v>
      </c>
      <c r="J885" t="s">
        <v>1019</v>
      </c>
      <c r="K885">
        <v>3</v>
      </c>
    </row>
    <row r="886" spans="1:11" x14ac:dyDescent="0.3">
      <c r="A886" t="s">
        <v>1930</v>
      </c>
      <c r="B886" t="s">
        <v>1059</v>
      </c>
      <c r="C886">
        <v>41</v>
      </c>
      <c r="D886" t="s">
        <v>1017</v>
      </c>
      <c r="E886" s="1">
        <v>45228</v>
      </c>
      <c r="F886">
        <v>140</v>
      </c>
      <c r="G886">
        <v>3.7</v>
      </c>
      <c r="H886">
        <v>2024</v>
      </c>
      <c r="I886" t="s">
        <v>1018</v>
      </c>
      <c r="J886" t="s">
        <v>1034</v>
      </c>
      <c r="K886">
        <v>4</v>
      </c>
    </row>
    <row r="887" spans="1:11" x14ac:dyDescent="0.3">
      <c r="A887" t="s">
        <v>1931</v>
      </c>
      <c r="B887" t="s">
        <v>1041</v>
      </c>
      <c r="C887">
        <v>147</v>
      </c>
      <c r="D887" t="s">
        <v>1024</v>
      </c>
      <c r="E887" s="1">
        <v>45228</v>
      </c>
      <c r="F887">
        <v>68</v>
      </c>
      <c r="G887">
        <v>2.1</v>
      </c>
      <c r="H887">
        <v>2024</v>
      </c>
      <c r="I887" t="s">
        <v>1018</v>
      </c>
      <c r="J887" t="s">
        <v>1031</v>
      </c>
      <c r="K887">
        <v>2</v>
      </c>
    </row>
    <row r="888" spans="1:11" x14ac:dyDescent="0.3">
      <c r="A888" t="s">
        <v>1932</v>
      </c>
      <c r="B888" t="s">
        <v>1021</v>
      </c>
      <c r="C888">
        <v>31</v>
      </c>
      <c r="D888" t="s">
        <v>1042</v>
      </c>
      <c r="E888" s="1">
        <v>45229</v>
      </c>
      <c r="F888">
        <v>105</v>
      </c>
      <c r="G888">
        <v>3.6</v>
      </c>
      <c r="H888">
        <v>2024</v>
      </c>
      <c r="I888" t="s">
        <v>1030</v>
      </c>
      <c r="J888" t="s">
        <v>1034</v>
      </c>
      <c r="K888">
        <v>4</v>
      </c>
    </row>
    <row r="889" spans="1:11" x14ac:dyDescent="0.3">
      <c r="A889" t="s">
        <v>1933</v>
      </c>
      <c r="B889" t="s">
        <v>1078</v>
      </c>
      <c r="C889">
        <v>142</v>
      </c>
      <c r="D889" t="s">
        <v>1017</v>
      </c>
      <c r="E889" s="1">
        <v>45229</v>
      </c>
      <c r="F889">
        <v>40</v>
      </c>
      <c r="G889">
        <v>3.8</v>
      </c>
      <c r="H889">
        <v>2024</v>
      </c>
      <c r="I889" t="s">
        <v>1030</v>
      </c>
      <c r="J889" t="s">
        <v>1031</v>
      </c>
      <c r="K889">
        <v>4</v>
      </c>
    </row>
    <row r="890" spans="1:11" x14ac:dyDescent="0.3">
      <c r="A890" t="s">
        <v>1934</v>
      </c>
      <c r="B890" t="s">
        <v>1055</v>
      </c>
      <c r="C890">
        <v>61</v>
      </c>
      <c r="D890" t="s">
        <v>1017</v>
      </c>
      <c r="E890" s="1">
        <v>45229</v>
      </c>
      <c r="F890">
        <v>82</v>
      </c>
      <c r="G890">
        <v>3.1</v>
      </c>
      <c r="H890">
        <v>2024</v>
      </c>
      <c r="I890" t="s">
        <v>1030</v>
      </c>
      <c r="J890" t="s">
        <v>1019</v>
      </c>
      <c r="K890">
        <v>3</v>
      </c>
    </row>
    <row r="891" spans="1:11" x14ac:dyDescent="0.3">
      <c r="A891" t="s">
        <v>1935</v>
      </c>
      <c r="B891" t="s">
        <v>1016</v>
      </c>
      <c r="C891">
        <v>86</v>
      </c>
      <c r="D891" t="s">
        <v>1042</v>
      </c>
      <c r="E891" s="1">
        <v>45230</v>
      </c>
      <c r="F891">
        <v>90</v>
      </c>
      <c r="G891">
        <v>4.4000000000000004</v>
      </c>
      <c r="H891">
        <v>2024</v>
      </c>
      <c r="I891" t="s">
        <v>1033</v>
      </c>
      <c r="J891" t="s">
        <v>1019</v>
      </c>
      <c r="K891">
        <v>4</v>
      </c>
    </row>
    <row r="892" spans="1:11" x14ac:dyDescent="0.3">
      <c r="A892" t="s">
        <v>1936</v>
      </c>
      <c r="B892" t="s">
        <v>1023</v>
      </c>
      <c r="C892">
        <v>165</v>
      </c>
      <c r="D892" t="s">
        <v>1038</v>
      </c>
      <c r="E892" s="1">
        <v>45231</v>
      </c>
      <c r="F892">
        <v>66</v>
      </c>
      <c r="G892">
        <v>4.8</v>
      </c>
      <c r="H892">
        <v>2024</v>
      </c>
      <c r="I892" t="s">
        <v>1048</v>
      </c>
      <c r="J892" t="s">
        <v>1031</v>
      </c>
      <c r="K892">
        <v>5</v>
      </c>
    </row>
    <row r="893" spans="1:11" x14ac:dyDescent="0.3">
      <c r="A893" t="s">
        <v>1937</v>
      </c>
      <c r="B893" t="s">
        <v>1098</v>
      </c>
      <c r="C893">
        <v>62</v>
      </c>
      <c r="D893" t="s">
        <v>1024</v>
      </c>
      <c r="E893" s="1">
        <v>45231</v>
      </c>
      <c r="F893">
        <v>78</v>
      </c>
      <c r="G893">
        <v>3.5</v>
      </c>
      <c r="H893">
        <v>2024</v>
      </c>
      <c r="I893" t="s">
        <v>1048</v>
      </c>
      <c r="J893" t="s">
        <v>1019</v>
      </c>
      <c r="K893">
        <v>4</v>
      </c>
    </row>
    <row r="894" spans="1:11" x14ac:dyDescent="0.3">
      <c r="A894" t="s">
        <v>1938</v>
      </c>
      <c r="B894" t="s">
        <v>1026</v>
      </c>
      <c r="C894">
        <v>103</v>
      </c>
      <c r="D894" t="s">
        <v>1038</v>
      </c>
      <c r="E894" s="1">
        <v>45232</v>
      </c>
      <c r="F894">
        <v>66</v>
      </c>
      <c r="G894">
        <v>4.4000000000000004</v>
      </c>
      <c r="H894">
        <v>2024</v>
      </c>
      <c r="I894" t="s">
        <v>1052</v>
      </c>
      <c r="J894" t="s">
        <v>1019</v>
      </c>
      <c r="K894">
        <v>4</v>
      </c>
    </row>
    <row r="895" spans="1:11" x14ac:dyDescent="0.3">
      <c r="A895" t="s">
        <v>1939</v>
      </c>
      <c r="B895" t="s">
        <v>1078</v>
      </c>
      <c r="C895">
        <v>56</v>
      </c>
      <c r="D895" t="s">
        <v>1042</v>
      </c>
      <c r="E895" s="1">
        <v>45233</v>
      </c>
      <c r="F895">
        <v>160</v>
      </c>
      <c r="G895">
        <v>3.8</v>
      </c>
      <c r="H895">
        <v>2024</v>
      </c>
      <c r="I895" t="s">
        <v>411</v>
      </c>
      <c r="J895" t="s">
        <v>1034</v>
      </c>
      <c r="K895">
        <v>4</v>
      </c>
    </row>
    <row r="896" spans="1:11" x14ac:dyDescent="0.3">
      <c r="A896" t="s">
        <v>1940</v>
      </c>
      <c r="B896" t="s">
        <v>1068</v>
      </c>
      <c r="C896">
        <v>114</v>
      </c>
      <c r="D896" t="s">
        <v>1017</v>
      </c>
      <c r="E896" s="1">
        <v>45234</v>
      </c>
      <c r="F896">
        <v>144</v>
      </c>
      <c r="G896">
        <v>3.8</v>
      </c>
      <c r="H896">
        <v>2024</v>
      </c>
      <c r="I896" t="s">
        <v>1062</v>
      </c>
      <c r="J896" t="s">
        <v>1019</v>
      </c>
      <c r="K896">
        <v>4</v>
      </c>
    </row>
    <row r="897" spans="1:11" x14ac:dyDescent="0.3">
      <c r="A897" t="s">
        <v>1941</v>
      </c>
      <c r="B897" t="s">
        <v>1078</v>
      </c>
      <c r="C897">
        <v>112</v>
      </c>
      <c r="D897" t="s">
        <v>1029</v>
      </c>
      <c r="E897" s="1">
        <v>45234</v>
      </c>
      <c r="F897">
        <v>200</v>
      </c>
      <c r="G897">
        <v>4.5999999999999996</v>
      </c>
      <c r="H897">
        <v>2024</v>
      </c>
      <c r="I897" t="s">
        <v>1062</v>
      </c>
      <c r="J897" t="s">
        <v>1019</v>
      </c>
      <c r="K897">
        <v>5</v>
      </c>
    </row>
    <row r="898" spans="1:11" x14ac:dyDescent="0.3">
      <c r="A898" t="s">
        <v>1942</v>
      </c>
      <c r="B898" t="s">
        <v>1036</v>
      </c>
      <c r="C898">
        <v>52</v>
      </c>
      <c r="D898" t="s">
        <v>1024</v>
      </c>
      <c r="E898" s="1">
        <v>45236</v>
      </c>
      <c r="F898">
        <v>220</v>
      </c>
      <c r="G898">
        <v>5</v>
      </c>
      <c r="H898">
        <v>2024</v>
      </c>
      <c r="I898" t="s">
        <v>1030</v>
      </c>
      <c r="J898" t="s">
        <v>1034</v>
      </c>
      <c r="K898">
        <v>5</v>
      </c>
    </row>
    <row r="899" spans="1:11" x14ac:dyDescent="0.3">
      <c r="A899" t="s">
        <v>1943</v>
      </c>
      <c r="B899" t="s">
        <v>1026</v>
      </c>
      <c r="C899">
        <v>105</v>
      </c>
      <c r="D899" t="s">
        <v>1038</v>
      </c>
      <c r="E899" s="1">
        <v>45237</v>
      </c>
      <c r="F899">
        <v>112</v>
      </c>
      <c r="G899">
        <v>3.2</v>
      </c>
      <c r="H899">
        <v>2024</v>
      </c>
      <c r="I899" t="s">
        <v>1033</v>
      </c>
      <c r="J899" t="s">
        <v>1019</v>
      </c>
      <c r="K899">
        <v>3</v>
      </c>
    </row>
    <row r="900" spans="1:11" x14ac:dyDescent="0.3">
      <c r="A900" t="s">
        <v>1944</v>
      </c>
      <c r="B900" t="s">
        <v>1023</v>
      </c>
      <c r="C900">
        <v>91</v>
      </c>
      <c r="D900" t="s">
        <v>1042</v>
      </c>
      <c r="E900" s="1">
        <v>45237</v>
      </c>
      <c r="F900">
        <v>110</v>
      </c>
      <c r="G900">
        <v>3.7</v>
      </c>
      <c r="H900">
        <v>2024</v>
      </c>
      <c r="I900" t="s">
        <v>1033</v>
      </c>
      <c r="J900" t="s">
        <v>1019</v>
      </c>
      <c r="K900">
        <v>4</v>
      </c>
    </row>
    <row r="901" spans="1:11" x14ac:dyDescent="0.3">
      <c r="A901" t="s">
        <v>1945</v>
      </c>
      <c r="B901" t="s">
        <v>1065</v>
      </c>
      <c r="C901">
        <v>74</v>
      </c>
      <c r="D901" t="s">
        <v>1017</v>
      </c>
      <c r="E901" s="1">
        <v>45238</v>
      </c>
      <c r="F901">
        <v>160</v>
      </c>
      <c r="G901">
        <v>2.7</v>
      </c>
      <c r="H901">
        <v>2024</v>
      </c>
      <c r="I901" t="s">
        <v>1048</v>
      </c>
      <c r="J901" t="s">
        <v>1019</v>
      </c>
      <c r="K901">
        <v>3</v>
      </c>
    </row>
    <row r="902" spans="1:11" x14ac:dyDescent="0.3">
      <c r="A902" t="s">
        <v>1946</v>
      </c>
      <c r="B902" t="s">
        <v>1065</v>
      </c>
      <c r="C902">
        <v>30</v>
      </c>
      <c r="D902" t="s">
        <v>1042</v>
      </c>
      <c r="E902" s="1">
        <v>45238</v>
      </c>
      <c r="F902">
        <v>84</v>
      </c>
      <c r="G902">
        <v>4</v>
      </c>
      <c r="H902">
        <v>2024</v>
      </c>
      <c r="I902" t="s">
        <v>1048</v>
      </c>
      <c r="J902" t="s">
        <v>1056</v>
      </c>
      <c r="K902">
        <v>4</v>
      </c>
    </row>
    <row r="903" spans="1:11" x14ac:dyDescent="0.3">
      <c r="A903" t="s">
        <v>1947</v>
      </c>
      <c r="B903" t="s">
        <v>1023</v>
      </c>
      <c r="C903">
        <v>56</v>
      </c>
      <c r="D903" t="s">
        <v>1024</v>
      </c>
      <c r="E903" s="1">
        <v>45238</v>
      </c>
      <c r="F903">
        <v>124</v>
      </c>
      <c r="G903">
        <v>2.6</v>
      </c>
      <c r="H903">
        <v>2024</v>
      </c>
      <c r="I903" t="s">
        <v>1048</v>
      </c>
      <c r="J903" t="s">
        <v>1034</v>
      </c>
      <c r="K903">
        <v>3</v>
      </c>
    </row>
    <row r="904" spans="1:11" x14ac:dyDescent="0.3">
      <c r="A904" t="s">
        <v>1948</v>
      </c>
      <c r="B904" t="s">
        <v>1065</v>
      </c>
      <c r="C904">
        <v>151</v>
      </c>
      <c r="D904" t="s">
        <v>1029</v>
      </c>
      <c r="E904" s="1">
        <v>45238</v>
      </c>
      <c r="F904">
        <v>84</v>
      </c>
      <c r="G904">
        <v>4.5999999999999996</v>
      </c>
      <c r="H904">
        <v>2024</v>
      </c>
      <c r="I904" t="s">
        <v>1048</v>
      </c>
      <c r="J904" t="s">
        <v>1031</v>
      </c>
      <c r="K904">
        <v>5</v>
      </c>
    </row>
    <row r="905" spans="1:11" x14ac:dyDescent="0.3">
      <c r="A905" t="s">
        <v>1949</v>
      </c>
      <c r="B905" t="s">
        <v>1021</v>
      </c>
      <c r="C905">
        <v>108</v>
      </c>
      <c r="D905" t="s">
        <v>1038</v>
      </c>
      <c r="E905" s="1">
        <v>45239</v>
      </c>
      <c r="F905">
        <v>130</v>
      </c>
      <c r="G905">
        <v>2.7</v>
      </c>
      <c r="H905">
        <v>2024</v>
      </c>
      <c r="I905" t="s">
        <v>1052</v>
      </c>
      <c r="J905" t="s">
        <v>1019</v>
      </c>
      <c r="K905">
        <v>3</v>
      </c>
    </row>
    <row r="906" spans="1:11" x14ac:dyDescent="0.3">
      <c r="A906" t="s">
        <v>1950</v>
      </c>
      <c r="B906" t="s">
        <v>1068</v>
      </c>
      <c r="C906">
        <v>124</v>
      </c>
      <c r="D906" t="s">
        <v>1017</v>
      </c>
      <c r="E906" s="1">
        <v>45239</v>
      </c>
      <c r="F906">
        <v>215</v>
      </c>
      <c r="G906">
        <v>3.5</v>
      </c>
      <c r="H906">
        <v>2024</v>
      </c>
      <c r="I906" t="s">
        <v>1052</v>
      </c>
      <c r="J906" t="s">
        <v>1031</v>
      </c>
      <c r="K906">
        <v>4</v>
      </c>
    </row>
    <row r="907" spans="1:11" x14ac:dyDescent="0.3">
      <c r="A907" t="s">
        <v>1951</v>
      </c>
      <c r="B907" t="s">
        <v>1026</v>
      </c>
      <c r="C907">
        <v>110</v>
      </c>
      <c r="D907" t="s">
        <v>1024</v>
      </c>
      <c r="E907" s="1">
        <v>45240</v>
      </c>
      <c r="F907">
        <v>132</v>
      </c>
      <c r="G907">
        <v>3.6</v>
      </c>
      <c r="H907">
        <v>2024</v>
      </c>
      <c r="I907" t="s">
        <v>411</v>
      </c>
      <c r="J907" t="s">
        <v>1019</v>
      </c>
      <c r="K907">
        <v>4</v>
      </c>
    </row>
    <row r="908" spans="1:11" x14ac:dyDescent="0.3">
      <c r="A908" t="s">
        <v>1952</v>
      </c>
      <c r="B908" t="s">
        <v>1041</v>
      </c>
      <c r="C908">
        <v>89</v>
      </c>
      <c r="D908" t="s">
        <v>1038</v>
      </c>
      <c r="E908" s="1">
        <v>45240</v>
      </c>
      <c r="F908">
        <v>88</v>
      </c>
      <c r="G908">
        <v>4.9000000000000004</v>
      </c>
      <c r="H908">
        <v>2024</v>
      </c>
      <c r="I908" t="s">
        <v>411</v>
      </c>
      <c r="J908" t="s">
        <v>1019</v>
      </c>
      <c r="K908">
        <v>5</v>
      </c>
    </row>
    <row r="909" spans="1:11" x14ac:dyDescent="0.3">
      <c r="A909" t="s">
        <v>1953</v>
      </c>
      <c r="B909" t="s">
        <v>1016</v>
      </c>
      <c r="C909">
        <v>95</v>
      </c>
      <c r="D909" t="s">
        <v>1024</v>
      </c>
      <c r="E909" s="1">
        <v>45240</v>
      </c>
      <c r="F909">
        <v>140</v>
      </c>
      <c r="G909">
        <v>3.9</v>
      </c>
      <c r="H909">
        <v>2024</v>
      </c>
      <c r="I909" t="s">
        <v>411</v>
      </c>
      <c r="J909" t="s">
        <v>1019</v>
      </c>
      <c r="K909">
        <v>4</v>
      </c>
    </row>
    <row r="910" spans="1:11" x14ac:dyDescent="0.3">
      <c r="A910" t="s">
        <v>1954</v>
      </c>
      <c r="B910" t="s">
        <v>1065</v>
      </c>
      <c r="C910">
        <v>84</v>
      </c>
      <c r="D910" t="s">
        <v>1038</v>
      </c>
      <c r="E910" s="1">
        <v>45241</v>
      </c>
      <c r="F910">
        <v>66</v>
      </c>
      <c r="G910">
        <v>4.7</v>
      </c>
      <c r="H910">
        <v>2024</v>
      </c>
      <c r="I910" t="s">
        <v>1062</v>
      </c>
      <c r="J910" t="s">
        <v>1019</v>
      </c>
      <c r="K910">
        <v>5</v>
      </c>
    </row>
    <row r="911" spans="1:11" x14ac:dyDescent="0.3">
      <c r="A911" t="s">
        <v>1955</v>
      </c>
      <c r="B911" t="s">
        <v>1047</v>
      </c>
      <c r="C911">
        <v>89</v>
      </c>
      <c r="D911" t="s">
        <v>1017</v>
      </c>
      <c r="E911" s="1">
        <v>45241</v>
      </c>
      <c r="F911">
        <v>23</v>
      </c>
      <c r="G911">
        <v>4.5</v>
      </c>
      <c r="H911">
        <v>2024</v>
      </c>
      <c r="I911" t="s">
        <v>1062</v>
      </c>
      <c r="J911" t="s">
        <v>1019</v>
      </c>
      <c r="K911">
        <v>5</v>
      </c>
    </row>
    <row r="912" spans="1:11" x14ac:dyDescent="0.3">
      <c r="A912" t="s">
        <v>1956</v>
      </c>
      <c r="B912" t="s">
        <v>1041</v>
      </c>
      <c r="C912">
        <v>146</v>
      </c>
      <c r="D912" t="s">
        <v>1017</v>
      </c>
      <c r="E912" s="1">
        <v>45242</v>
      </c>
      <c r="F912">
        <v>220</v>
      </c>
      <c r="G912">
        <v>4.5</v>
      </c>
      <c r="H912">
        <v>2024</v>
      </c>
      <c r="I912" t="s">
        <v>1018</v>
      </c>
      <c r="J912" t="s">
        <v>1031</v>
      </c>
      <c r="K912">
        <v>5</v>
      </c>
    </row>
    <row r="913" spans="1:11" x14ac:dyDescent="0.3">
      <c r="A913" t="s">
        <v>1957</v>
      </c>
      <c r="B913" t="s">
        <v>1045</v>
      </c>
      <c r="C913">
        <v>62</v>
      </c>
      <c r="D913" t="s">
        <v>1042</v>
      </c>
      <c r="E913" s="1">
        <v>45243</v>
      </c>
      <c r="F913">
        <v>175</v>
      </c>
      <c r="G913">
        <v>4.4000000000000004</v>
      </c>
      <c r="H913">
        <v>2024</v>
      </c>
      <c r="I913" t="s">
        <v>1030</v>
      </c>
      <c r="J913" t="s">
        <v>1019</v>
      </c>
      <c r="K913">
        <v>4</v>
      </c>
    </row>
    <row r="914" spans="1:11" x14ac:dyDescent="0.3">
      <c r="A914" t="s">
        <v>1958</v>
      </c>
      <c r="B914" t="s">
        <v>1078</v>
      </c>
      <c r="C914">
        <v>82</v>
      </c>
      <c r="D914" t="s">
        <v>1017</v>
      </c>
      <c r="E914" s="1">
        <v>45243</v>
      </c>
      <c r="F914">
        <v>172</v>
      </c>
      <c r="G914">
        <v>4.0999999999999996</v>
      </c>
      <c r="H914">
        <v>2024</v>
      </c>
      <c r="I914" t="s">
        <v>1030</v>
      </c>
      <c r="J914" t="s">
        <v>1019</v>
      </c>
      <c r="K914">
        <v>4</v>
      </c>
    </row>
    <row r="915" spans="1:11" x14ac:dyDescent="0.3">
      <c r="A915" t="s">
        <v>1959</v>
      </c>
      <c r="B915" t="s">
        <v>1055</v>
      </c>
      <c r="C915">
        <v>91</v>
      </c>
      <c r="D915" t="s">
        <v>1029</v>
      </c>
      <c r="E915" s="1">
        <v>45243</v>
      </c>
      <c r="F915">
        <v>108</v>
      </c>
      <c r="G915">
        <v>3.8</v>
      </c>
      <c r="H915">
        <v>2024</v>
      </c>
      <c r="I915" t="s">
        <v>1030</v>
      </c>
      <c r="J915" t="s">
        <v>1019</v>
      </c>
      <c r="K915">
        <v>4</v>
      </c>
    </row>
    <row r="916" spans="1:11" x14ac:dyDescent="0.3">
      <c r="A916" t="s">
        <v>1960</v>
      </c>
      <c r="B916" t="s">
        <v>1047</v>
      </c>
      <c r="C916">
        <v>39</v>
      </c>
      <c r="D916" t="s">
        <v>1017</v>
      </c>
      <c r="E916" s="1">
        <v>45244</v>
      </c>
      <c r="F916">
        <v>43</v>
      </c>
      <c r="G916">
        <v>4.2</v>
      </c>
      <c r="H916">
        <v>2024</v>
      </c>
      <c r="I916" t="s">
        <v>1033</v>
      </c>
      <c r="J916" t="s">
        <v>1034</v>
      </c>
      <c r="K916">
        <v>4</v>
      </c>
    </row>
    <row r="917" spans="1:11" x14ac:dyDescent="0.3">
      <c r="A917" t="s">
        <v>1961</v>
      </c>
      <c r="B917" t="s">
        <v>1041</v>
      </c>
      <c r="C917">
        <v>149</v>
      </c>
      <c r="D917" t="s">
        <v>1024</v>
      </c>
      <c r="E917" s="1">
        <v>45244</v>
      </c>
      <c r="F917">
        <v>44</v>
      </c>
      <c r="G917">
        <v>2.2000000000000002</v>
      </c>
      <c r="H917">
        <v>2024</v>
      </c>
      <c r="I917" t="s">
        <v>1033</v>
      </c>
      <c r="J917" t="s">
        <v>1031</v>
      </c>
      <c r="K917">
        <v>2</v>
      </c>
    </row>
    <row r="918" spans="1:11" x14ac:dyDescent="0.3">
      <c r="A918" t="s">
        <v>1962</v>
      </c>
      <c r="B918" t="s">
        <v>1078</v>
      </c>
      <c r="C918">
        <v>138</v>
      </c>
      <c r="D918" t="s">
        <v>1042</v>
      </c>
      <c r="E918" s="1">
        <v>45244</v>
      </c>
      <c r="F918">
        <v>105</v>
      </c>
      <c r="G918">
        <v>3.9</v>
      </c>
      <c r="H918">
        <v>2024</v>
      </c>
      <c r="I918" t="s">
        <v>1033</v>
      </c>
      <c r="J918" t="s">
        <v>1031</v>
      </c>
      <c r="K918">
        <v>4</v>
      </c>
    </row>
    <row r="919" spans="1:11" x14ac:dyDescent="0.3">
      <c r="A919" t="s">
        <v>1963</v>
      </c>
      <c r="B919" t="s">
        <v>1045</v>
      </c>
      <c r="C919">
        <v>113</v>
      </c>
      <c r="D919" t="s">
        <v>1024</v>
      </c>
      <c r="E919" s="1">
        <v>45245</v>
      </c>
      <c r="F919">
        <v>34</v>
      </c>
      <c r="G919">
        <v>3.9</v>
      </c>
      <c r="H919">
        <v>2024</v>
      </c>
      <c r="I919" t="s">
        <v>1048</v>
      </c>
      <c r="J919" t="s">
        <v>1019</v>
      </c>
      <c r="K919">
        <v>4</v>
      </c>
    </row>
    <row r="920" spans="1:11" x14ac:dyDescent="0.3">
      <c r="A920" t="s">
        <v>1964</v>
      </c>
      <c r="B920" t="s">
        <v>1028</v>
      </c>
      <c r="C920">
        <v>88</v>
      </c>
      <c r="D920" t="s">
        <v>1017</v>
      </c>
      <c r="E920" s="1">
        <v>45245</v>
      </c>
      <c r="F920">
        <v>220</v>
      </c>
      <c r="G920">
        <v>4.0999999999999996</v>
      </c>
      <c r="H920">
        <v>2024</v>
      </c>
      <c r="I920" t="s">
        <v>1048</v>
      </c>
      <c r="J920" t="s">
        <v>1019</v>
      </c>
      <c r="K920">
        <v>4</v>
      </c>
    </row>
    <row r="921" spans="1:11" x14ac:dyDescent="0.3">
      <c r="A921" t="s">
        <v>1965</v>
      </c>
      <c r="B921" t="s">
        <v>1016</v>
      </c>
      <c r="C921">
        <v>64</v>
      </c>
      <c r="D921" t="s">
        <v>1042</v>
      </c>
      <c r="E921" s="1">
        <v>45245</v>
      </c>
      <c r="F921">
        <v>225</v>
      </c>
      <c r="G921">
        <v>4.5999999999999996</v>
      </c>
      <c r="H921">
        <v>2024</v>
      </c>
      <c r="I921" t="s">
        <v>1048</v>
      </c>
      <c r="J921" t="s">
        <v>1019</v>
      </c>
      <c r="K921">
        <v>5</v>
      </c>
    </row>
    <row r="922" spans="1:11" x14ac:dyDescent="0.3">
      <c r="A922" t="s">
        <v>1966</v>
      </c>
      <c r="B922" t="s">
        <v>1023</v>
      </c>
      <c r="C922">
        <v>53</v>
      </c>
      <c r="D922" t="s">
        <v>1042</v>
      </c>
      <c r="E922" s="1">
        <v>45246</v>
      </c>
      <c r="F922">
        <v>37</v>
      </c>
      <c r="G922">
        <v>4.0999999999999996</v>
      </c>
      <c r="H922">
        <v>2024</v>
      </c>
      <c r="I922" t="s">
        <v>1052</v>
      </c>
      <c r="J922" t="s">
        <v>1034</v>
      </c>
      <c r="K922">
        <v>4</v>
      </c>
    </row>
    <row r="923" spans="1:11" x14ac:dyDescent="0.3">
      <c r="A923" t="s">
        <v>1967</v>
      </c>
      <c r="B923" t="s">
        <v>1068</v>
      </c>
      <c r="C923">
        <v>63</v>
      </c>
      <c r="D923" t="s">
        <v>1024</v>
      </c>
      <c r="E923" s="1">
        <v>45246</v>
      </c>
      <c r="F923">
        <v>44</v>
      </c>
      <c r="G923">
        <v>5</v>
      </c>
      <c r="H923">
        <v>2024</v>
      </c>
      <c r="I923" t="s">
        <v>1052</v>
      </c>
      <c r="J923" t="s">
        <v>1019</v>
      </c>
      <c r="K923">
        <v>5</v>
      </c>
    </row>
    <row r="924" spans="1:11" x14ac:dyDescent="0.3">
      <c r="A924" t="s">
        <v>1968</v>
      </c>
      <c r="B924" t="s">
        <v>1036</v>
      </c>
      <c r="C924">
        <v>54</v>
      </c>
      <c r="D924" t="s">
        <v>1024</v>
      </c>
      <c r="E924" s="1">
        <v>45247</v>
      </c>
      <c r="F924">
        <v>35</v>
      </c>
      <c r="G924">
        <v>2.8</v>
      </c>
      <c r="H924">
        <v>2024</v>
      </c>
      <c r="I924" t="s">
        <v>411</v>
      </c>
      <c r="J924" t="s">
        <v>1034</v>
      </c>
      <c r="K924">
        <v>3</v>
      </c>
    </row>
    <row r="925" spans="1:11" x14ac:dyDescent="0.3">
      <c r="A925" t="s">
        <v>1969</v>
      </c>
      <c r="B925" t="s">
        <v>1068</v>
      </c>
      <c r="C925">
        <v>54</v>
      </c>
      <c r="D925" t="s">
        <v>1017</v>
      </c>
      <c r="E925" s="1">
        <v>45247</v>
      </c>
      <c r="F925">
        <v>145</v>
      </c>
      <c r="G925">
        <v>2.7</v>
      </c>
      <c r="H925">
        <v>2024</v>
      </c>
      <c r="I925" t="s">
        <v>411</v>
      </c>
      <c r="J925" t="s">
        <v>1034</v>
      </c>
      <c r="K925">
        <v>3</v>
      </c>
    </row>
    <row r="926" spans="1:11" x14ac:dyDescent="0.3">
      <c r="A926" t="s">
        <v>1970</v>
      </c>
      <c r="B926" t="s">
        <v>1041</v>
      </c>
      <c r="C926">
        <v>71</v>
      </c>
      <c r="D926" t="s">
        <v>1042</v>
      </c>
      <c r="E926" s="1">
        <v>45247</v>
      </c>
      <c r="F926">
        <v>64</v>
      </c>
      <c r="G926">
        <v>3.9</v>
      </c>
      <c r="H926">
        <v>2024</v>
      </c>
      <c r="I926" t="s">
        <v>411</v>
      </c>
      <c r="J926" t="s">
        <v>1019</v>
      </c>
      <c r="K926">
        <v>4</v>
      </c>
    </row>
    <row r="927" spans="1:11" x14ac:dyDescent="0.3">
      <c r="A927" t="s">
        <v>1971</v>
      </c>
      <c r="B927" t="s">
        <v>1068</v>
      </c>
      <c r="C927">
        <v>93</v>
      </c>
      <c r="D927" t="s">
        <v>1017</v>
      </c>
      <c r="E927" s="1">
        <v>45248</v>
      </c>
      <c r="F927">
        <v>185</v>
      </c>
      <c r="G927">
        <v>4.3</v>
      </c>
      <c r="H927">
        <v>2024</v>
      </c>
      <c r="I927" t="s">
        <v>1062</v>
      </c>
      <c r="J927" t="s">
        <v>1019</v>
      </c>
      <c r="K927">
        <v>4</v>
      </c>
    </row>
    <row r="928" spans="1:11" x14ac:dyDescent="0.3">
      <c r="A928" t="s">
        <v>1972</v>
      </c>
      <c r="B928" t="s">
        <v>1026</v>
      </c>
      <c r="C928">
        <v>96</v>
      </c>
      <c r="D928" t="s">
        <v>1024</v>
      </c>
      <c r="E928" s="1">
        <v>45248</v>
      </c>
      <c r="F928">
        <v>215</v>
      </c>
      <c r="G928">
        <v>2.5</v>
      </c>
      <c r="H928">
        <v>2024</v>
      </c>
      <c r="I928" t="s">
        <v>1062</v>
      </c>
      <c r="J928" t="s">
        <v>1019</v>
      </c>
      <c r="K928">
        <v>3</v>
      </c>
    </row>
    <row r="929" spans="1:11" x14ac:dyDescent="0.3">
      <c r="A929" t="s">
        <v>1973</v>
      </c>
      <c r="B929" t="s">
        <v>1047</v>
      </c>
      <c r="C929">
        <v>31</v>
      </c>
      <c r="D929" t="s">
        <v>1029</v>
      </c>
      <c r="E929" s="1">
        <v>45248</v>
      </c>
      <c r="F929">
        <v>88</v>
      </c>
      <c r="G929">
        <v>3.4</v>
      </c>
      <c r="H929">
        <v>2024</v>
      </c>
      <c r="I929" t="s">
        <v>1062</v>
      </c>
      <c r="J929" t="s">
        <v>1034</v>
      </c>
      <c r="K929">
        <v>3</v>
      </c>
    </row>
    <row r="930" spans="1:11" x14ac:dyDescent="0.3">
      <c r="A930" t="s">
        <v>1974</v>
      </c>
      <c r="B930" t="s">
        <v>1068</v>
      </c>
      <c r="C930">
        <v>107</v>
      </c>
      <c r="D930" t="s">
        <v>1042</v>
      </c>
      <c r="E930" s="1">
        <v>45248</v>
      </c>
      <c r="F930">
        <v>23</v>
      </c>
      <c r="G930">
        <v>3.4</v>
      </c>
      <c r="H930">
        <v>2024</v>
      </c>
      <c r="I930" t="s">
        <v>1062</v>
      </c>
      <c r="J930" t="s">
        <v>1019</v>
      </c>
      <c r="K930">
        <v>3</v>
      </c>
    </row>
    <row r="931" spans="1:11" x14ac:dyDescent="0.3">
      <c r="A931" t="s">
        <v>1975</v>
      </c>
      <c r="B931" t="s">
        <v>1023</v>
      </c>
      <c r="C931">
        <v>50</v>
      </c>
      <c r="D931" t="s">
        <v>1029</v>
      </c>
      <c r="E931" s="1">
        <v>45249</v>
      </c>
      <c r="F931">
        <v>180</v>
      </c>
      <c r="G931">
        <v>1.8</v>
      </c>
      <c r="H931">
        <v>2024</v>
      </c>
      <c r="I931" t="s">
        <v>1018</v>
      </c>
      <c r="J931" t="s">
        <v>1034</v>
      </c>
      <c r="K931">
        <v>2</v>
      </c>
    </row>
    <row r="932" spans="1:11" x14ac:dyDescent="0.3">
      <c r="A932" t="s">
        <v>1976</v>
      </c>
      <c r="B932" t="s">
        <v>1078</v>
      </c>
      <c r="C932">
        <v>69</v>
      </c>
      <c r="D932" t="s">
        <v>1042</v>
      </c>
      <c r="E932" s="1">
        <v>45250</v>
      </c>
      <c r="F932">
        <v>225</v>
      </c>
      <c r="G932">
        <v>3.7</v>
      </c>
      <c r="H932">
        <v>2024</v>
      </c>
      <c r="I932" t="s">
        <v>1030</v>
      </c>
      <c r="J932" t="s">
        <v>1019</v>
      </c>
      <c r="K932">
        <v>4</v>
      </c>
    </row>
    <row r="933" spans="1:11" x14ac:dyDescent="0.3">
      <c r="A933" t="s">
        <v>1977</v>
      </c>
      <c r="B933" t="s">
        <v>1028</v>
      </c>
      <c r="C933">
        <v>26</v>
      </c>
      <c r="D933" t="s">
        <v>1024</v>
      </c>
      <c r="E933" s="1">
        <v>45251</v>
      </c>
      <c r="F933">
        <v>74</v>
      </c>
      <c r="G933">
        <v>4.0999999999999996</v>
      </c>
      <c r="H933">
        <v>2024</v>
      </c>
      <c r="I933" t="s">
        <v>1033</v>
      </c>
      <c r="J933" t="s">
        <v>1056</v>
      </c>
      <c r="K933">
        <v>4</v>
      </c>
    </row>
    <row r="934" spans="1:11" x14ac:dyDescent="0.3">
      <c r="A934" t="s">
        <v>1978</v>
      </c>
      <c r="B934" t="s">
        <v>1026</v>
      </c>
      <c r="C934">
        <v>158</v>
      </c>
      <c r="D934" t="s">
        <v>1042</v>
      </c>
      <c r="E934" s="1">
        <v>45251</v>
      </c>
      <c r="F934">
        <v>36</v>
      </c>
      <c r="G934">
        <v>3</v>
      </c>
      <c r="H934">
        <v>2024</v>
      </c>
      <c r="I934" t="s">
        <v>1033</v>
      </c>
      <c r="J934" t="s">
        <v>1031</v>
      </c>
      <c r="K934">
        <v>3</v>
      </c>
    </row>
    <row r="935" spans="1:11" x14ac:dyDescent="0.3">
      <c r="A935" t="s">
        <v>1979</v>
      </c>
      <c r="B935" t="s">
        <v>1036</v>
      </c>
      <c r="C935">
        <v>99</v>
      </c>
      <c r="D935" t="s">
        <v>1042</v>
      </c>
      <c r="E935" s="1">
        <v>45253</v>
      </c>
      <c r="F935">
        <v>116</v>
      </c>
      <c r="G935">
        <v>3.9</v>
      </c>
      <c r="H935">
        <v>2024</v>
      </c>
      <c r="I935" t="s">
        <v>1052</v>
      </c>
      <c r="J935" t="s">
        <v>1019</v>
      </c>
      <c r="K935">
        <v>4</v>
      </c>
    </row>
    <row r="936" spans="1:11" x14ac:dyDescent="0.3">
      <c r="A936" t="s">
        <v>1980</v>
      </c>
      <c r="B936" t="s">
        <v>1026</v>
      </c>
      <c r="C936">
        <v>78</v>
      </c>
      <c r="D936" t="s">
        <v>1029</v>
      </c>
      <c r="E936" s="1">
        <v>45253</v>
      </c>
      <c r="F936">
        <v>140</v>
      </c>
      <c r="G936">
        <v>4</v>
      </c>
      <c r="H936">
        <v>2024</v>
      </c>
      <c r="I936" t="s">
        <v>1052</v>
      </c>
      <c r="J936" t="s">
        <v>1019</v>
      </c>
      <c r="K936">
        <v>4</v>
      </c>
    </row>
    <row r="937" spans="1:11" x14ac:dyDescent="0.3">
      <c r="A937" t="s">
        <v>1981</v>
      </c>
      <c r="B937" t="s">
        <v>1026</v>
      </c>
      <c r="C937">
        <v>102</v>
      </c>
      <c r="D937" t="s">
        <v>1024</v>
      </c>
      <c r="E937" s="1">
        <v>45254</v>
      </c>
      <c r="F937">
        <v>104</v>
      </c>
      <c r="G937">
        <v>4.5</v>
      </c>
      <c r="H937">
        <v>2024</v>
      </c>
      <c r="I937" t="s">
        <v>411</v>
      </c>
      <c r="J937" t="s">
        <v>1019</v>
      </c>
      <c r="K937">
        <v>5</v>
      </c>
    </row>
    <row r="938" spans="1:11" x14ac:dyDescent="0.3">
      <c r="A938" t="s">
        <v>1982</v>
      </c>
      <c r="B938" t="s">
        <v>1036</v>
      </c>
      <c r="C938">
        <v>158</v>
      </c>
      <c r="D938" t="s">
        <v>1038</v>
      </c>
      <c r="E938" s="1">
        <v>45254</v>
      </c>
      <c r="F938">
        <v>148</v>
      </c>
      <c r="G938">
        <v>4</v>
      </c>
      <c r="H938">
        <v>2024</v>
      </c>
      <c r="I938" t="s">
        <v>411</v>
      </c>
      <c r="J938" t="s">
        <v>1031</v>
      </c>
      <c r="K938">
        <v>4</v>
      </c>
    </row>
    <row r="939" spans="1:11" x14ac:dyDescent="0.3">
      <c r="A939" t="s">
        <v>1983</v>
      </c>
      <c r="B939" t="s">
        <v>1047</v>
      </c>
      <c r="C939">
        <v>56</v>
      </c>
      <c r="D939" t="s">
        <v>1042</v>
      </c>
      <c r="E939" s="1">
        <v>45254</v>
      </c>
      <c r="F939">
        <v>205</v>
      </c>
      <c r="G939">
        <v>4.3</v>
      </c>
      <c r="H939">
        <v>2024</v>
      </c>
      <c r="I939" t="s">
        <v>411</v>
      </c>
      <c r="J939" t="s">
        <v>1034</v>
      </c>
      <c r="K939">
        <v>4</v>
      </c>
    </row>
    <row r="940" spans="1:11" x14ac:dyDescent="0.3">
      <c r="A940" t="s">
        <v>1984</v>
      </c>
      <c r="B940" t="s">
        <v>1021</v>
      </c>
      <c r="C940">
        <v>17</v>
      </c>
      <c r="D940" t="s">
        <v>1017</v>
      </c>
      <c r="E940" s="1">
        <v>45254</v>
      </c>
      <c r="F940">
        <v>210</v>
      </c>
      <c r="G940">
        <v>4.8</v>
      </c>
      <c r="H940">
        <v>2024</v>
      </c>
      <c r="I940" t="s">
        <v>411</v>
      </c>
      <c r="J940" t="s">
        <v>1056</v>
      </c>
      <c r="K940">
        <v>5</v>
      </c>
    </row>
    <row r="941" spans="1:11" x14ac:dyDescent="0.3">
      <c r="A941" t="s">
        <v>1985</v>
      </c>
      <c r="B941" t="s">
        <v>1028</v>
      </c>
      <c r="C941">
        <v>104</v>
      </c>
      <c r="D941" t="s">
        <v>1038</v>
      </c>
      <c r="E941" s="1">
        <v>45256</v>
      </c>
      <c r="F941">
        <v>41</v>
      </c>
      <c r="G941">
        <v>4.7</v>
      </c>
      <c r="H941">
        <v>2024</v>
      </c>
      <c r="I941" t="s">
        <v>1018</v>
      </c>
      <c r="J941" t="s">
        <v>1019</v>
      </c>
      <c r="K941">
        <v>5</v>
      </c>
    </row>
    <row r="942" spans="1:11" x14ac:dyDescent="0.3">
      <c r="A942" t="s">
        <v>1986</v>
      </c>
      <c r="B942" t="s">
        <v>1065</v>
      </c>
      <c r="C942">
        <v>96</v>
      </c>
      <c r="D942" t="s">
        <v>1029</v>
      </c>
      <c r="E942" s="1">
        <v>45256</v>
      </c>
      <c r="F942">
        <v>136</v>
      </c>
      <c r="G942">
        <v>5</v>
      </c>
      <c r="H942">
        <v>2024</v>
      </c>
      <c r="I942" t="s">
        <v>1018</v>
      </c>
      <c r="J942" t="s">
        <v>1019</v>
      </c>
      <c r="K942">
        <v>5</v>
      </c>
    </row>
    <row r="943" spans="1:11" x14ac:dyDescent="0.3">
      <c r="A943" t="s">
        <v>1987</v>
      </c>
      <c r="B943" t="s">
        <v>1055</v>
      </c>
      <c r="C943">
        <v>83</v>
      </c>
      <c r="D943" t="s">
        <v>1024</v>
      </c>
      <c r="E943" s="1">
        <v>45257</v>
      </c>
      <c r="F943">
        <v>126</v>
      </c>
      <c r="G943">
        <v>1.5</v>
      </c>
      <c r="H943">
        <v>2024</v>
      </c>
      <c r="I943" t="s">
        <v>1030</v>
      </c>
      <c r="J943" t="s">
        <v>1019</v>
      </c>
      <c r="K943">
        <v>2</v>
      </c>
    </row>
    <row r="944" spans="1:11" x14ac:dyDescent="0.3">
      <c r="A944" t="s">
        <v>1988</v>
      </c>
      <c r="B944" t="s">
        <v>1023</v>
      </c>
      <c r="C944">
        <v>80</v>
      </c>
      <c r="D944" t="s">
        <v>1017</v>
      </c>
      <c r="E944" s="1">
        <v>45258</v>
      </c>
      <c r="F944">
        <v>148</v>
      </c>
      <c r="G944">
        <v>4.0999999999999996</v>
      </c>
      <c r="H944">
        <v>2024</v>
      </c>
      <c r="I944" t="s">
        <v>1033</v>
      </c>
      <c r="J944" t="s">
        <v>1019</v>
      </c>
      <c r="K944">
        <v>4</v>
      </c>
    </row>
    <row r="945" spans="1:11" x14ac:dyDescent="0.3">
      <c r="A945" t="s">
        <v>1989</v>
      </c>
      <c r="B945" t="s">
        <v>1055</v>
      </c>
      <c r="C945">
        <v>152</v>
      </c>
      <c r="D945" t="s">
        <v>1024</v>
      </c>
      <c r="E945" s="1">
        <v>45258</v>
      </c>
      <c r="F945">
        <v>125</v>
      </c>
      <c r="G945">
        <v>3.9</v>
      </c>
      <c r="H945">
        <v>2024</v>
      </c>
      <c r="I945" t="s">
        <v>1033</v>
      </c>
      <c r="J945" t="s">
        <v>1031</v>
      </c>
      <c r="K945">
        <v>4</v>
      </c>
    </row>
    <row r="946" spans="1:11" x14ac:dyDescent="0.3">
      <c r="A946" t="s">
        <v>1990</v>
      </c>
      <c r="B946" t="s">
        <v>1041</v>
      </c>
      <c r="C946">
        <v>34</v>
      </c>
      <c r="D946" t="s">
        <v>1029</v>
      </c>
      <c r="E946" s="1">
        <v>45258</v>
      </c>
      <c r="F946">
        <v>25</v>
      </c>
      <c r="G946">
        <v>4.0999999999999996</v>
      </c>
      <c r="H946">
        <v>2024</v>
      </c>
      <c r="I946" t="s">
        <v>1033</v>
      </c>
      <c r="J946" t="s">
        <v>1034</v>
      </c>
      <c r="K946">
        <v>4</v>
      </c>
    </row>
    <row r="947" spans="1:11" x14ac:dyDescent="0.3">
      <c r="A947" t="s">
        <v>1991</v>
      </c>
      <c r="B947" t="s">
        <v>1045</v>
      </c>
      <c r="C947">
        <v>2</v>
      </c>
      <c r="D947" t="s">
        <v>1042</v>
      </c>
      <c r="E947" s="1">
        <v>45259</v>
      </c>
      <c r="F947">
        <v>62</v>
      </c>
      <c r="G947">
        <v>2.8</v>
      </c>
      <c r="H947">
        <v>2024</v>
      </c>
      <c r="I947" t="s">
        <v>1048</v>
      </c>
      <c r="J947" t="s">
        <v>1186</v>
      </c>
      <c r="K947">
        <v>3</v>
      </c>
    </row>
    <row r="948" spans="1:11" x14ac:dyDescent="0.3">
      <c r="A948" t="s">
        <v>1992</v>
      </c>
      <c r="B948" t="s">
        <v>1023</v>
      </c>
      <c r="C948">
        <v>140</v>
      </c>
      <c r="D948" t="s">
        <v>1029</v>
      </c>
      <c r="E948" s="1">
        <v>45260</v>
      </c>
      <c r="F948">
        <v>90</v>
      </c>
      <c r="G948">
        <v>4.5999999999999996</v>
      </c>
      <c r="H948">
        <v>2024</v>
      </c>
      <c r="I948" t="s">
        <v>1052</v>
      </c>
      <c r="J948" t="s">
        <v>1031</v>
      </c>
      <c r="K948">
        <v>5</v>
      </c>
    </row>
    <row r="949" spans="1:11" x14ac:dyDescent="0.3">
      <c r="A949" t="s">
        <v>1993</v>
      </c>
      <c r="B949" t="s">
        <v>1021</v>
      </c>
      <c r="C949">
        <v>126</v>
      </c>
      <c r="D949" t="s">
        <v>1038</v>
      </c>
      <c r="E949" s="1">
        <v>45261</v>
      </c>
      <c r="F949">
        <v>33</v>
      </c>
      <c r="G949">
        <v>4.8</v>
      </c>
      <c r="H949">
        <v>2024</v>
      </c>
      <c r="I949" t="s">
        <v>411</v>
      </c>
      <c r="J949" t="s">
        <v>1031</v>
      </c>
      <c r="K949">
        <v>5</v>
      </c>
    </row>
    <row r="950" spans="1:11" x14ac:dyDescent="0.3">
      <c r="A950" t="s">
        <v>1994</v>
      </c>
      <c r="B950" t="s">
        <v>1026</v>
      </c>
      <c r="C950">
        <v>79</v>
      </c>
      <c r="D950" t="s">
        <v>1042</v>
      </c>
      <c r="E950" s="1">
        <v>45261</v>
      </c>
      <c r="F950">
        <v>115</v>
      </c>
      <c r="G950">
        <v>2.2999999999999998</v>
      </c>
      <c r="H950">
        <v>2024</v>
      </c>
      <c r="I950" t="s">
        <v>411</v>
      </c>
      <c r="J950" t="s">
        <v>1019</v>
      </c>
      <c r="K950">
        <v>2</v>
      </c>
    </row>
    <row r="951" spans="1:11" x14ac:dyDescent="0.3">
      <c r="A951" t="s">
        <v>1995</v>
      </c>
      <c r="B951" t="s">
        <v>1021</v>
      </c>
      <c r="C951">
        <v>133</v>
      </c>
      <c r="D951" t="s">
        <v>1038</v>
      </c>
      <c r="E951" s="1">
        <v>45261</v>
      </c>
      <c r="F951">
        <v>45</v>
      </c>
      <c r="G951">
        <v>2.6</v>
      </c>
      <c r="H951">
        <v>2024</v>
      </c>
      <c r="I951" t="s">
        <v>411</v>
      </c>
      <c r="J951" t="s">
        <v>1031</v>
      </c>
      <c r="K951">
        <v>3</v>
      </c>
    </row>
    <row r="952" spans="1:11" x14ac:dyDescent="0.3">
      <c r="A952" t="s">
        <v>1996</v>
      </c>
      <c r="B952" t="s">
        <v>1041</v>
      </c>
      <c r="C952">
        <v>97</v>
      </c>
      <c r="D952" t="s">
        <v>1017</v>
      </c>
      <c r="E952" s="1">
        <v>45261</v>
      </c>
      <c r="F952">
        <v>114</v>
      </c>
      <c r="G952">
        <v>4.8</v>
      </c>
      <c r="H952">
        <v>2024</v>
      </c>
      <c r="I952" t="s">
        <v>411</v>
      </c>
      <c r="J952" t="s">
        <v>1019</v>
      </c>
      <c r="K952">
        <v>5</v>
      </c>
    </row>
    <row r="953" spans="1:11" x14ac:dyDescent="0.3">
      <c r="A953" t="s">
        <v>1997</v>
      </c>
      <c r="B953" t="s">
        <v>1026</v>
      </c>
      <c r="C953">
        <v>102</v>
      </c>
      <c r="D953" t="s">
        <v>1024</v>
      </c>
      <c r="E953" s="1">
        <v>45262</v>
      </c>
      <c r="F953">
        <v>72</v>
      </c>
      <c r="G953">
        <v>3.7</v>
      </c>
      <c r="H953">
        <v>2024</v>
      </c>
      <c r="I953" t="s">
        <v>1062</v>
      </c>
      <c r="J953" t="s">
        <v>1019</v>
      </c>
      <c r="K953">
        <v>4</v>
      </c>
    </row>
    <row r="954" spans="1:11" x14ac:dyDescent="0.3">
      <c r="A954" t="s">
        <v>1998</v>
      </c>
      <c r="B954" t="s">
        <v>1059</v>
      </c>
      <c r="C954">
        <v>62</v>
      </c>
      <c r="D954" t="s">
        <v>1017</v>
      </c>
      <c r="E954" s="1">
        <v>45262</v>
      </c>
      <c r="F954">
        <v>205</v>
      </c>
      <c r="G954">
        <v>4.2</v>
      </c>
      <c r="H954">
        <v>2024</v>
      </c>
      <c r="I954" t="s">
        <v>1062</v>
      </c>
      <c r="J954" t="s">
        <v>1019</v>
      </c>
      <c r="K954">
        <v>4</v>
      </c>
    </row>
    <row r="955" spans="1:11" x14ac:dyDescent="0.3">
      <c r="A955" t="s">
        <v>1999</v>
      </c>
      <c r="B955" t="s">
        <v>1021</v>
      </c>
      <c r="C955">
        <v>149</v>
      </c>
      <c r="D955" t="s">
        <v>1024</v>
      </c>
      <c r="E955" s="1">
        <v>45263</v>
      </c>
      <c r="F955">
        <v>42</v>
      </c>
      <c r="G955">
        <v>3.3</v>
      </c>
      <c r="H955">
        <v>2024</v>
      </c>
      <c r="I955" t="s">
        <v>1018</v>
      </c>
      <c r="J955" t="s">
        <v>1031</v>
      </c>
      <c r="K955">
        <v>3</v>
      </c>
    </row>
    <row r="956" spans="1:11" x14ac:dyDescent="0.3">
      <c r="A956" t="s">
        <v>2000</v>
      </c>
      <c r="B956" t="s">
        <v>1045</v>
      </c>
      <c r="C956">
        <v>133</v>
      </c>
      <c r="D956" t="s">
        <v>1017</v>
      </c>
      <c r="E956" s="1">
        <v>45263</v>
      </c>
      <c r="F956">
        <v>96</v>
      </c>
      <c r="G956">
        <v>4.3</v>
      </c>
      <c r="H956">
        <v>2024</v>
      </c>
      <c r="I956" t="s">
        <v>1018</v>
      </c>
      <c r="J956" t="s">
        <v>1031</v>
      </c>
      <c r="K956">
        <v>4</v>
      </c>
    </row>
    <row r="957" spans="1:11" x14ac:dyDescent="0.3">
      <c r="A957" t="s">
        <v>2001</v>
      </c>
      <c r="B957" t="s">
        <v>1026</v>
      </c>
      <c r="C957">
        <v>51</v>
      </c>
      <c r="D957" t="s">
        <v>1042</v>
      </c>
      <c r="E957" s="1">
        <v>45263</v>
      </c>
      <c r="F957">
        <v>64</v>
      </c>
      <c r="G957">
        <v>3.7</v>
      </c>
      <c r="H957">
        <v>2024</v>
      </c>
      <c r="I957" t="s">
        <v>1018</v>
      </c>
      <c r="J957" t="s">
        <v>1034</v>
      </c>
      <c r="K957">
        <v>4</v>
      </c>
    </row>
    <row r="958" spans="1:11" x14ac:dyDescent="0.3">
      <c r="A958" t="s">
        <v>2002</v>
      </c>
      <c r="B958" t="s">
        <v>1059</v>
      </c>
      <c r="C958">
        <v>110</v>
      </c>
      <c r="D958" t="s">
        <v>1017</v>
      </c>
      <c r="E958" s="1">
        <v>45264</v>
      </c>
      <c r="F958">
        <v>72</v>
      </c>
      <c r="G958">
        <v>3.7</v>
      </c>
      <c r="H958">
        <v>2024</v>
      </c>
      <c r="I958" t="s">
        <v>1030</v>
      </c>
      <c r="J958" t="s">
        <v>1019</v>
      </c>
      <c r="K958">
        <v>4</v>
      </c>
    </row>
    <row r="959" spans="1:11" x14ac:dyDescent="0.3">
      <c r="A959" t="s">
        <v>2003</v>
      </c>
      <c r="B959" t="s">
        <v>1041</v>
      </c>
      <c r="C959">
        <v>38</v>
      </c>
      <c r="D959" t="s">
        <v>1038</v>
      </c>
      <c r="E959" s="1">
        <v>45265</v>
      </c>
      <c r="F959">
        <v>27</v>
      </c>
      <c r="G959">
        <v>3.1</v>
      </c>
      <c r="H959">
        <v>2024</v>
      </c>
      <c r="I959" t="s">
        <v>1033</v>
      </c>
      <c r="J959" t="s">
        <v>1034</v>
      </c>
      <c r="K959">
        <v>3</v>
      </c>
    </row>
    <row r="960" spans="1:11" x14ac:dyDescent="0.3">
      <c r="A960" t="s">
        <v>2004</v>
      </c>
      <c r="B960" t="s">
        <v>1045</v>
      </c>
      <c r="C960">
        <v>78</v>
      </c>
      <c r="D960" t="s">
        <v>1038</v>
      </c>
      <c r="E960" s="1">
        <v>45267</v>
      </c>
      <c r="F960">
        <v>200</v>
      </c>
      <c r="G960">
        <v>2.4</v>
      </c>
      <c r="H960">
        <v>2024</v>
      </c>
      <c r="I960" t="s">
        <v>1052</v>
      </c>
      <c r="J960" t="s">
        <v>1019</v>
      </c>
      <c r="K960">
        <v>2</v>
      </c>
    </row>
    <row r="961" spans="1:11" x14ac:dyDescent="0.3">
      <c r="A961" t="s">
        <v>2005</v>
      </c>
      <c r="B961" t="s">
        <v>1041</v>
      </c>
      <c r="C961">
        <v>25</v>
      </c>
      <c r="D961" t="s">
        <v>1024</v>
      </c>
      <c r="E961" s="1">
        <v>45268</v>
      </c>
      <c r="F961">
        <v>93</v>
      </c>
      <c r="G961">
        <v>3.5</v>
      </c>
      <c r="H961">
        <v>2024</v>
      </c>
      <c r="I961" t="s">
        <v>411</v>
      </c>
      <c r="J961" t="s">
        <v>1056</v>
      </c>
      <c r="K961">
        <v>4</v>
      </c>
    </row>
    <row r="962" spans="1:11" x14ac:dyDescent="0.3">
      <c r="A962" t="s">
        <v>2006</v>
      </c>
      <c r="B962" t="s">
        <v>1068</v>
      </c>
      <c r="C962">
        <v>50</v>
      </c>
      <c r="D962" t="s">
        <v>1042</v>
      </c>
      <c r="E962" s="1">
        <v>45268</v>
      </c>
      <c r="F962">
        <v>54</v>
      </c>
      <c r="G962">
        <v>4.3</v>
      </c>
      <c r="H962">
        <v>2024</v>
      </c>
      <c r="I962" t="s">
        <v>411</v>
      </c>
      <c r="J962" t="s">
        <v>1034</v>
      </c>
      <c r="K962">
        <v>4</v>
      </c>
    </row>
    <row r="963" spans="1:11" x14ac:dyDescent="0.3">
      <c r="A963" t="s">
        <v>2007</v>
      </c>
      <c r="B963" t="s">
        <v>1041</v>
      </c>
      <c r="C963">
        <v>103</v>
      </c>
      <c r="D963" t="s">
        <v>1024</v>
      </c>
      <c r="E963" s="1">
        <v>45269</v>
      </c>
      <c r="F963">
        <v>72</v>
      </c>
      <c r="G963">
        <v>3.4</v>
      </c>
      <c r="H963">
        <v>2024</v>
      </c>
      <c r="I963" t="s">
        <v>1062</v>
      </c>
      <c r="J963" t="s">
        <v>1019</v>
      </c>
      <c r="K963">
        <v>3</v>
      </c>
    </row>
    <row r="964" spans="1:11" x14ac:dyDescent="0.3">
      <c r="A964" t="s">
        <v>2008</v>
      </c>
      <c r="B964" t="s">
        <v>1055</v>
      </c>
      <c r="C964">
        <v>63</v>
      </c>
      <c r="D964" t="s">
        <v>1029</v>
      </c>
      <c r="E964" s="1">
        <v>45269</v>
      </c>
      <c r="F964">
        <v>82</v>
      </c>
      <c r="G964">
        <v>3.7</v>
      </c>
      <c r="H964">
        <v>2024</v>
      </c>
      <c r="I964" t="s">
        <v>1062</v>
      </c>
      <c r="J964" t="s">
        <v>1019</v>
      </c>
      <c r="K964">
        <v>4</v>
      </c>
    </row>
    <row r="965" spans="1:11" x14ac:dyDescent="0.3">
      <c r="A965" t="s">
        <v>2009</v>
      </c>
      <c r="B965" t="s">
        <v>1068</v>
      </c>
      <c r="C965">
        <v>96</v>
      </c>
      <c r="D965" t="s">
        <v>1042</v>
      </c>
      <c r="E965" s="1">
        <v>45273</v>
      </c>
      <c r="F965">
        <v>164</v>
      </c>
      <c r="G965">
        <v>4.8</v>
      </c>
      <c r="H965">
        <v>2024</v>
      </c>
      <c r="I965" t="s">
        <v>1048</v>
      </c>
      <c r="J965" t="s">
        <v>1019</v>
      </c>
      <c r="K965">
        <v>5</v>
      </c>
    </row>
    <row r="966" spans="1:11" x14ac:dyDescent="0.3">
      <c r="A966" t="s">
        <v>2010</v>
      </c>
      <c r="B966" t="s">
        <v>1023</v>
      </c>
      <c r="C966">
        <v>94</v>
      </c>
      <c r="D966" t="s">
        <v>1024</v>
      </c>
      <c r="E966" s="1">
        <v>45273</v>
      </c>
      <c r="F966">
        <v>78</v>
      </c>
      <c r="G966">
        <v>3.3</v>
      </c>
      <c r="H966">
        <v>2024</v>
      </c>
      <c r="I966" t="s">
        <v>1048</v>
      </c>
      <c r="J966" t="s">
        <v>1019</v>
      </c>
      <c r="K966">
        <v>3</v>
      </c>
    </row>
    <row r="967" spans="1:11" x14ac:dyDescent="0.3">
      <c r="A967" t="s">
        <v>2011</v>
      </c>
      <c r="B967" t="s">
        <v>1059</v>
      </c>
      <c r="C967">
        <v>46</v>
      </c>
      <c r="D967" t="s">
        <v>1038</v>
      </c>
      <c r="E967" s="1">
        <v>45274</v>
      </c>
      <c r="F967">
        <v>135</v>
      </c>
      <c r="G967">
        <v>4.2</v>
      </c>
      <c r="H967">
        <v>2024</v>
      </c>
      <c r="I967" t="s">
        <v>1052</v>
      </c>
      <c r="J967" t="s">
        <v>1034</v>
      </c>
      <c r="K967">
        <v>4</v>
      </c>
    </row>
    <row r="968" spans="1:11" x14ac:dyDescent="0.3">
      <c r="A968" t="s">
        <v>2012</v>
      </c>
      <c r="B968" t="s">
        <v>1098</v>
      </c>
      <c r="C968">
        <v>127</v>
      </c>
      <c r="D968" t="s">
        <v>1042</v>
      </c>
      <c r="E968" s="1">
        <v>45275</v>
      </c>
      <c r="F968">
        <v>145</v>
      </c>
      <c r="G968">
        <v>2.6</v>
      </c>
      <c r="H968">
        <v>2024</v>
      </c>
      <c r="I968" t="s">
        <v>411</v>
      </c>
      <c r="J968" t="s">
        <v>1031</v>
      </c>
      <c r="K968">
        <v>3</v>
      </c>
    </row>
    <row r="969" spans="1:11" x14ac:dyDescent="0.3">
      <c r="A969" t="s">
        <v>2013</v>
      </c>
      <c r="B969" t="s">
        <v>1036</v>
      </c>
      <c r="C969">
        <v>96</v>
      </c>
      <c r="D969" t="s">
        <v>1038</v>
      </c>
      <c r="E969" s="1">
        <v>45275</v>
      </c>
      <c r="F969">
        <v>115</v>
      </c>
      <c r="G969">
        <v>4.9000000000000004</v>
      </c>
      <c r="H969">
        <v>2024</v>
      </c>
      <c r="I969" t="s">
        <v>411</v>
      </c>
      <c r="J969" t="s">
        <v>1019</v>
      </c>
      <c r="K969">
        <v>5</v>
      </c>
    </row>
    <row r="970" spans="1:11" x14ac:dyDescent="0.3">
      <c r="A970" t="s">
        <v>2014</v>
      </c>
      <c r="B970" t="s">
        <v>1078</v>
      </c>
      <c r="C970">
        <v>151</v>
      </c>
      <c r="D970" t="s">
        <v>1024</v>
      </c>
      <c r="E970" s="1">
        <v>45275</v>
      </c>
      <c r="F970">
        <v>117</v>
      </c>
      <c r="G970">
        <v>2</v>
      </c>
      <c r="H970">
        <v>2024</v>
      </c>
      <c r="I970" t="s">
        <v>411</v>
      </c>
      <c r="J970" t="s">
        <v>1031</v>
      </c>
      <c r="K970">
        <v>2</v>
      </c>
    </row>
    <row r="971" spans="1:11" x14ac:dyDescent="0.3">
      <c r="A971" t="s">
        <v>2015</v>
      </c>
      <c r="B971" t="s">
        <v>1098</v>
      </c>
      <c r="C971">
        <v>158</v>
      </c>
      <c r="D971" t="s">
        <v>1017</v>
      </c>
      <c r="E971" s="1">
        <v>45276</v>
      </c>
      <c r="F971">
        <v>36</v>
      </c>
      <c r="G971">
        <v>4.7</v>
      </c>
      <c r="H971">
        <v>2024</v>
      </c>
      <c r="I971" t="s">
        <v>1062</v>
      </c>
      <c r="J971" t="s">
        <v>1031</v>
      </c>
      <c r="K971">
        <v>5</v>
      </c>
    </row>
    <row r="972" spans="1:11" x14ac:dyDescent="0.3">
      <c r="A972" t="s">
        <v>2016</v>
      </c>
      <c r="B972" t="s">
        <v>1023</v>
      </c>
      <c r="C972">
        <v>45</v>
      </c>
      <c r="D972" t="s">
        <v>1017</v>
      </c>
      <c r="E972" s="1">
        <v>45276</v>
      </c>
      <c r="F972">
        <v>84</v>
      </c>
      <c r="G972">
        <v>2.8</v>
      </c>
      <c r="H972">
        <v>2024</v>
      </c>
      <c r="I972" t="s">
        <v>1062</v>
      </c>
      <c r="J972" t="s">
        <v>1034</v>
      </c>
      <c r="K972">
        <v>3</v>
      </c>
    </row>
    <row r="973" spans="1:11" x14ac:dyDescent="0.3">
      <c r="A973" t="s">
        <v>2017</v>
      </c>
      <c r="B973" t="s">
        <v>1047</v>
      </c>
      <c r="C973">
        <v>141</v>
      </c>
      <c r="D973" t="s">
        <v>1017</v>
      </c>
      <c r="E973" s="1">
        <v>45276</v>
      </c>
      <c r="F973">
        <v>66</v>
      </c>
      <c r="G973">
        <v>3.2</v>
      </c>
      <c r="H973">
        <v>2024</v>
      </c>
      <c r="I973" t="s">
        <v>1062</v>
      </c>
      <c r="J973" t="s">
        <v>1031</v>
      </c>
      <c r="K973">
        <v>3</v>
      </c>
    </row>
    <row r="974" spans="1:11" x14ac:dyDescent="0.3">
      <c r="A974" t="s">
        <v>2018</v>
      </c>
      <c r="B974" t="s">
        <v>1041</v>
      </c>
      <c r="C974">
        <v>147</v>
      </c>
      <c r="D974" t="s">
        <v>1038</v>
      </c>
      <c r="E974" s="1">
        <v>45276</v>
      </c>
      <c r="F974">
        <v>76</v>
      </c>
      <c r="G974">
        <v>4.7</v>
      </c>
      <c r="H974">
        <v>2024</v>
      </c>
      <c r="I974" t="s">
        <v>1062</v>
      </c>
      <c r="J974" t="s">
        <v>1031</v>
      </c>
      <c r="K974">
        <v>5</v>
      </c>
    </row>
    <row r="975" spans="1:11" x14ac:dyDescent="0.3">
      <c r="A975" t="s">
        <v>2019</v>
      </c>
      <c r="B975" t="s">
        <v>1065</v>
      </c>
      <c r="C975">
        <v>126</v>
      </c>
      <c r="D975" t="s">
        <v>1038</v>
      </c>
      <c r="E975" s="1">
        <v>45276</v>
      </c>
      <c r="F975">
        <v>185</v>
      </c>
      <c r="G975">
        <v>4.8</v>
      </c>
      <c r="H975">
        <v>2024</v>
      </c>
      <c r="I975" t="s">
        <v>1062</v>
      </c>
      <c r="J975" t="s">
        <v>1031</v>
      </c>
      <c r="K975">
        <v>5</v>
      </c>
    </row>
    <row r="976" spans="1:11" x14ac:dyDescent="0.3">
      <c r="A976" t="s">
        <v>2020</v>
      </c>
      <c r="B976" t="s">
        <v>1023</v>
      </c>
      <c r="C976">
        <v>126</v>
      </c>
      <c r="D976" t="s">
        <v>1029</v>
      </c>
      <c r="E976" s="1">
        <v>45277</v>
      </c>
      <c r="F976">
        <v>80</v>
      </c>
      <c r="G976">
        <v>4.7</v>
      </c>
      <c r="H976">
        <v>2024</v>
      </c>
      <c r="I976" t="s">
        <v>1018</v>
      </c>
      <c r="J976" t="s">
        <v>1031</v>
      </c>
      <c r="K976">
        <v>5</v>
      </c>
    </row>
    <row r="977" spans="1:11" x14ac:dyDescent="0.3">
      <c r="A977" t="s">
        <v>2021</v>
      </c>
      <c r="B977" t="s">
        <v>1045</v>
      </c>
      <c r="C977">
        <v>32</v>
      </c>
      <c r="D977" t="s">
        <v>1038</v>
      </c>
      <c r="E977" s="1">
        <v>45277</v>
      </c>
      <c r="F977">
        <v>148</v>
      </c>
      <c r="G977">
        <v>4</v>
      </c>
      <c r="H977">
        <v>2024</v>
      </c>
      <c r="I977" t="s">
        <v>1018</v>
      </c>
      <c r="J977" t="s">
        <v>1034</v>
      </c>
      <c r="K977">
        <v>4</v>
      </c>
    </row>
    <row r="978" spans="1:11" x14ac:dyDescent="0.3">
      <c r="A978" t="s">
        <v>2022</v>
      </c>
      <c r="B978" t="s">
        <v>1023</v>
      </c>
      <c r="C978">
        <v>84</v>
      </c>
      <c r="D978" t="s">
        <v>1042</v>
      </c>
      <c r="E978" s="1">
        <v>45279</v>
      </c>
      <c r="F978">
        <v>180</v>
      </c>
      <c r="G978">
        <v>4.9000000000000004</v>
      </c>
      <c r="H978">
        <v>2024</v>
      </c>
      <c r="I978" t="s">
        <v>1033</v>
      </c>
      <c r="J978" t="s">
        <v>1019</v>
      </c>
      <c r="K978">
        <v>5</v>
      </c>
    </row>
    <row r="979" spans="1:11" x14ac:dyDescent="0.3">
      <c r="A979" t="s">
        <v>2023</v>
      </c>
      <c r="B979" t="s">
        <v>1055</v>
      </c>
      <c r="C979">
        <v>120</v>
      </c>
      <c r="D979" t="s">
        <v>1029</v>
      </c>
      <c r="E979" s="1">
        <v>45280</v>
      </c>
      <c r="F979">
        <v>190</v>
      </c>
      <c r="G979">
        <v>3.7</v>
      </c>
      <c r="H979">
        <v>2024</v>
      </c>
      <c r="I979" t="s">
        <v>1048</v>
      </c>
      <c r="J979" t="s">
        <v>1019</v>
      </c>
      <c r="K979">
        <v>4</v>
      </c>
    </row>
    <row r="980" spans="1:11" x14ac:dyDescent="0.3">
      <c r="A980" t="s">
        <v>2024</v>
      </c>
      <c r="B980" t="s">
        <v>1028</v>
      </c>
      <c r="C980">
        <v>93</v>
      </c>
      <c r="D980" t="s">
        <v>1038</v>
      </c>
      <c r="E980" s="1">
        <v>45280</v>
      </c>
      <c r="F980">
        <v>38</v>
      </c>
      <c r="G980">
        <v>4.5</v>
      </c>
      <c r="H980">
        <v>2024</v>
      </c>
      <c r="I980" t="s">
        <v>1048</v>
      </c>
      <c r="J980" t="s">
        <v>1019</v>
      </c>
      <c r="K980">
        <v>5</v>
      </c>
    </row>
    <row r="981" spans="1:11" x14ac:dyDescent="0.3">
      <c r="A981" t="s">
        <v>2025</v>
      </c>
      <c r="B981" t="s">
        <v>1036</v>
      </c>
      <c r="C981">
        <v>76</v>
      </c>
      <c r="D981" t="s">
        <v>1024</v>
      </c>
      <c r="E981" s="1">
        <v>45281</v>
      </c>
      <c r="F981">
        <v>82</v>
      </c>
      <c r="G981">
        <v>2.1</v>
      </c>
      <c r="H981">
        <v>2024</v>
      </c>
      <c r="I981" t="s">
        <v>1052</v>
      </c>
      <c r="J981" t="s">
        <v>1019</v>
      </c>
      <c r="K981">
        <v>2</v>
      </c>
    </row>
    <row r="982" spans="1:11" x14ac:dyDescent="0.3">
      <c r="A982" t="s">
        <v>2026</v>
      </c>
      <c r="B982" t="s">
        <v>1098</v>
      </c>
      <c r="C982">
        <v>89</v>
      </c>
      <c r="D982" t="s">
        <v>1038</v>
      </c>
      <c r="E982" s="1">
        <v>45284</v>
      </c>
      <c r="F982">
        <v>88</v>
      </c>
      <c r="G982">
        <v>2.8</v>
      </c>
      <c r="H982">
        <v>2024</v>
      </c>
      <c r="I982" t="s">
        <v>1018</v>
      </c>
      <c r="J982" t="s">
        <v>1019</v>
      </c>
      <c r="K982">
        <v>3</v>
      </c>
    </row>
    <row r="983" spans="1:11" x14ac:dyDescent="0.3">
      <c r="A983" t="s">
        <v>2027</v>
      </c>
      <c r="B983" t="s">
        <v>1026</v>
      </c>
      <c r="C983">
        <v>91</v>
      </c>
      <c r="D983" t="s">
        <v>1042</v>
      </c>
      <c r="E983" s="1">
        <v>45284</v>
      </c>
      <c r="F983">
        <v>42</v>
      </c>
      <c r="G983">
        <v>4.0999999999999996</v>
      </c>
      <c r="H983">
        <v>2024</v>
      </c>
      <c r="I983" t="s">
        <v>1018</v>
      </c>
      <c r="J983" t="s">
        <v>1019</v>
      </c>
      <c r="K983">
        <v>4</v>
      </c>
    </row>
    <row r="984" spans="1:11" x14ac:dyDescent="0.3">
      <c r="A984" t="s">
        <v>2028</v>
      </c>
      <c r="B984" t="s">
        <v>1059</v>
      </c>
      <c r="C984">
        <v>7</v>
      </c>
      <c r="D984" t="s">
        <v>1017</v>
      </c>
      <c r="E984" s="1">
        <v>45285</v>
      </c>
      <c r="F984">
        <v>64</v>
      </c>
      <c r="G984">
        <v>3.3</v>
      </c>
      <c r="H984">
        <v>2024</v>
      </c>
      <c r="I984" t="s">
        <v>1030</v>
      </c>
      <c r="J984" t="s">
        <v>1186</v>
      </c>
      <c r="K984">
        <v>3</v>
      </c>
    </row>
    <row r="985" spans="1:11" x14ac:dyDescent="0.3">
      <c r="A985" t="s">
        <v>2029</v>
      </c>
      <c r="B985" t="s">
        <v>1045</v>
      </c>
      <c r="C985">
        <v>140</v>
      </c>
      <c r="D985" t="s">
        <v>1017</v>
      </c>
      <c r="E985" s="1">
        <v>45285</v>
      </c>
      <c r="F985">
        <v>105</v>
      </c>
      <c r="G985">
        <v>1.7</v>
      </c>
      <c r="H985">
        <v>2024</v>
      </c>
      <c r="I985" t="s">
        <v>1030</v>
      </c>
      <c r="J985" t="s">
        <v>1031</v>
      </c>
      <c r="K985">
        <v>2</v>
      </c>
    </row>
    <row r="986" spans="1:11" x14ac:dyDescent="0.3">
      <c r="A986" t="s">
        <v>2030</v>
      </c>
      <c r="B986" t="s">
        <v>1021</v>
      </c>
      <c r="C986">
        <v>58</v>
      </c>
      <c r="D986" t="s">
        <v>1029</v>
      </c>
      <c r="E986" s="1">
        <v>45285</v>
      </c>
      <c r="F986">
        <v>25</v>
      </c>
      <c r="G986">
        <v>3.6</v>
      </c>
      <c r="H986">
        <v>2024</v>
      </c>
      <c r="I986" t="s">
        <v>1030</v>
      </c>
      <c r="J986" t="s">
        <v>1034</v>
      </c>
      <c r="K986">
        <v>4</v>
      </c>
    </row>
    <row r="987" spans="1:11" x14ac:dyDescent="0.3">
      <c r="A987" t="s">
        <v>2031</v>
      </c>
      <c r="B987" t="s">
        <v>1016</v>
      </c>
      <c r="C987">
        <v>90</v>
      </c>
      <c r="D987" t="s">
        <v>1024</v>
      </c>
      <c r="E987" s="1">
        <v>45286</v>
      </c>
      <c r="F987">
        <v>176</v>
      </c>
      <c r="G987">
        <v>3.6</v>
      </c>
      <c r="H987">
        <v>2024</v>
      </c>
      <c r="I987" t="s">
        <v>1033</v>
      </c>
      <c r="J987" t="s">
        <v>1019</v>
      </c>
      <c r="K987">
        <v>4</v>
      </c>
    </row>
    <row r="988" spans="1:11" x14ac:dyDescent="0.3">
      <c r="A988" t="s">
        <v>2032</v>
      </c>
      <c r="B988" t="s">
        <v>1016</v>
      </c>
      <c r="C988">
        <v>106</v>
      </c>
      <c r="D988" t="s">
        <v>1038</v>
      </c>
      <c r="E988" s="1">
        <v>45287</v>
      </c>
      <c r="F988">
        <v>46</v>
      </c>
      <c r="G988">
        <v>4.5999999999999996</v>
      </c>
      <c r="H988">
        <v>2024</v>
      </c>
      <c r="I988" t="s">
        <v>1048</v>
      </c>
      <c r="J988" t="s">
        <v>1019</v>
      </c>
      <c r="K988">
        <v>5</v>
      </c>
    </row>
    <row r="989" spans="1:11" x14ac:dyDescent="0.3">
      <c r="A989" t="s">
        <v>2033</v>
      </c>
      <c r="B989" t="s">
        <v>1055</v>
      </c>
      <c r="C989">
        <v>72</v>
      </c>
      <c r="D989" t="s">
        <v>1017</v>
      </c>
      <c r="E989" s="1">
        <v>45287</v>
      </c>
      <c r="F989">
        <v>164</v>
      </c>
      <c r="G989">
        <v>4.8</v>
      </c>
      <c r="H989">
        <v>2024</v>
      </c>
      <c r="I989" t="s">
        <v>1048</v>
      </c>
      <c r="J989" t="s">
        <v>1019</v>
      </c>
      <c r="K989">
        <v>5</v>
      </c>
    </row>
    <row r="990" spans="1:11" x14ac:dyDescent="0.3">
      <c r="A990" t="s">
        <v>2034</v>
      </c>
      <c r="B990" t="s">
        <v>1059</v>
      </c>
      <c r="C990">
        <v>124</v>
      </c>
      <c r="D990" t="s">
        <v>1017</v>
      </c>
      <c r="E990" s="1">
        <v>45288</v>
      </c>
      <c r="F990">
        <v>64</v>
      </c>
      <c r="G990">
        <v>4.5</v>
      </c>
      <c r="H990">
        <v>2024</v>
      </c>
      <c r="I990" t="s">
        <v>1052</v>
      </c>
      <c r="J990" t="s">
        <v>1031</v>
      </c>
      <c r="K990">
        <v>5</v>
      </c>
    </row>
    <row r="991" spans="1:11" x14ac:dyDescent="0.3">
      <c r="A991" t="s">
        <v>2035</v>
      </c>
      <c r="B991" t="s">
        <v>1047</v>
      </c>
      <c r="C991">
        <v>86</v>
      </c>
      <c r="D991" t="s">
        <v>1042</v>
      </c>
      <c r="E991" s="1">
        <v>45288</v>
      </c>
      <c r="F991">
        <v>205</v>
      </c>
      <c r="G991">
        <v>4.5</v>
      </c>
      <c r="H991">
        <v>2024</v>
      </c>
      <c r="I991" t="s">
        <v>1052</v>
      </c>
      <c r="J991" t="s">
        <v>1019</v>
      </c>
      <c r="K991">
        <v>5</v>
      </c>
    </row>
    <row r="992" spans="1:11" x14ac:dyDescent="0.3">
      <c r="A992" t="s">
        <v>2036</v>
      </c>
      <c r="B992" t="s">
        <v>1023</v>
      </c>
      <c r="C992">
        <v>164</v>
      </c>
      <c r="D992" t="s">
        <v>1042</v>
      </c>
      <c r="E992" s="1">
        <v>45289</v>
      </c>
      <c r="F992">
        <v>100</v>
      </c>
      <c r="G992">
        <v>4.5999999999999996</v>
      </c>
      <c r="H992">
        <v>2024</v>
      </c>
      <c r="I992" t="s">
        <v>411</v>
      </c>
      <c r="J992" t="s">
        <v>1031</v>
      </c>
      <c r="K992">
        <v>5</v>
      </c>
    </row>
    <row r="993" spans="1:11" x14ac:dyDescent="0.3">
      <c r="A993" t="s">
        <v>2037</v>
      </c>
      <c r="B993" t="s">
        <v>1028</v>
      </c>
      <c r="C993">
        <v>40</v>
      </c>
      <c r="D993" t="s">
        <v>1024</v>
      </c>
      <c r="E993" s="1">
        <v>45289</v>
      </c>
      <c r="F993">
        <v>111</v>
      </c>
      <c r="G993">
        <v>4.5999999999999996</v>
      </c>
      <c r="H993">
        <v>2024</v>
      </c>
      <c r="I993" t="s">
        <v>411</v>
      </c>
      <c r="J993" t="s">
        <v>1034</v>
      </c>
      <c r="K993">
        <v>5</v>
      </c>
    </row>
    <row r="994" spans="1:11" x14ac:dyDescent="0.3">
      <c r="A994" t="s">
        <v>2038</v>
      </c>
      <c r="B994" t="s">
        <v>1026</v>
      </c>
      <c r="C994">
        <v>76</v>
      </c>
      <c r="D994" t="s">
        <v>1029</v>
      </c>
      <c r="E994" s="1">
        <v>45289</v>
      </c>
      <c r="F994">
        <v>80</v>
      </c>
      <c r="G994">
        <v>3.5</v>
      </c>
      <c r="H994">
        <v>2024</v>
      </c>
      <c r="I994" t="s">
        <v>411</v>
      </c>
      <c r="J994" t="s">
        <v>1019</v>
      </c>
      <c r="K994">
        <v>4</v>
      </c>
    </row>
    <row r="995" spans="1:11" x14ac:dyDescent="0.3">
      <c r="A995" t="s">
        <v>2039</v>
      </c>
      <c r="B995" t="s">
        <v>1059</v>
      </c>
      <c r="C995">
        <v>95</v>
      </c>
      <c r="D995" t="s">
        <v>1038</v>
      </c>
      <c r="E995" s="1">
        <v>45289</v>
      </c>
      <c r="F995">
        <v>50</v>
      </c>
      <c r="G995">
        <v>2.9</v>
      </c>
      <c r="H995">
        <v>2024</v>
      </c>
      <c r="I995" t="s">
        <v>411</v>
      </c>
      <c r="J995" t="s">
        <v>1019</v>
      </c>
      <c r="K995">
        <v>3</v>
      </c>
    </row>
    <row r="996" spans="1:11" x14ac:dyDescent="0.3">
      <c r="A996" t="s">
        <v>2040</v>
      </c>
      <c r="B996" t="s">
        <v>1026</v>
      </c>
      <c r="C996">
        <v>113</v>
      </c>
      <c r="D996" t="s">
        <v>1017</v>
      </c>
      <c r="E996" s="1">
        <v>45290</v>
      </c>
      <c r="F996">
        <v>165</v>
      </c>
      <c r="G996">
        <v>4.7</v>
      </c>
      <c r="H996">
        <v>2024</v>
      </c>
      <c r="I996" t="s">
        <v>1062</v>
      </c>
      <c r="J996" t="s">
        <v>1019</v>
      </c>
      <c r="K996">
        <v>5</v>
      </c>
    </row>
    <row r="997" spans="1:11" x14ac:dyDescent="0.3">
      <c r="A997" t="s">
        <v>2041</v>
      </c>
      <c r="B997" t="s">
        <v>1047</v>
      </c>
      <c r="C997">
        <v>81</v>
      </c>
      <c r="D997" t="s">
        <v>1017</v>
      </c>
      <c r="E997" s="1">
        <v>45290</v>
      </c>
      <c r="F997">
        <v>28</v>
      </c>
      <c r="G997">
        <v>3.9</v>
      </c>
      <c r="H997">
        <v>2024</v>
      </c>
      <c r="I997" t="s">
        <v>1062</v>
      </c>
      <c r="J997" t="s">
        <v>1019</v>
      </c>
      <c r="K997">
        <v>4</v>
      </c>
    </row>
    <row r="998" spans="1:11" x14ac:dyDescent="0.3">
      <c r="A998" t="s">
        <v>2042</v>
      </c>
      <c r="B998" t="s">
        <v>1036</v>
      </c>
      <c r="C998">
        <v>127</v>
      </c>
      <c r="D998" t="s">
        <v>1038</v>
      </c>
      <c r="E998" s="1">
        <v>45290</v>
      </c>
      <c r="F998">
        <v>215</v>
      </c>
      <c r="G998">
        <v>3.8</v>
      </c>
      <c r="H998">
        <v>2024</v>
      </c>
      <c r="I998" t="s">
        <v>1062</v>
      </c>
      <c r="J998" t="s">
        <v>1031</v>
      </c>
      <c r="K998">
        <v>4</v>
      </c>
    </row>
    <row r="999" spans="1:11" x14ac:dyDescent="0.3">
      <c r="A999" t="s">
        <v>2043</v>
      </c>
      <c r="B999" t="s">
        <v>1045</v>
      </c>
      <c r="C999">
        <v>146</v>
      </c>
      <c r="D999" t="s">
        <v>1017</v>
      </c>
      <c r="E999" s="1">
        <v>45291</v>
      </c>
      <c r="F999">
        <v>115</v>
      </c>
      <c r="G999">
        <v>2.2999999999999998</v>
      </c>
      <c r="H999">
        <v>2024</v>
      </c>
      <c r="I999" t="s">
        <v>1018</v>
      </c>
      <c r="J999" t="s">
        <v>1031</v>
      </c>
      <c r="K999">
        <v>2</v>
      </c>
    </row>
    <row r="1000" spans="1:11" x14ac:dyDescent="0.3">
      <c r="A1000" t="s">
        <v>2044</v>
      </c>
      <c r="B1000" t="s">
        <v>1041</v>
      </c>
      <c r="C1000">
        <v>123</v>
      </c>
      <c r="D1000" t="s">
        <v>1017</v>
      </c>
      <c r="E1000" s="1">
        <v>45291</v>
      </c>
      <c r="F1000">
        <v>64</v>
      </c>
      <c r="G1000">
        <v>3.7</v>
      </c>
      <c r="H1000">
        <v>2024</v>
      </c>
      <c r="I1000" t="s">
        <v>1018</v>
      </c>
      <c r="J1000" t="s">
        <v>1031</v>
      </c>
      <c r="K1000">
        <v>4</v>
      </c>
    </row>
    <row r="1001" spans="1:11" x14ac:dyDescent="0.3">
      <c r="A1001" t="s">
        <v>2045</v>
      </c>
      <c r="B1001" t="s">
        <v>1055</v>
      </c>
      <c r="C1001">
        <v>114</v>
      </c>
      <c r="D1001" t="s">
        <v>1029</v>
      </c>
      <c r="E1001" s="1">
        <v>45291</v>
      </c>
      <c r="F1001">
        <v>40</v>
      </c>
      <c r="G1001">
        <v>3.9</v>
      </c>
      <c r="H1001">
        <v>2024</v>
      </c>
      <c r="I1001" t="s">
        <v>1018</v>
      </c>
      <c r="J1001" t="s">
        <v>1019</v>
      </c>
      <c r="K1001">
        <v>4</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2EC7-1062-4758-9B1D-BF8BD3746A8F}">
  <dimension ref="D3:T36"/>
  <sheetViews>
    <sheetView showGridLines="0" showRowColHeaders="0" workbookViewId="0">
      <selection activeCell="S1" sqref="S1"/>
    </sheetView>
  </sheetViews>
  <sheetFormatPr defaultRowHeight="14.4" x14ac:dyDescent="0.3"/>
  <cols>
    <col min="1" max="13" width="8.88671875" style="42"/>
    <col min="14" max="14" width="11.44140625" style="42" customWidth="1"/>
    <col min="15" max="15" width="8.88671875" style="42" customWidth="1"/>
    <col min="16" max="16" width="8.88671875" style="42"/>
    <col min="17" max="17" width="8.88671875" style="42" customWidth="1"/>
    <col min="18" max="19" width="8.88671875" style="42"/>
    <col min="20" max="20" width="11" style="42" customWidth="1"/>
    <col min="21" max="16384" width="8.88671875" style="42"/>
  </cols>
  <sheetData>
    <row r="3" spans="5:5" x14ac:dyDescent="0.3">
      <c r="E3" s="46"/>
    </row>
    <row r="17" spans="4:20" x14ac:dyDescent="0.3">
      <c r="N17" s="42" t="e" cm="1" vm="2">
        <f t="array" aca="1" ref="N17" ca="1">IF(Sheet8!B99:H116 = "","",Sheet8!B99:H116 )</f>
        <v>#VALUE!</v>
      </c>
    </row>
    <row r="18" spans="4:20" x14ac:dyDescent="0.3">
      <c r="N18" s="42" t="e" cm="1" vm="2">
        <f t="array" aca="1" ref="N18" ca="1">IF(Sheet8!B99:H116= " "," ",Sheet8!B99:H116)</f>
        <v>#VALUE!</v>
      </c>
    </row>
    <row r="19" spans="4:20" x14ac:dyDescent="0.3">
      <c r="N19" s="59" t="s">
        <v>2058</v>
      </c>
      <c r="O19" s="60" t="s">
        <v>1029</v>
      </c>
      <c r="P19" s="60" t="s">
        <v>1024</v>
      </c>
      <c r="Q19" s="60" t="s">
        <v>1042</v>
      </c>
      <c r="R19" s="60" t="s">
        <v>1038</v>
      </c>
      <c r="S19" s="60" t="s">
        <v>1017</v>
      </c>
      <c r="T19" s="61" t="s">
        <v>2061</v>
      </c>
    </row>
    <row r="20" spans="4:20" x14ac:dyDescent="0.3">
      <c r="N20" s="56" t="s">
        <v>1016</v>
      </c>
      <c r="O20" s="54">
        <v>891</v>
      </c>
      <c r="P20" s="54">
        <v>1332</v>
      </c>
      <c r="Q20" s="54">
        <v>1282</v>
      </c>
      <c r="R20" s="54">
        <v>739</v>
      </c>
      <c r="S20" s="54">
        <v>560</v>
      </c>
      <c r="T20" s="57">
        <v>4804</v>
      </c>
    </row>
    <row r="21" spans="4:20" x14ac:dyDescent="0.3">
      <c r="N21" s="56" t="s">
        <v>1021</v>
      </c>
      <c r="O21" s="54">
        <v>1991</v>
      </c>
      <c r="P21" s="54">
        <v>1886</v>
      </c>
      <c r="Q21" s="54">
        <v>1206</v>
      </c>
      <c r="R21" s="54">
        <v>884</v>
      </c>
      <c r="S21" s="54">
        <v>1722</v>
      </c>
      <c r="T21" s="57">
        <v>7689</v>
      </c>
    </row>
    <row r="22" spans="4:20" x14ac:dyDescent="0.3">
      <c r="N22" s="56" t="s">
        <v>1028</v>
      </c>
      <c r="O22" s="54">
        <v>1163</v>
      </c>
      <c r="P22" s="54">
        <v>1180</v>
      </c>
      <c r="Q22" s="54">
        <v>1616</v>
      </c>
      <c r="R22" s="54">
        <v>1043</v>
      </c>
      <c r="S22" s="54">
        <v>1747</v>
      </c>
      <c r="T22" s="57">
        <v>6749</v>
      </c>
    </row>
    <row r="23" spans="4:20" x14ac:dyDescent="0.3">
      <c r="N23" s="56" t="s">
        <v>1068</v>
      </c>
      <c r="O23" s="54">
        <v>1438</v>
      </c>
      <c r="P23" s="54">
        <v>1616</v>
      </c>
      <c r="Q23" s="54">
        <v>866</v>
      </c>
      <c r="R23" s="54">
        <v>829</v>
      </c>
      <c r="S23" s="54">
        <v>2070</v>
      </c>
      <c r="T23" s="57">
        <v>6819</v>
      </c>
    </row>
    <row r="24" spans="4:20" x14ac:dyDescent="0.3">
      <c r="N24" s="55" t="s">
        <v>2057</v>
      </c>
      <c r="O24" s="53"/>
      <c r="P24" s="53"/>
      <c r="Q24" s="53"/>
      <c r="R24" s="53"/>
      <c r="S24" s="53"/>
      <c r="T24" s="58"/>
    </row>
    <row r="25" spans="4:20" x14ac:dyDescent="0.3">
      <c r="D25" s="45"/>
      <c r="N25" s="56" t="s">
        <v>1047</v>
      </c>
      <c r="O25" s="54">
        <v>1233</v>
      </c>
      <c r="P25" s="54">
        <v>223</v>
      </c>
      <c r="Q25" s="54">
        <v>1680</v>
      </c>
      <c r="R25" s="54">
        <v>990</v>
      </c>
      <c r="S25" s="54">
        <v>1508</v>
      </c>
      <c r="T25" s="57">
        <v>5634</v>
      </c>
    </row>
    <row r="26" spans="4:20" x14ac:dyDescent="0.3">
      <c r="N26" s="56" t="s">
        <v>1036</v>
      </c>
      <c r="O26" s="54">
        <v>1598</v>
      </c>
      <c r="P26" s="54">
        <v>1907</v>
      </c>
      <c r="Q26" s="54">
        <v>869</v>
      </c>
      <c r="R26" s="54">
        <v>1426</v>
      </c>
      <c r="S26" s="54">
        <v>1416</v>
      </c>
      <c r="T26" s="57">
        <v>7216</v>
      </c>
    </row>
    <row r="27" spans="4:20" x14ac:dyDescent="0.3">
      <c r="N27" s="56" t="s">
        <v>1098</v>
      </c>
      <c r="O27" s="54">
        <v>900</v>
      </c>
      <c r="P27" s="54">
        <v>1016</v>
      </c>
      <c r="Q27" s="54">
        <v>960</v>
      </c>
      <c r="R27" s="54">
        <v>940</v>
      </c>
      <c r="S27" s="54">
        <v>1193</v>
      </c>
      <c r="T27" s="57">
        <v>5009</v>
      </c>
    </row>
    <row r="28" spans="4:20" x14ac:dyDescent="0.3">
      <c r="N28" s="56" t="s">
        <v>1041</v>
      </c>
      <c r="O28" s="54">
        <v>900</v>
      </c>
      <c r="P28" s="54">
        <v>1470</v>
      </c>
      <c r="Q28" s="54">
        <v>1617</v>
      </c>
      <c r="R28" s="54">
        <v>1314</v>
      </c>
      <c r="S28" s="54">
        <v>941</v>
      </c>
      <c r="T28" s="57">
        <v>6242</v>
      </c>
    </row>
    <row r="29" spans="4:20" x14ac:dyDescent="0.3">
      <c r="N29" s="56" t="s">
        <v>1045</v>
      </c>
      <c r="O29" s="54">
        <v>1255</v>
      </c>
      <c r="P29" s="54">
        <v>516</v>
      </c>
      <c r="Q29" s="54">
        <v>1874</v>
      </c>
      <c r="R29" s="54">
        <v>1863</v>
      </c>
      <c r="S29" s="54">
        <v>1722</v>
      </c>
      <c r="T29" s="57">
        <v>7230</v>
      </c>
    </row>
    <row r="30" spans="4:20" x14ac:dyDescent="0.3">
      <c r="N30" s="56" t="s">
        <v>1065</v>
      </c>
      <c r="O30" s="54">
        <v>1138</v>
      </c>
      <c r="P30" s="54">
        <v>1898</v>
      </c>
      <c r="Q30" s="54">
        <v>1482</v>
      </c>
      <c r="R30" s="54">
        <v>846</v>
      </c>
      <c r="S30" s="54">
        <v>1154</v>
      </c>
      <c r="T30" s="57">
        <v>6518</v>
      </c>
    </row>
    <row r="31" spans="4:20" x14ac:dyDescent="0.3">
      <c r="N31" s="55" t="s">
        <v>2056</v>
      </c>
      <c r="O31" s="53"/>
      <c r="P31" s="53"/>
      <c r="Q31" s="53"/>
      <c r="R31" s="53"/>
      <c r="S31" s="53"/>
      <c r="T31" s="58"/>
    </row>
    <row r="32" spans="4:20" x14ac:dyDescent="0.3">
      <c r="N32" s="56" t="s">
        <v>1078</v>
      </c>
      <c r="O32" s="54">
        <v>1655</v>
      </c>
      <c r="P32" s="54">
        <v>805</v>
      </c>
      <c r="Q32" s="54">
        <v>2263</v>
      </c>
      <c r="R32" s="54">
        <v>987</v>
      </c>
      <c r="S32" s="54">
        <v>1075</v>
      </c>
      <c r="T32" s="57">
        <v>6785</v>
      </c>
    </row>
    <row r="33" spans="14:20" x14ac:dyDescent="0.3">
      <c r="N33" s="56" t="s">
        <v>1023</v>
      </c>
      <c r="O33" s="54">
        <v>1104</v>
      </c>
      <c r="P33" s="54">
        <v>2280</v>
      </c>
      <c r="Q33" s="54">
        <v>1445</v>
      </c>
      <c r="R33" s="54">
        <v>1722</v>
      </c>
      <c r="S33" s="54">
        <v>1196</v>
      </c>
      <c r="T33" s="57">
        <v>7747</v>
      </c>
    </row>
    <row r="34" spans="14:20" x14ac:dyDescent="0.3">
      <c r="N34" s="56" t="s">
        <v>1059</v>
      </c>
      <c r="O34" s="54">
        <v>372</v>
      </c>
      <c r="P34" s="54">
        <v>1818</v>
      </c>
      <c r="Q34" s="54">
        <v>1346</v>
      </c>
      <c r="R34" s="54">
        <v>1156</v>
      </c>
      <c r="S34" s="54">
        <v>1484</v>
      </c>
      <c r="T34" s="57">
        <v>6176</v>
      </c>
    </row>
    <row r="35" spans="14:20" x14ac:dyDescent="0.3">
      <c r="N35" s="56" t="s">
        <v>1055</v>
      </c>
      <c r="O35" s="54">
        <v>1415</v>
      </c>
      <c r="P35" s="54">
        <v>1271</v>
      </c>
      <c r="Q35" s="54">
        <v>1214</v>
      </c>
      <c r="R35" s="54">
        <v>1135</v>
      </c>
      <c r="S35" s="54">
        <v>1566</v>
      </c>
      <c r="T35" s="57">
        <v>6601</v>
      </c>
    </row>
    <row r="36" spans="14:20" x14ac:dyDescent="0.3">
      <c r="N36" s="62" t="s">
        <v>1026</v>
      </c>
      <c r="O36" s="63">
        <v>1362</v>
      </c>
      <c r="P36" s="63">
        <v>1363</v>
      </c>
      <c r="Q36" s="63">
        <v>1152</v>
      </c>
      <c r="R36" s="63">
        <v>777</v>
      </c>
      <c r="S36" s="63">
        <v>750</v>
      </c>
      <c r="T36" s="64">
        <v>5404</v>
      </c>
    </row>
  </sheetData>
  <conditionalFormatting sqref="O19:T36">
    <cfRule type="expression" dxfId="4" priority="2">
      <formula>O$19=$B$58</formula>
    </cfRule>
  </conditionalFormatting>
  <conditionalFormatting sqref="O20:T36">
    <cfRule type="dataBar" priority="8">
      <dataBar>
        <cfvo type="min"/>
        <cfvo type="max"/>
        <color rgb="FFFFB628"/>
      </dataBar>
      <extLst>
        <ext xmlns:x14="http://schemas.microsoft.com/office/spreadsheetml/2009/9/main" uri="{B025F937-C7B1-47D3-B67F-A62EFF666E3E}">
          <x14:id>{E461A21B-301D-48AE-B051-D09018A588FC}</x14:id>
        </ext>
      </extLst>
    </cfRule>
  </conditionalFormatting>
  <conditionalFormatting sqref="P19:P36">
    <cfRule type="expression" dxfId="1" priority="5">
      <formula>O$19=$B$58</formula>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9B75C363-C328-4102-9404-80D8B5BBA09A}">
            <xm:f>O$19=Pivots!$B$58</xm:f>
            <x14:dxf>
              <fill>
                <patternFill>
                  <bgColor theme="9" tint="0.79998168889431442"/>
                </patternFill>
              </fill>
            </x14:dxf>
          </x14:cfRule>
          <xm:sqref>O19:S36</xm:sqref>
        </x14:conditionalFormatting>
        <x14:conditionalFormatting xmlns:xm="http://schemas.microsoft.com/office/excel/2006/main">
          <x14:cfRule type="expression" priority="3" id="{B5E6B0AE-0741-4F4F-A9CD-72189FDCDC25}">
            <xm:f>O$19=Pivots!$B$58</xm:f>
            <x14:dxf>
              <fill>
                <patternFill>
                  <bgColor theme="4" tint="0.79998168889431442"/>
                </patternFill>
              </fill>
            </x14:dxf>
          </x14:cfRule>
          <x14:cfRule type="expression" priority="6" id="{357508F0-2EC1-4362-A9A7-28CA45CC9CF2}">
            <xm:f>O$19=Pivots!$B$58</xm:f>
            <x14:dxf>
              <fill>
                <patternFill>
                  <bgColor theme="6" tint="0.59996337778862885"/>
                </patternFill>
              </fill>
              <border>
                <left style="thin">
                  <color theme="1"/>
                </left>
                <right style="thin">
                  <color theme="1"/>
                </right>
                <vertical/>
                <horizontal/>
              </border>
            </x14:dxf>
          </x14:cfRule>
          <x14:cfRule type="expression" priority="7" id="{CCFE50B3-32F3-4506-92F6-E800AAA0B580}">
            <xm:f>O$19=Pivots!$B$57</xm:f>
            <x14:dxf/>
          </x14:cfRule>
          <xm:sqref>O19:T36</xm:sqref>
        </x14:conditionalFormatting>
        <x14:conditionalFormatting xmlns:xm="http://schemas.microsoft.com/office/excel/2006/main">
          <x14:cfRule type="dataBar" id="{E461A21B-301D-48AE-B051-D09018A588FC}">
            <x14:dataBar minLength="0" maxLength="100" border="1" negativeBarBorderColorSameAsPositive="0">
              <x14:cfvo type="autoMin"/>
              <x14:cfvo type="autoMax"/>
              <x14:borderColor rgb="FFFFB628"/>
              <x14:negativeFillColor rgb="FFFF0000"/>
              <x14:negativeBorderColor rgb="FFFF0000"/>
              <x14:axisColor rgb="FF000000"/>
            </x14:dataBar>
          </x14:cfRule>
          <xm:sqref>O20:T36</xm:sqref>
        </x14:conditionalFormatting>
        <x14:conditionalFormatting xmlns:xm="http://schemas.microsoft.com/office/excel/2006/main">
          <x14:cfRule type="expression" priority="4" id="{DD122236-B1EE-4195-A9CF-F83B156E2530}">
            <xm:f>O$19=Pivots!$B$58</xm:f>
            <x14:dxf>
              <fill>
                <patternFill>
                  <bgColor rgb="FF66FFFF"/>
                </patternFill>
              </fill>
            </x14:dxf>
          </x14:cfRule>
          <xm:sqref>Q19:Q36</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BEA19C-7BC8-4300-A198-E02CAFB742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data</vt:lpstr>
      <vt:lpstr>medals</vt:lpstr>
      <vt:lpstr>Staff</vt:lpstr>
      <vt:lpstr>Formulas</vt:lpstr>
      <vt:lpstr>Sheet2</vt:lpstr>
      <vt:lpstr>Sheet3</vt:lpstr>
      <vt:lpstr>Sheet6</vt:lpstr>
      <vt:lpstr>Sheet9</vt:lpstr>
      <vt:lpstr>Sheet10</vt:lpstr>
      <vt:lpstr>Sheet11</vt:lpstr>
      <vt:lpstr>Detail1</vt:lpstr>
      <vt:lpstr>Sheet21</vt:lpstr>
      <vt:lpstr>Sheet22</vt:lpstr>
      <vt:lpstr>Sheet1</vt:lpstr>
      <vt:lpstr>Sheet4</vt:lpstr>
      <vt:lpstr>Sheet5</vt:lpstr>
      <vt:lpstr>Sheet7</vt:lpstr>
      <vt:lpstr>Sheet13</vt:lpstr>
      <vt:lpstr>Sheet14</vt:lpstr>
      <vt:lpstr>Sheet15</vt:lpstr>
      <vt:lpstr>Sheet16</vt:lpstr>
      <vt:lpstr>Sheet17</vt:lpstr>
      <vt:lpstr>Sheet18</vt:lpstr>
      <vt:lpstr>Pivots</vt:lpstr>
      <vt:lpstr>Data (2)</vt:lpstr>
      <vt:lpstr>Assets</vt:lpstr>
      <vt:lpstr>customers</vt:lpstr>
      <vt:lpstr>calls</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chsony sony</dc:creator>
  <cp:lastModifiedBy>chsony sony</cp:lastModifiedBy>
  <cp:lastPrinted>2026-08-27T06:13:56Z</cp:lastPrinted>
  <dcterms:created xsi:type="dcterms:W3CDTF">2026-08-24T06:10:40Z</dcterms:created>
  <dcterms:modified xsi:type="dcterms:W3CDTF">2026-09-24T13:34:17Z</dcterms:modified>
</cp:coreProperties>
</file>